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JITH\Documents\UOC\Projects\Portfolio\"/>
    </mc:Choice>
  </mc:AlternateContent>
  <xr:revisionPtr revIDLastSave="0" documentId="13_ncr:1_{9BA1217A-1251-4050-9B62-C459CE24FF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tent" sheetId="6" r:id="rId1"/>
    <sheet name="Part A" sheetId="1" r:id="rId2"/>
    <sheet name="Part B" sheetId="2" r:id="rId3"/>
    <sheet name="Part D" sheetId="5" r:id="rId4"/>
  </sheets>
  <definedNames>
    <definedName name="solver_adj" localSheetId="2" hidden="1">'Part B'!$AC$55:$AH$55</definedName>
    <definedName name="solver_adj" localSheetId="3" hidden="1">'Part D'!$AC$55:$AH$55</definedName>
    <definedName name="solver_cvg" localSheetId="2" hidden="1">0.0001</definedName>
    <definedName name="solver_cvg" localSheetId="3" hidden="1">0.0001</definedName>
    <definedName name="solver_drv" localSheetId="2" hidden="1">2</definedName>
    <definedName name="solver_drv" localSheetId="3" hidden="1">2</definedName>
    <definedName name="solver_eng" localSheetId="2" hidden="1">1</definedName>
    <definedName name="solver_eng" localSheetId="3" hidden="1">1</definedName>
    <definedName name="solver_est" localSheetId="2" hidden="1">1</definedName>
    <definedName name="solver_est" localSheetId="3" hidden="1">1</definedName>
    <definedName name="solver_itr" localSheetId="2" hidden="1">2147483647</definedName>
    <definedName name="solver_itr" localSheetId="3" hidden="1">2147483647</definedName>
    <definedName name="solver_lhs1" localSheetId="2" hidden="1">'Part B'!$AI$55</definedName>
    <definedName name="solver_lhs1" localSheetId="3" hidden="1">'Part D'!$AI$55</definedName>
    <definedName name="solver_lhs2" localSheetId="2" hidden="1">'Part B'!$AI$55</definedName>
    <definedName name="solver_lhs2" localSheetId="3" hidden="1">'Part D'!$AI$55</definedName>
    <definedName name="solver_mip" localSheetId="2" hidden="1">2147483647</definedName>
    <definedName name="solver_mip" localSheetId="3" hidden="1">2147483647</definedName>
    <definedName name="solver_mni" localSheetId="2" hidden="1">30</definedName>
    <definedName name="solver_mni" localSheetId="3" hidden="1">30</definedName>
    <definedName name="solver_mrt" localSheetId="2" hidden="1">0.075</definedName>
    <definedName name="solver_mrt" localSheetId="3" hidden="1">0.075</definedName>
    <definedName name="solver_msl" localSheetId="2" hidden="1">2</definedName>
    <definedName name="solver_msl" localSheetId="3" hidden="1">2</definedName>
    <definedName name="solver_neg" localSheetId="2" hidden="1">2</definedName>
    <definedName name="solver_neg" localSheetId="3" hidden="1">2</definedName>
    <definedName name="solver_nod" localSheetId="2" hidden="1">2147483647</definedName>
    <definedName name="solver_nod" localSheetId="3" hidden="1">2147483647</definedName>
    <definedName name="solver_num" localSheetId="2" hidden="1">1</definedName>
    <definedName name="solver_num" localSheetId="3" hidden="1">1</definedName>
    <definedName name="solver_nwt" localSheetId="2" hidden="1">1</definedName>
    <definedName name="solver_nwt" localSheetId="3" hidden="1">1</definedName>
    <definedName name="solver_opt" localSheetId="2" hidden="1">'Part B'!$AC$60</definedName>
    <definedName name="solver_opt" localSheetId="3" hidden="1">'Part D'!$AC$60</definedName>
    <definedName name="solver_pre" localSheetId="2" hidden="1">0.000001</definedName>
    <definedName name="solver_pre" localSheetId="3" hidden="1">0.000001</definedName>
    <definedName name="solver_rbv" localSheetId="2" hidden="1">2</definedName>
    <definedName name="solver_rbv" localSheetId="3" hidden="1">2</definedName>
    <definedName name="solver_rel1" localSheetId="2" hidden="1">2</definedName>
    <definedName name="solver_rel1" localSheetId="3" hidden="1">2</definedName>
    <definedName name="solver_rel2" localSheetId="2" hidden="1">2</definedName>
    <definedName name="solver_rel2" localSheetId="3" hidden="1">2</definedName>
    <definedName name="solver_rhs1" localSheetId="2" hidden="1">1</definedName>
    <definedName name="solver_rhs1" localSheetId="3" hidden="1">1</definedName>
    <definedName name="solver_rhs2" localSheetId="2" hidden="1">1</definedName>
    <definedName name="solver_rhs2" localSheetId="3" hidden="1">1</definedName>
    <definedName name="solver_rlx" localSheetId="2" hidden="1">2</definedName>
    <definedName name="solver_rlx" localSheetId="3" hidden="1">2</definedName>
    <definedName name="solver_rsd" localSheetId="2" hidden="1">0</definedName>
    <definedName name="solver_rsd" localSheetId="3" hidden="1">0</definedName>
    <definedName name="solver_scl" localSheetId="2" hidden="1">2</definedName>
    <definedName name="solver_scl" localSheetId="3" hidden="1">2</definedName>
    <definedName name="solver_sho" localSheetId="2" hidden="1">2</definedName>
    <definedName name="solver_sho" localSheetId="3" hidden="1">2</definedName>
    <definedName name="solver_ssz" localSheetId="2" hidden="1">100</definedName>
    <definedName name="solver_ssz" localSheetId="3" hidden="1">100</definedName>
    <definedName name="solver_tim" localSheetId="2" hidden="1">2147483647</definedName>
    <definedName name="solver_tim" localSheetId="3" hidden="1">2147483647</definedName>
    <definedName name="solver_tol" localSheetId="2" hidden="1">0.01</definedName>
    <definedName name="solver_tol" localSheetId="3" hidden="1">0.01</definedName>
    <definedName name="solver_typ" localSheetId="2" hidden="1">1</definedName>
    <definedName name="solver_typ" localSheetId="3" hidden="1">1</definedName>
    <definedName name="solver_val" localSheetId="2" hidden="1">0</definedName>
    <definedName name="solver_val" localSheetId="3" hidden="1">0</definedName>
    <definedName name="solver_ver" localSheetId="2" hidden="1">3</definedName>
    <definedName name="solver_ver" localSheetId="3" hidden="1">3</definedName>
  </definedNames>
  <calcPr calcId="191029"/>
</workbook>
</file>

<file path=xl/calcChain.xml><?xml version="1.0" encoding="utf-8"?>
<calcChain xmlns="http://schemas.openxmlformats.org/spreadsheetml/2006/main">
  <c r="BA31" i="5" l="1"/>
  <c r="BA29" i="5"/>
  <c r="BA28" i="5"/>
  <c r="BA25" i="5"/>
  <c r="BA26" i="5"/>
  <c r="AZ31" i="5"/>
  <c r="AZ29" i="5"/>
  <c r="AZ28" i="5"/>
  <c r="AZ26" i="5"/>
  <c r="AZ25" i="5"/>
  <c r="AN29" i="5"/>
  <c r="AO29" i="5"/>
  <c r="AP29" i="5"/>
  <c r="AQ29" i="5"/>
  <c r="AR29" i="5"/>
  <c r="AM29" i="5"/>
  <c r="AN28" i="5"/>
  <c r="AO28" i="5"/>
  <c r="AP28" i="5"/>
  <c r="AQ28" i="5"/>
  <c r="AR28" i="5"/>
  <c r="AM28" i="5"/>
  <c r="AY31" i="5"/>
  <c r="AY29" i="5"/>
  <c r="AY28" i="5"/>
  <c r="AY26" i="5"/>
  <c r="AY25" i="5"/>
  <c r="AX31" i="5"/>
  <c r="AX29" i="5"/>
  <c r="AX28" i="5"/>
  <c r="AX26" i="5"/>
  <c r="AX25" i="5"/>
  <c r="AN27" i="5"/>
  <c r="AO27" i="5"/>
  <c r="AP27" i="5"/>
  <c r="AQ27" i="5"/>
  <c r="AR27" i="5"/>
  <c r="AM27" i="5"/>
  <c r="AN26" i="5"/>
  <c r="AO26" i="5"/>
  <c r="AP26" i="5"/>
  <c r="AQ26" i="5"/>
  <c r="AR26" i="5"/>
  <c r="AM26" i="5"/>
  <c r="AW31" i="5"/>
  <c r="AW29" i="5"/>
  <c r="AW28" i="5"/>
  <c r="AW26" i="5"/>
  <c r="AW25" i="5"/>
  <c r="AR25" i="5"/>
  <c r="AQ25" i="5"/>
  <c r="AP25" i="5"/>
  <c r="AO25" i="5"/>
  <c r="AN25" i="5"/>
  <c r="AM25" i="5"/>
  <c r="O755" i="5"/>
  <c r="N755" i="5"/>
  <c r="M755" i="5"/>
  <c r="L755" i="5"/>
  <c r="K755" i="5"/>
  <c r="J755" i="5"/>
  <c r="I755" i="5"/>
  <c r="O754" i="5"/>
  <c r="N754" i="5"/>
  <c r="M754" i="5"/>
  <c r="L754" i="5"/>
  <c r="K754" i="5"/>
  <c r="J754" i="5"/>
  <c r="I754" i="5"/>
  <c r="O753" i="5"/>
  <c r="N753" i="5"/>
  <c r="M753" i="5"/>
  <c r="L753" i="5"/>
  <c r="K753" i="5"/>
  <c r="J753" i="5"/>
  <c r="I753" i="5"/>
  <c r="O752" i="5"/>
  <c r="N752" i="5"/>
  <c r="M752" i="5"/>
  <c r="L752" i="5"/>
  <c r="K752" i="5"/>
  <c r="J752" i="5"/>
  <c r="I752" i="5"/>
  <c r="O751" i="5"/>
  <c r="N751" i="5"/>
  <c r="M751" i="5"/>
  <c r="L751" i="5"/>
  <c r="K751" i="5"/>
  <c r="J751" i="5"/>
  <c r="I751" i="5"/>
  <c r="O750" i="5"/>
  <c r="N750" i="5"/>
  <c r="M750" i="5"/>
  <c r="L750" i="5"/>
  <c r="K750" i="5"/>
  <c r="J750" i="5"/>
  <c r="I750" i="5"/>
  <c r="O749" i="5"/>
  <c r="N749" i="5"/>
  <c r="M749" i="5"/>
  <c r="L749" i="5"/>
  <c r="K749" i="5"/>
  <c r="J749" i="5"/>
  <c r="I749" i="5"/>
  <c r="O748" i="5"/>
  <c r="N748" i="5"/>
  <c r="M748" i="5"/>
  <c r="L748" i="5"/>
  <c r="K748" i="5"/>
  <c r="J748" i="5"/>
  <c r="I748" i="5"/>
  <c r="O747" i="5"/>
  <c r="N747" i="5"/>
  <c r="M747" i="5"/>
  <c r="L747" i="5"/>
  <c r="K747" i="5"/>
  <c r="J747" i="5"/>
  <c r="I747" i="5"/>
  <c r="O746" i="5"/>
  <c r="N746" i="5"/>
  <c r="M746" i="5"/>
  <c r="L746" i="5"/>
  <c r="K746" i="5"/>
  <c r="J746" i="5"/>
  <c r="I746" i="5"/>
  <c r="O745" i="5"/>
  <c r="N745" i="5"/>
  <c r="M745" i="5"/>
  <c r="L745" i="5"/>
  <c r="K745" i="5"/>
  <c r="J745" i="5"/>
  <c r="I745" i="5"/>
  <c r="O744" i="5"/>
  <c r="N744" i="5"/>
  <c r="M744" i="5"/>
  <c r="L744" i="5"/>
  <c r="K744" i="5"/>
  <c r="J744" i="5"/>
  <c r="I744" i="5"/>
  <c r="O743" i="5"/>
  <c r="N743" i="5"/>
  <c r="M743" i="5"/>
  <c r="L743" i="5"/>
  <c r="K743" i="5"/>
  <c r="J743" i="5"/>
  <c r="I743" i="5"/>
  <c r="O742" i="5"/>
  <c r="N742" i="5"/>
  <c r="M742" i="5"/>
  <c r="L742" i="5"/>
  <c r="K742" i="5"/>
  <c r="J742" i="5"/>
  <c r="I742" i="5"/>
  <c r="O741" i="5"/>
  <c r="N741" i="5"/>
  <c r="M741" i="5"/>
  <c r="L741" i="5"/>
  <c r="K741" i="5"/>
  <c r="J741" i="5"/>
  <c r="I741" i="5"/>
  <c r="O740" i="5"/>
  <c r="N740" i="5"/>
  <c r="M740" i="5"/>
  <c r="L740" i="5"/>
  <c r="K740" i="5"/>
  <c r="J740" i="5"/>
  <c r="I740" i="5"/>
  <c r="O739" i="5"/>
  <c r="N739" i="5"/>
  <c r="M739" i="5"/>
  <c r="L739" i="5"/>
  <c r="K739" i="5"/>
  <c r="J739" i="5"/>
  <c r="I739" i="5"/>
  <c r="O738" i="5"/>
  <c r="N738" i="5"/>
  <c r="M738" i="5"/>
  <c r="L738" i="5"/>
  <c r="K738" i="5"/>
  <c r="J738" i="5"/>
  <c r="I738" i="5"/>
  <c r="O737" i="5"/>
  <c r="N737" i="5"/>
  <c r="M737" i="5"/>
  <c r="L737" i="5"/>
  <c r="K737" i="5"/>
  <c r="J737" i="5"/>
  <c r="I737" i="5"/>
  <c r="O736" i="5"/>
  <c r="N736" i="5"/>
  <c r="M736" i="5"/>
  <c r="L736" i="5"/>
  <c r="K736" i="5"/>
  <c r="J736" i="5"/>
  <c r="I736" i="5"/>
  <c r="O735" i="5"/>
  <c r="N735" i="5"/>
  <c r="M735" i="5"/>
  <c r="L735" i="5"/>
  <c r="K735" i="5"/>
  <c r="J735" i="5"/>
  <c r="I735" i="5"/>
  <c r="O734" i="5"/>
  <c r="N734" i="5"/>
  <c r="M734" i="5"/>
  <c r="L734" i="5"/>
  <c r="K734" i="5"/>
  <c r="J734" i="5"/>
  <c r="I734" i="5"/>
  <c r="O733" i="5"/>
  <c r="N733" i="5"/>
  <c r="M733" i="5"/>
  <c r="L733" i="5"/>
  <c r="K733" i="5"/>
  <c r="J733" i="5"/>
  <c r="I733" i="5"/>
  <c r="O732" i="5"/>
  <c r="N732" i="5"/>
  <c r="M732" i="5"/>
  <c r="L732" i="5"/>
  <c r="K732" i="5"/>
  <c r="J732" i="5"/>
  <c r="I732" i="5"/>
  <c r="O731" i="5"/>
  <c r="N731" i="5"/>
  <c r="M731" i="5"/>
  <c r="L731" i="5"/>
  <c r="K731" i="5"/>
  <c r="J731" i="5"/>
  <c r="I731" i="5"/>
  <c r="O730" i="5"/>
  <c r="N730" i="5"/>
  <c r="M730" i="5"/>
  <c r="L730" i="5"/>
  <c r="K730" i="5"/>
  <c r="J730" i="5"/>
  <c r="I730" i="5"/>
  <c r="O729" i="5"/>
  <c r="N729" i="5"/>
  <c r="M729" i="5"/>
  <c r="L729" i="5"/>
  <c r="K729" i="5"/>
  <c r="J729" i="5"/>
  <c r="I729" i="5"/>
  <c r="O728" i="5"/>
  <c r="N728" i="5"/>
  <c r="M728" i="5"/>
  <c r="L728" i="5"/>
  <c r="K728" i="5"/>
  <c r="J728" i="5"/>
  <c r="I728" i="5"/>
  <c r="O727" i="5"/>
  <c r="N727" i="5"/>
  <c r="M727" i="5"/>
  <c r="L727" i="5"/>
  <c r="K727" i="5"/>
  <c r="J727" i="5"/>
  <c r="I727" i="5"/>
  <c r="O726" i="5"/>
  <c r="N726" i="5"/>
  <c r="M726" i="5"/>
  <c r="L726" i="5"/>
  <c r="K726" i="5"/>
  <c r="J726" i="5"/>
  <c r="I726" i="5"/>
  <c r="O725" i="5"/>
  <c r="N725" i="5"/>
  <c r="M725" i="5"/>
  <c r="L725" i="5"/>
  <c r="K725" i="5"/>
  <c r="J725" i="5"/>
  <c r="I725" i="5"/>
  <c r="O724" i="5"/>
  <c r="N724" i="5"/>
  <c r="M724" i="5"/>
  <c r="L724" i="5"/>
  <c r="K724" i="5"/>
  <c r="J724" i="5"/>
  <c r="I724" i="5"/>
  <c r="O723" i="5"/>
  <c r="N723" i="5"/>
  <c r="M723" i="5"/>
  <c r="L723" i="5"/>
  <c r="K723" i="5"/>
  <c r="J723" i="5"/>
  <c r="I723" i="5"/>
  <c r="O722" i="5"/>
  <c r="N722" i="5"/>
  <c r="M722" i="5"/>
  <c r="L722" i="5"/>
  <c r="K722" i="5"/>
  <c r="J722" i="5"/>
  <c r="I722" i="5"/>
  <c r="O721" i="5"/>
  <c r="N721" i="5"/>
  <c r="M721" i="5"/>
  <c r="L721" i="5"/>
  <c r="K721" i="5"/>
  <c r="J721" i="5"/>
  <c r="I721" i="5"/>
  <c r="O720" i="5"/>
  <c r="N720" i="5"/>
  <c r="M720" i="5"/>
  <c r="L720" i="5"/>
  <c r="K720" i="5"/>
  <c r="J720" i="5"/>
  <c r="I720" i="5"/>
  <c r="O719" i="5"/>
  <c r="N719" i="5"/>
  <c r="M719" i="5"/>
  <c r="L719" i="5"/>
  <c r="K719" i="5"/>
  <c r="J719" i="5"/>
  <c r="I719" i="5"/>
  <c r="O718" i="5"/>
  <c r="N718" i="5"/>
  <c r="M718" i="5"/>
  <c r="L718" i="5"/>
  <c r="K718" i="5"/>
  <c r="J718" i="5"/>
  <c r="I718" i="5"/>
  <c r="O717" i="5"/>
  <c r="N717" i="5"/>
  <c r="M717" i="5"/>
  <c r="L717" i="5"/>
  <c r="K717" i="5"/>
  <c r="J717" i="5"/>
  <c r="I717" i="5"/>
  <c r="O716" i="5"/>
  <c r="N716" i="5"/>
  <c r="M716" i="5"/>
  <c r="L716" i="5"/>
  <c r="K716" i="5"/>
  <c r="J716" i="5"/>
  <c r="I716" i="5"/>
  <c r="O715" i="5"/>
  <c r="N715" i="5"/>
  <c r="M715" i="5"/>
  <c r="L715" i="5"/>
  <c r="K715" i="5"/>
  <c r="J715" i="5"/>
  <c r="I715" i="5"/>
  <c r="O714" i="5"/>
  <c r="N714" i="5"/>
  <c r="M714" i="5"/>
  <c r="L714" i="5"/>
  <c r="K714" i="5"/>
  <c r="J714" i="5"/>
  <c r="I714" i="5"/>
  <c r="O713" i="5"/>
  <c r="N713" i="5"/>
  <c r="M713" i="5"/>
  <c r="L713" i="5"/>
  <c r="K713" i="5"/>
  <c r="J713" i="5"/>
  <c r="I713" i="5"/>
  <c r="O712" i="5"/>
  <c r="N712" i="5"/>
  <c r="M712" i="5"/>
  <c r="L712" i="5"/>
  <c r="K712" i="5"/>
  <c r="J712" i="5"/>
  <c r="I712" i="5"/>
  <c r="O711" i="5"/>
  <c r="N711" i="5"/>
  <c r="M711" i="5"/>
  <c r="L711" i="5"/>
  <c r="K711" i="5"/>
  <c r="J711" i="5"/>
  <c r="I711" i="5"/>
  <c r="O710" i="5"/>
  <c r="N710" i="5"/>
  <c r="M710" i="5"/>
  <c r="L710" i="5"/>
  <c r="K710" i="5"/>
  <c r="J710" i="5"/>
  <c r="I710" i="5"/>
  <c r="O709" i="5"/>
  <c r="N709" i="5"/>
  <c r="M709" i="5"/>
  <c r="L709" i="5"/>
  <c r="K709" i="5"/>
  <c r="J709" i="5"/>
  <c r="I709" i="5"/>
  <c r="O708" i="5"/>
  <c r="N708" i="5"/>
  <c r="M708" i="5"/>
  <c r="L708" i="5"/>
  <c r="K708" i="5"/>
  <c r="J708" i="5"/>
  <c r="I708" i="5"/>
  <c r="O707" i="5"/>
  <c r="N707" i="5"/>
  <c r="M707" i="5"/>
  <c r="L707" i="5"/>
  <c r="K707" i="5"/>
  <c r="J707" i="5"/>
  <c r="I707" i="5"/>
  <c r="O706" i="5"/>
  <c r="N706" i="5"/>
  <c r="M706" i="5"/>
  <c r="L706" i="5"/>
  <c r="K706" i="5"/>
  <c r="J706" i="5"/>
  <c r="I706" i="5"/>
  <c r="O705" i="5"/>
  <c r="N705" i="5"/>
  <c r="M705" i="5"/>
  <c r="L705" i="5"/>
  <c r="K705" i="5"/>
  <c r="J705" i="5"/>
  <c r="I705" i="5"/>
  <c r="O704" i="5"/>
  <c r="N704" i="5"/>
  <c r="M704" i="5"/>
  <c r="L704" i="5"/>
  <c r="K704" i="5"/>
  <c r="J704" i="5"/>
  <c r="I704" i="5"/>
  <c r="O703" i="5"/>
  <c r="N703" i="5"/>
  <c r="M703" i="5"/>
  <c r="L703" i="5"/>
  <c r="K703" i="5"/>
  <c r="J703" i="5"/>
  <c r="I703" i="5"/>
  <c r="O702" i="5"/>
  <c r="N702" i="5"/>
  <c r="M702" i="5"/>
  <c r="L702" i="5"/>
  <c r="K702" i="5"/>
  <c r="J702" i="5"/>
  <c r="I702" i="5"/>
  <c r="O701" i="5"/>
  <c r="N701" i="5"/>
  <c r="M701" i="5"/>
  <c r="L701" i="5"/>
  <c r="K701" i="5"/>
  <c r="J701" i="5"/>
  <c r="I701" i="5"/>
  <c r="O700" i="5"/>
  <c r="N700" i="5"/>
  <c r="M700" i="5"/>
  <c r="L700" i="5"/>
  <c r="K700" i="5"/>
  <c r="J700" i="5"/>
  <c r="I700" i="5"/>
  <c r="O699" i="5"/>
  <c r="N699" i="5"/>
  <c r="M699" i="5"/>
  <c r="L699" i="5"/>
  <c r="K699" i="5"/>
  <c r="J699" i="5"/>
  <c r="I699" i="5"/>
  <c r="O698" i="5"/>
  <c r="N698" i="5"/>
  <c r="M698" i="5"/>
  <c r="L698" i="5"/>
  <c r="K698" i="5"/>
  <c r="J698" i="5"/>
  <c r="I698" i="5"/>
  <c r="O697" i="5"/>
  <c r="N697" i="5"/>
  <c r="M697" i="5"/>
  <c r="L697" i="5"/>
  <c r="K697" i="5"/>
  <c r="J697" i="5"/>
  <c r="I697" i="5"/>
  <c r="O696" i="5"/>
  <c r="N696" i="5"/>
  <c r="M696" i="5"/>
  <c r="L696" i="5"/>
  <c r="K696" i="5"/>
  <c r="J696" i="5"/>
  <c r="I696" i="5"/>
  <c r="O695" i="5"/>
  <c r="N695" i="5"/>
  <c r="M695" i="5"/>
  <c r="L695" i="5"/>
  <c r="K695" i="5"/>
  <c r="J695" i="5"/>
  <c r="I695" i="5"/>
  <c r="O694" i="5"/>
  <c r="N694" i="5"/>
  <c r="M694" i="5"/>
  <c r="L694" i="5"/>
  <c r="K694" i="5"/>
  <c r="J694" i="5"/>
  <c r="I694" i="5"/>
  <c r="O693" i="5"/>
  <c r="N693" i="5"/>
  <c r="M693" i="5"/>
  <c r="L693" i="5"/>
  <c r="K693" i="5"/>
  <c r="J693" i="5"/>
  <c r="I693" i="5"/>
  <c r="O692" i="5"/>
  <c r="N692" i="5"/>
  <c r="M692" i="5"/>
  <c r="L692" i="5"/>
  <c r="K692" i="5"/>
  <c r="J692" i="5"/>
  <c r="I692" i="5"/>
  <c r="O691" i="5"/>
  <c r="N691" i="5"/>
  <c r="M691" i="5"/>
  <c r="L691" i="5"/>
  <c r="K691" i="5"/>
  <c r="J691" i="5"/>
  <c r="I691" i="5"/>
  <c r="O690" i="5"/>
  <c r="N690" i="5"/>
  <c r="M690" i="5"/>
  <c r="L690" i="5"/>
  <c r="K690" i="5"/>
  <c r="J690" i="5"/>
  <c r="I690" i="5"/>
  <c r="O689" i="5"/>
  <c r="N689" i="5"/>
  <c r="M689" i="5"/>
  <c r="L689" i="5"/>
  <c r="K689" i="5"/>
  <c r="J689" i="5"/>
  <c r="I689" i="5"/>
  <c r="O688" i="5"/>
  <c r="N688" i="5"/>
  <c r="M688" i="5"/>
  <c r="L688" i="5"/>
  <c r="K688" i="5"/>
  <c r="J688" i="5"/>
  <c r="I688" i="5"/>
  <c r="O687" i="5"/>
  <c r="N687" i="5"/>
  <c r="M687" i="5"/>
  <c r="L687" i="5"/>
  <c r="K687" i="5"/>
  <c r="J687" i="5"/>
  <c r="I687" i="5"/>
  <c r="O686" i="5"/>
  <c r="N686" i="5"/>
  <c r="M686" i="5"/>
  <c r="L686" i="5"/>
  <c r="K686" i="5"/>
  <c r="J686" i="5"/>
  <c r="I686" i="5"/>
  <c r="O685" i="5"/>
  <c r="N685" i="5"/>
  <c r="M685" i="5"/>
  <c r="L685" i="5"/>
  <c r="K685" i="5"/>
  <c r="J685" i="5"/>
  <c r="I685" i="5"/>
  <c r="O684" i="5"/>
  <c r="N684" i="5"/>
  <c r="M684" i="5"/>
  <c r="L684" i="5"/>
  <c r="K684" i="5"/>
  <c r="J684" i="5"/>
  <c r="I684" i="5"/>
  <c r="O683" i="5"/>
  <c r="N683" i="5"/>
  <c r="M683" i="5"/>
  <c r="L683" i="5"/>
  <c r="K683" i="5"/>
  <c r="J683" i="5"/>
  <c r="I683" i="5"/>
  <c r="O682" i="5"/>
  <c r="N682" i="5"/>
  <c r="M682" i="5"/>
  <c r="L682" i="5"/>
  <c r="K682" i="5"/>
  <c r="J682" i="5"/>
  <c r="I682" i="5"/>
  <c r="O681" i="5"/>
  <c r="N681" i="5"/>
  <c r="M681" i="5"/>
  <c r="L681" i="5"/>
  <c r="K681" i="5"/>
  <c r="J681" i="5"/>
  <c r="I681" i="5"/>
  <c r="O680" i="5"/>
  <c r="N680" i="5"/>
  <c r="M680" i="5"/>
  <c r="L680" i="5"/>
  <c r="K680" i="5"/>
  <c r="J680" i="5"/>
  <c r="I680" i="5"/>
  <c r="O679" i="5"/>
  <c r="N679" i="5"/>
  <c r="M679" i="5"/>
  <c r="L679" i="5"/>
  <c r="K679" i="5"/>
  <c r="J679" i="5"/>
  <c r="I679" i="5"/>
  <c r="O678" i="5"/>
  <c r="N678" i="5"/>
  <c r="M678" i="5"/>
  <c r="L678" i="5"/>
  <c r="K678" i="5"/>
  <c r="J678" i="5"/>
  <c r="I678" i="5"/>
  <c r="O677" i="5"/>
  <c r="N677" i="5"/>
  <c r="M677" i="5"/>
  <c r="L677" i="5"/>
  <c r="K677" i="5"/>
  <c r="J677" i="5"/>
  <c r="I677" i="5"/>
  <c r="O676" i="5"/>
  <c r="N676" i="5"/>
  <c r="M676" i="5"/>
  <c r="L676" i="5"/>
  <c r="K676" i="5"/>
  <c r="J676" i="5"/>
  <c r="I676" i="5"/>
  <c r="O675" i="5"/>
  <c r="N675" i="5"/>
  <c r="M675" i="5"/>
  <c r="L675" i="5"/>
  <c r="K675" i="5"/>
  <c r="J675" i="5"/>
  <c r="I675" i="5"/>
  <c r="O674" i="5"/>
  <c r="N674" i="5"/>
  <c r="M674" i="5"/>
  <c r="L674" i="5"/>
  <c r="K674" i="5"/>
  <c r="J674" i="5"/>
  <c r="I674" i="5"/>
  <c r="O673" i="5"/>
  <c r="N673" i="5"/>
  <c r="M673" i="5"/>
  <c r="L673" i="5"/>
  <c r="K673" i="5"/>
  <c r="J673" i="5"/>
  <c r="I673" i="5"/>
  <c r="O672" i="5"/>
  <c r="N672" i="5"/>
  <c r="M672" i="5"/>
  <c r="L672" i="5"/>
  <c r="K672" i="5"/>
  <c r="J672" i="5"/>
  <c r="I672" i="5"/>
  <c r="O671" i="5"/>
  <c r="N671" i="5"/>
  <c r="M671" i="5"/>
  <c r="L671" i="5"/>
  <c r="K671" i="5"/>
  <c r="J671" i="5"/>
  <c r="I671" i="5"/>
  <c r="O670" i="5"/>
  <c r="N670" i="5"/>
  <c r="M670" i="5"/>
  <c r="L670" i="5"/>
  <c r="K670" i="5"/>
  <c r="J670" i="5"/>
  <c r="I670" i="5"/>
  <c r="O669" i="5"/>
  <c r="N669" i="5"/>
  <c r="M669" i="5"/>
  <c r="L669" i="5"/>
  <c r="K669" i="5"/>
  <c r="J669" i="5"/>
  <c r="I669" i="5"/>
  <c r="O668" i="5"/>
  <c r="N668" i="5"/>
  <c r="M668" i="5"/>
  <c r="L668" i="5"/>
  <c r="K668" i="5"/>
  <c r="J668" i="5"/>
  <c r="I668" i="5"/>
  <c r="O667" i="5"/>
  <c r="N667" i="5"/>
  <c r="M667" i="5"/>
  <c r="L667" i="5"/>
  <c r="K667" i="5"/>
  <c r="J667" i="5"/>
  <c r="I667" i="5"/>
  <c r="O666" i="5"/>
  <c r="N666" i="5"/>
  <c r="M666" i="5"/>
  <c r="L666" i="5"/>
  <c r="K666" i="5"/>
  <c r="J666" i="5"/>
  <c r="I666" i="5"/>
  <c r="O665" i="5"/>
  <c r="N665" i="5"/>
  <c r="M665" i="5"/>
  <c r="L665" i="5"/>
  <c r="K665" i="5"/>
  <c r="J665" i="5"/>
  <c r="I665" i="5"/>
  <c r="O664" i="5"/>
  <c r="N664" i="5"/>
  <c r="M664" i="5"/>
  <c r="L664" i="5"/>
  <c r="K664" i="5"/>
  <c r="J664" i="5"/>
  <c r="I664" i="5"/>
  <c r="O663" i="5"/>
  <c r="N663" i="5"/>
  <c r="M663" i="5"/>
  <c r="L663" i="5"/>
  <c r="K663" i="5"/>
  <c r="J663" i="5"/>
  <c r="I663" i="5"/>
  <c r="O662" i="5"/>
  <c r="N662" i="5"/>
  <c r="M662" i="5"/>
  <c r="L662" i="5"/>
  <c r="K662" i="5"/>
  <c r="J662" i="5"/>
  <c r="I662" i="5"/>
  <c r="O661" i="5"/>
  <c r="N661" i="5"/>
  <c r="M661" i="5"/>
  <c r="L661" i="5"/>
  <c r="K661" i="5"/>
  <c r="J661" i="5"/>
  <c r="I661" i="5"/>
  <c r="O660" i="5"/>
  <c r="N660" i="5"/>
  <c r="M660" i="5"/>
  <c r="L660" i="5"/>
  <c r="K660" i="5"/>
  <c r="J660" i="5"/>
  <c r="I660" i="5"/>
  <c r="O659" i="5"/>
  <c r="N659" i="5"/>
  <c r="M659" i="5"/>
  <c r="L659" i="5"/>
  <c r="K659" i="5"/>
  <c r="J659" i="5"/>
  <c r="I659" i="5"/>
  <c r="O658" i="5"/>
  <c r="N658" i="5"/>
  <c r="M658" i="5"/>
  <c r="L658" i="5"/>
  <c r="K658" i="5"/>
  <c r="J658" i="5"/>
  <c r="I658" i="5"/>
  <c r="O657" i="5"/>
  <c r="N657" i="5"/>
  <c r="M657" i="5"/>
  <c r="L657" i="5"/>
  <c r="K657" i="5"/>
  <c r="J657" i="5"/>
  <c r="I657" i="5"/>
  <c r="O656" i="5"/>
  <c r="N656" i="5"/>
  <c r="M656" i="5"/>
  <c r="L656" i="5"/>
  <c r="K656" i="5"/>
  <c r="J656" i="5"/>
  <c r="I656" i="5"/>
  <c r="O655" i="5"/>
  <c r="N655" i="5"/>
  <c r="M655" i="5"/>
  <c r="L655" i="5"/>
  <c r="K655" i="5"/>
  <c r="J655" i="5"/>
  <c r="I655" i="5"/>
  <c r="O654" i="5"/>
  <c r="N654" i="5"/>
  <c r="M654" i="5"/>
  <c r="L654" i="5"/>
  <c r="K654" i="5"/>
  <c r="J654" i="5"/>
  <c r="I654" i="5"/>
  <c r="O653" i="5"/>
  <c r="N653" i="5"/>
  <c r="M653" i="5"/>
  <c r="L653" i="5"/>
  <c r="K653" i="5"/>
  <c r="J653" i="5"/>
  <c r="I653" i="5"/>
  <c r="O652" i="5"/>
  <c r="N652" i="5"/>
  <c r="M652" i="5"/>
  <c r="L652" i="5"/>
  <c r="K652" i="5"/>
  <c r="J652" i="5"/>
  <c r="I652" i="5"/>
  <c r="O651" i="5"/>
  <c r="N651" i="5"/>
  <c r="M651" i="5"/>
  <c r="L651" i="5"/>
  <c r="K651" i="5"/>
  <c r="J651" i="5"/>
  <c r="I651" i="5"/>
  <c r="O650" i="5"/>
  <c r="N650" i="5"/>
  <c r="M650" i="5"/>
  <c r="L650" i="5"/>
  <c r="K650" i="5"/>
  <c r="J650" i="5"/>
  <c r="I650" i="5"/>
  <c r="O649" i="5"/>
  <c r="N649" i="5"/>
  <c r="M649" i="5"/>
  <c r="L649" i="5"/>
  <c r="K649" i="5"/>
  <c r="J649" i="5"/>
  <c r="I649" i="5"/>
  <c r="O648" i="5"/>
  <c r="N648" i="5"/>
  <c r="M648" i="5"/>
  <c r="L648" i="5"/>
  <c r="K648" i="5"/>
  <c r="J648" i="5"/>
  <c r="I648" i="5"/>
  <c r="O647" i="5"/>
  <c r="N647" i="5"/>
  <c r="M647" i="5"/>
  <c r="L647" i="5"/>
  <c r="K647" i="5"/>
  <c r="J647" i="5"/>
  <c r="I647" i="5"/>
  <c r="O646" i="5"/>
  <c r="N646" i="5"/>
  <c r="M646" i="5"/>
  <c r="L646" i="5"/>
  <c r="K646" i="5"/>
  <c r="J646" i="5"/>
  <c r="I646" i="5"/>
  <c r="O645" i="5"/>
  <c r="N645" i="5"/>
  <c r="M645" i="5"/>
  <c r="L645" i="5"/>
  <c r="K645" i="5"/>
  <c r="J645" i="5"/>
  <c r="I645" i="5"/>
  <c r="O644" i="5"/>
  <c r="N644" i="5"/>
  <c r="M644" i="5"/>
  <c r="L644" i="5"/>
  <c r="K644" i="5"/>
  <c r="J644" i="5"/>
  <c r="I644" i="5"/>
  <c r="O643" i="5"/>
  <c r="N643" i="5"/>
  <c r="M643" i="5"/>
  <c r="L643" i="5"/>
  <c r="K643" i="5"/>
  <c r="J643" i="5"/>
  <c r="I643" i="5"/>
  <c r="O642" i="5"/>
  <c r="N642" i="5"/>
  <c r="M642" i="5"/>
  <c r="L642" i="5"/>
  <c r="K642" i="5"/>
  <c r="J642" i="5"/>
  <c r="I642" i="5"/>
  <c r="O641" i="5"/>
  <c r="N641" i="5"/>
  <c r="M641" i="5"/>
  <c r="L641" i="5"/>
  <c r="K641" i="5"/>
  <c r="J641" i="5"/>
  <c r="I641" i="5"/>
  <c r="O640" i="5"/>
  <c r="N640" i="5"/>
  <c r="M640" i="5"/>
  <c r="L640" i="5"/>
  <c r="K640" i="5"/>
  <c r="J640" i="5"/>
  <c r="I640" i="5"/>
  <c r="O639" i="5"/>
  <c r="N639" i="5"/>
  <c r="M639" i="5"/>
  <c r="L639" i="5"/>
  <c r="K639" i="5"/>
  <c r="J639" i="5"/>
  <c r="I639" i="5"/>
  <c r="O638" i="5"/>
  <c r="N638" i="5"/>
  <c r="M638" i="5"/>
  <c r="L638" i="5"/>
  <c r="K638" i="5"/>
  <c r="J638" i="5"/>
  <c r="I638" i="5"/>
  <c r="O637" i="5"/>
  <c r="N637" i="5"/>
  <c r="M637" i="5"/>
  <c r="L637" i="5"/>
  <c r="K637" i="5"/>
  <c r="J637" i="5"/>
  <c r="I637" i="5"/>
  <c r="O636" i="5"/>
  <c r="N636" i="5"/>
  <c r="M636" i="5"/>
  <c r="L636" i="5"/>
  <c r="K636" i="5"/>
  <c r="J636" i="5"/>
  <c r="I636" i="5"/>
  <c r="O635" i="5"/>
  <c r="N635" i="5"/>
  <c r="M635" i="5"/>
  <c r="L635" i="5"/>
  <c r="K635" i="5"/>
  <c r="J635" i="5"/>
  <c r="I635" i="5"/>
  <c r="O634" i="5"/>
  <c r="N634" i="5"/>
  <c r="M634" i="5"/>
  <c r="L634" i="5"/>
  <c r="K634" i="5"/>
  <c r="J634" i="5"/>
  <c r="I634" i="5"/>
  <c r="O633" i="5"/>
  <c r="N633" i="5"/>
  <c r="M633" i="5"/>
  <c r="L633" i="5"/>
  <c r="K633" i="5"/>
  <c r="J633" i="5"/>
  <c r="I633" i="5"/>
  <c r="O632" i="5"/>
  <c r="N632" i="5"/>
  <c r="M632" i="5"/>
  <c r="L632" i="5"/>
  <c r="K632" i="5"/>
  <c r="J632" i="5"/>
  <c r="I632" i="5"/>
  <c r="O631" i="5"/>
  <c r="N631" i="5"/>
  <c r="M631" i="5"/>
  <c r="L631" i="5"/>
  <c r="K631" i="5"/>
  <c r="J631" i="5"/>
  <c r="I631" i="5"/>
  <c r="O630" i="5"/>
  <c r="N630" i="5"/>
  <c r="M630" i="5"/>
  <c r="L630" i="5"/>
  <c r="K630" i="5"/>
  <c r="J630" i="5"/>
  <c r="I630" i="5"/>
  <c r="O629" i="5"/>
  <c r="N629" i="5"/>
  <c r="M629" i="5"/>
  <c r="L629" i="5"/>
  <c r="K629" i="5"/>
  <c r="J629" i="5"/>
  <c r="I629" i="5"/>
  <c r="O628" i="5"/>
  <c r="N628" i="5"/>
  <c r="M628" i="5"/>
  <c r="L628" i="5"/>
  <c r="K628" i="5"/>
  <c r="J628" i="5"/>
  <c r="I628" i="5"/>
  <c r="O627" i="5"/>
  <c r="N627" i="5"/>
  <c r="M627" i="5"/>
  <c r="L627" i="5"/>
  <c r="K627" i="5"/>
  <c r="J627" i="5"/>
  <c r="I627" i="5"/>
  <c r="O626" i="5"/>
  <c r="N626" i="5"/>
  <c r="M626" i="5"/>
  <c r="L626" i="5"/>
  <c r="K626" i="5"/>
  <c r="J626" i="5"/>
  <c r="I626" i="5"/>
  <c r="O625" i="5"/>
  <c r="N625" i="5"/>
  <c r="M625" i="5"/>
  <c r="L625" i="5"/>
  <c r="K625" i="5"/>
  <c r="J625" i="5"/>
  <c r="I625" i="5"/>
  <c r="O624" i="5"/>
  <c r="N624" i="5"/>
  <c r="M624" i="5"/>
  <c r="L624" i="5"/>
  <c r="K624" i="5"/>
  <c r="J624" i="5"/>
  <c r="I624" i="5"/>
  <c r="O623" i="5"/>
  <c r="N623" i="5"/>
  <c r="M623" i="5"/>
  <c r="L623" i="5"/>
  <c r="K623" i="5"/>
  <c r="J623" i="5"/>
  <c r="I623" i="5"/>
  <c r="O622" i="5"/>
  <c r="N622" i="5"/>
  <c r="M622" i="5"/>
  <c r="L622" i="5"/>
  <c r="K622" i="5"/>
  <c r="J622" i="5"/>
  <c r="I622" i="5"/>
  <c r="O621" i="5"/>
  <c r="N621" i="5"/>
  <c r="M621" i="5"/>
  <c r="L621" i="5"/>
  <c r="K621" i="5"/>
  <c r="J621" i="5"/>
  <c r="I621" i="5"/>
  <c r="O620" i="5"/>
  <c r="N620" i="5"/>
  <c r="M620" i="5"/>
  <c r="L620" i="5"/>
  <c r="K620" i="5"/>
  <c r="J620" i="5"/>
  <c r="I620" i="5"/>
  <c r="O619" i="5"/>
  <c r="N619" i="5"/>
  <c r="M619" i="5"/>
  <c r="L619" i="5"/>
  <c r="K619" i="5"/>
  <c r="J619" i="5"/>
  <c r="I619" i="5"/>
  <c r="O618" i="5"/>
  <c r="N618" i="5"/>
  <c r="M618" i="5"/>
  <c r="L618" i="5"/>
  <c r="K618" i="5"/>
  <c r="J618" i="5"/>
  <c r="I618" i="5"/>
  <c r="O617" i="5"/>
  <c r="N617" i="5"/>
  <c r="M617" i="5"/>
  <c r="L617" i="5"/>
  <c r="K617" i="5"/>
  <c r="J617" i="5"/>
  <c r="I617" i="5"/>
  <c r="O616" i="5"/>
  <c r="N616" i="5"/>
  <c r="M616" i="5"/>
  <c r="L616" i="5"/>
  <c r="K616" i="5"/>
  <c r="J616" i="5"/>
  <c r="I616" i="5"/>
  <c r="O615" i="5"/>
  <c r="N615" i="5"/>
  <c r="M615" i="5"/>
  <c r="L615" i="5"/>
  <c r="K615" i="5"/>
  <c r="J615" i="5"/>
  <c r="I615" i="5"/>
  <c r="O614" i="5"/>
  <c r="N614" i="5"/>
  <c r="M614" i="5"/>
  <c r="L614" i="5"/>
  <c r="K614" i="5"/>
  <c r="J614" i="5"/>
  <c r="I614" i="5"/>
  <c r="O613" i="5"/>
  <c r="N613" i="5"/>
  <c r="M613" i="5"/>
  <c r="L613" i="5"/>
  <c r="K613" i="5"/>
  <c r="J613" i="5"/>
  <c r="I613" i="5"/>
  <c r="O612" i="5"/>
  <c r="N612" i="5"/>
  <c r="M612" i="5"/>
  <c r="L612" i="5"/>
  <c r="K612" i="5"/>
  <c r="J612" i="5"/>
  <c r="I612" i="5"/>
  <c r="O611" i="5"/>
  <c r="N611" i="5"/>
  <c r="M611" i="5"/>
  <c r="L611" i="5"/>
  <c r="K611" i="5"/>
  <c r="J611" i="5"/>
  <c r="I611" i="5"/>
  <c r="O610" i="5"/>
  <c r="N610" i="5"/>
  <c r="M610" i="5"/>
  <c r="L610" i="5"/>
  <c r="K610" i="5"/>
  <c r="J610" i="5"/>
  <c r="I610" i="5"/>
  <c r="O609" i="5"/>
  <c r="N609" i="5"/>
  <c r="M609" i="5"/>
  <c r="L609" i="5"/>
  <c r="K609" i="5"/>
  <c r="J609" i="5"/>
  <c r="I609" i="5"/>
  <c r="O608" i="5"/>
  <c r="N608" i="5"/>
  <c r="M608" i="5"/>
  <c r="L608" i="5"/>
  <c r="K608" i="5"/>
  <c r="J608" i="5"/>
  <c r="I608" i="5"/>
  <c r="O607" i="5"/>
  <c r="N607" i="5"/>
  <c r="M607" i="5"/>
  <c r="L607" i="5"/>
  <c r="K607" i="5"/>
  <c r="J607" i="5"/>
  <c r="I607" i="5"/>
  <c r="O606" i="5"/>
  <c r="N606" i="5"/>
  <c r="M606" i="5"/>
  <c r="L606" i="5"/>
  <c r="K606" i="5"/>
  <c r="J606" i="5"/>
  <c r="I606" i="5"/>
  <c r="O605" i="5"/>
  <c r="N605" i="5"/>
  <c r="M605" i="5"/>
  <c r="L605" i="5"/>
  <c r="K605" i="5"/>
  <c r="J605" i="5"/>
  <c r="I605" i="5"/>
  <c r="O604" i="5"/>
  <c r="N604" i="5"/>
  <c r="M604" i="5"/>
  <c r="L604" i="5"/>
  <c r="K604" i="5"/>
  <c r="J604" i="5"/>
  <c r="I604" i="5"/>
  <c r="O603" i="5"/>
  <c r="N603" i="5"/>
  <c r="M603" i="5"/>
  <c r="L603" i="5"/>
  <c r="K603" i="5"/>
  <c r="J603" i="5"/>
  <c r="I603" i="5"/>
  <c r="O602" i="5"/>
  <c r="N602" i="5"/>
  <c r="M602" i="5"/>
  <c r="L602" i="5"/>
  <c r="K602" i="5"/>
  <c r="J602" i="5"/>
  <c r="I602" i="5"/>
  <c r="O601" i="5"/>
  <c r="N601" i="5"/>
  <c r="M601" i="5"/>
  <c r="L601" i="5"/>
  <c r="K601" i="5"/>
  <c r="J601" i="5"/>
  <c r="I601" i="5"/>
  <c r="O600" i="5"/>
  <c r="N600" i="5"/>
  <c r="M600" i="5"/>
  <c r="L600" i="5"/>
  <c r="K600" i="5"/>
  <c r="J600" i="5"/>
  <c r="I600" i="5"/>
  <c r="O599" i="5"/>
  <c r="N599" i="5"/>
  <c r="M599" i="5"/>
  <c r="L599" i="5"/>
  <c r="K599" i="5"/>
  <c r="J599" i="5"/>
  <c r="I599" i="5"/>
  <c r="O598" i="5"/>
  <c r="N598" i="5"/>
  <c r="M598" i="5"/>
  <c r="L598" i="5"/>
  <c r="K598" i="5"/>
  <c r="J598" i="5"/>
  <c r="I598" i="5"/>
  <c r="O597" i="5"/>
  <c r="N597" i="5"/>
  <c r="M597" i="5"/>
  <c r="L597" i="5"/>
  <c r="K597" i="5"/>
  <c r="J597" i="5"/>
  <c r="I597" i="5"/>
  <c r="O596" i="5"/>
  <c r="N596" i="5"/>
  <c r="M596" i="5"/>
  <c r="L596" i="5"/>
  <c r="K596" i="5"/>
  <c r="J596" i="5"/>
  <c r="I596" i="5"/>
  <c r="O595" i="5"/>
  <c r="N595" i="5"/>
  <c r="M595" i="5"/>
  <c r="L595" i="5"/>
  <c r="K595" i="5"/>
  <c r="J595" i="5"/>
  <c r="I595" i="5"/>
  <c r="O594" i="5"/>
  <c r="N594" i="5"/>
  <c r="M594" i="5"/>
  <c r="L594" i="5"/>
  <c r="K594" i="5"/>
  <c r="J594" i="5"/>
  <c r="I594" i="5"/>
  <c r="O593" i="5"/>
  <c r="N593" i="5"/>
  <c r="M593" i="5"/>
  <c r="L593" i="5"/>
  <c r="K593" i="5"/>
  <c r="J593" i="5"/>
  <c r="I593" i="5"/>
  <c r="O592" i="5"/>
  <c r="N592" i="5"/>
  <c r="M592" i="5"/>
  <c r="L592" i="5"/>
  <c r="K592" i="5"/>
  <c r="J592" i="5"/>
  <c r="I592" i="5"/>
  <c r="O591" i="5"/>
  <c r="N591" i="5"/>
  <c r="M591" i="5"/>
  <c r="L591" i="5"/>
  <c r="K591" i="5"/>
  <c r="J591" i="5"/>
  <c r="I591" i="5"/>
  <c r="O590" i="5"/>
  <c r="N590" i="5"/>
  <c r="M590" i="5"/>
  <c r="L590" i="5"/>
  <c r="K590" i="5"/>
  <c r="J590" i="5"/>
  <c r="I590" i="5"/>
  <c r="O589" i="5"/>
  <c r="N589" i="5"/>
  <c r="M589" i="5"/>
  <c r="L589" i="5"/>
  <c r="K589" i="5"/>
  <c r="J589" i="5"/>
  <c r="I589" i="5"/>
  <c r="O588" i="5"/>
  <c r="N588" i="5"/>
  <c r="M588" i="5"/>
  <c r="L588" i="5"/>
  <c r="K588" i="5"/>
  <c r="J588" i="5"/>
  <c r="I588" i="5"/>
  <c r="O587" i="5"/>
  <c r="N587" i="5"/>
  <c r="M587" i="5"/>
  <c r="L587" i="5"/>
  <c r="K587" i="5"/>
  <c r="J587" i="5"/>
  <c r="I587" i="5"/>
  <c r="O586" i="5"/>
  <c r="N586" i="5"/>
  <c r="M586" i="5"/>
  <c r="L586" i="5"/>
  <c r="K586" i="5"/>
  <c r="J586" i="5"/>
  <c r="I586" i="5"/>
  <c r="O585" i="5"/>
  <c r="N585" i="5"/>
  <c r="M585" i="5"/>
  <c r="L585" i="5"/>
  <c r="K585" i="5"/>
  <c r="J585" i="5"/>
  <c r="I585" i="5"/>
  <c r="O584" i="5"/>
  <c r="N584" i="5"/>
  <c r="M584" i="5"/>
  <c r="L584" i="5"/>
  <c r="K584" i="5"/>
  <c r="J584" i="5"/>
  <c r="I584" i="5"/>
  <c r="O583" i="5"/>
  <c r="N583" i="5"/>
  <c r="M583" i="5"/>
  <c r="L583" i="5"/>
  <c r="K583" i="5"/>
  <c r="J583" i="5"/>
  <c r="I583" i="5"/>
  <c r="O582" i="5"/>
  <c r="N582" i="5"/>
  <c r="M582" i="5"/>
  <c r="L582" i="5"/>
  <c r="K582" i="5"/>
  <c r="J582" i="5"/>
  <c r="I582" i="5"/>
  <c r="O581" i="5"/>
  <c r="N581" i="5"/>
  <c r="M581" i="5"/>
  <c r="L581" i="5"/>
  <c r="K581" i="5"/>
  <c r="J581" i="5"/>
  <c r="I581" i="5"/>
  <c r="O580" i="5"/>
  <c r="N580" i="5"/>
  <c r="M580" i="5"/>
  <c r="L580" i="5"/>
  <c r="K580" i="5"/>
  <c r="J580" i="5"/>
  <c r="I580" i="5"/>
  <c r="O579" i="5"/>
  <c r="N579" i="5"/>
  <c r="M579" i="5"/>
  <c r="L579" i="5"/>
  <c r="K579" i="5"/>
  <c r="J579" i="5"/>
  <c r="I579" i="5"/>
  <c r="O578" i="5"/>
  <c r="N578" i="5"/>
  <c r="M578" i="5"/>
  <c r="L578" i="5"/>
  <c r="K578" i="5"/>
  <c r="J578" i="5"/>
  <c r="I578" i="5"/>
  <c r="O577" i="5"/>
  <c r="N577" i="5"/>
  <c r="M577" i="5"/>
  <c r="L577" i="5"/>
  <c r="K577" i="5"/>
  <c r="J577" i="5"/>
  <c r="I577" i="5"/>
  <c r="O576" i="5"/>
  <c r="N576" i="5"/>
  <c r="M576" i="5"/>
  <c r="L576" i="5"/>
  <c r="K576" i="5"/>
  <c r="J576" i="5"/>
  <c r="I576" i="5"/>
  <c r="O575" i="5"/>
  <c r="N575" i="5"/>
  <c r="M575" i="5"/>
  <c r="L575" i="5"/>
  <c r="K575" i="5"/>
  <c r="J575" i="5"/>
  <c r="I575" i="5"/>
  <c r="O574" i="5"/>
  <c r="N574" i="5"/>
  <c r="M574" i="5"/>
  <c r="L574" i="5"/>
  <c r="K574" i="5"/>
  <c r="J574" i="5"/>
  <c r="I574" i="5"/>
  <c r="O573" i="5"/>
  <c r="N573" i="5"/>
  <c r="M573" i="5"/>
  <c r="L573" i="5"/>
  <c r="K573" i="5"/>
  <c r="J573" i="5"/>
  <c r="I573" i="5"/>
  <c r="O572" i="5"/>
  <c r="N572" i="5"/>
  <c r="M572" i="5"/>
  <c r="L572" i="5"/>
  <c r="K572" i="5"/>
  <c r="J572" i="5"/>
  <c r="I572" i="5"/>
  <c r="O571" i="5"/>
  <c r="N571" i="5"/>
  <c r="M571" i="5"/>
  <c r="L571" i="5"/>
  <c r="K571" i="5"/>
  <c r="J571" i="5"/>
  <c r="I571" i="5"/>
  <c r="O570" i="5"/>
  <c r="N570" i="5"/>
  <c r="M570" i="5"/>
  <c r="L570" i="5"/>
  <c r="K570" i="5"/>
  <c r="J570" i="5"/>
  <c r="I570" i="5"/>
  <c r="O569" i="5"/>
  <c r="N569" i="5"/>
  <c r="M569" i="5"/>
  <c r="L569" i="5"/>
  <c r="K569" i="5"/>
  <c r="J569" i="5"/>
  <c r="I569" i="5"/>
  <c r="O568" i="5"/>
  <c r="N568" i="5"/>
  <c r="M568" i="5"/>
  <c r="L568" i="5"/>
  <c r="K568" i="5"/>
  <c r="J568" i="5"/>
  <c r="I568" i="5"/>
  <c r="O567" i="5"/>
  <c r="N567" i="5"/>
  <c r="M567" i="5"/>
  <c r="L567" i="5"/>
  <c r="K567" i="5"/>
  <c r="J567" i="5"/>
  <c r="I567" i="5"/>
  <c r="O566" i="5"/>
  <c r="N566" i="5"/>
  <c r="M566" i="5"/>
  <c r="L566" i="5"/>
  <c r="K566" i="5"/>
  <c r="J566" i="5"/>
  <c r="I566" i="5"/>
  <c r="O565" i="5"/>
  <c r="N565" i="5"/>
  <c r="M565" i="5"/>
  <c r="L565" i="5"/>
  <c r="K565" i="5"/>
  <c r="J565" i="5"/>
  <c r="I565" i="5"/>
  <c r="O564" i="5"/>
  <c r="N564" i="5"/>
  <c r="M564" i="5"/>
  <c r="L564" i="5"/>
  <c r="K564" i="5"/>
  <c r="J564" i="5"/>
  <c r="I564" i="5"/>
  <c r="O563" i="5"/>
  <c r="N563" i="5"/>
  <c r="M563" i="5"/>
  <c r="L563" i="5"/>
  <c r="K563" i="5"/>
  <c r="J563" i="5"/>
  <c r="I563" i="5"/>
  <c r="O562" i="5"/>
  <c r="N562" i="5"/>
  <c r="M562" i="5"/>
  <c r="L562" i="5"/>
  <c r="K562" i="5"/>
  <c r="J562" i="5"/>
  <c r="I562" i="5"/>
  <c r="O561" i="5"/>
  <c r="N561" i="5"/>
  <c r="M561" i="5"/>
  <c r="L561" i="5"/>
  <c r="K561" i="5"/>
  <c r="J561" i="5"/>
  <c r="I561" i="5"/>
  <c r="O560" i="5"/>
  <c r="N560" i="5"/>
  <c r="M560" i="5"/>
  <c r="L560" i="5"/>
  <c r="K560" i="5"/>
  <c r="J560" i="5"/>
  <c r="I560" i="5"/>
  <c r="O559" i="5"/>
  <c r="N559" i="5"/>
  <c r="M559" i="5"/>
  <c r="L559" i="5"/>
  <c r="K559" i="5"/>
  <c r="J559" i="5"/>
  <c r="I559" i="5"/>
  <c r="O558" i="5"/>
  <c r="N558" i="5"/>
  <c r="M558" i="5"/>
  <c r="L558" i="5"/>
  <c r="K558" i="5"/>
  <c r="J558" i="5"/>
  <c r="I558" i="5"/>
  <c r="O557" i="5"/>
  <c r="N557" i="5"/>
  <c r="M557" i="5"/>
  <c r="L557" i="5"/>
  <c r="K557" i="5"/>
  <c r="J557" i="5"/>
  <c r="I557" i="5"/>
  <c r="O556" i="5"/>
  <c r="N556" i="5"/>
  <c r="M556" i="5"/>
  <c r="L556" i="5"/>
  <c r="K556" i="5"/>
  <c r="J556" i="5"/>
  <c r="I556" i="5"/>
  <c r="O555" i="5"/>
  <c r="N555" i="5"/>
  <c r="M555" i="5"/>
  <c r="L555" i="5"/>
  <c r="K555" i="5"/>
  <c r="J555" i="5"/>
  <c r="I555" i="5"/>
  <c r="O554" i="5"/>
  <c r="N554" i="5"/>
  <c r="M554" i="5"/>
  <c r="L554" i="5"/>
  <c r="K554" i="5"/>
  <c r="J554" i="5"/>
  <c r="I554" i="5"/>
  <c r="O553" i="5"/>
  <c r="N553" i="5"/>
  <c r="M553" i="5"/>
  <c r="L553" i="5"/>
  <c r="K553" i="5"/>
  <c r="J553" i="5"/>
  <c r="I553" i="5"/>
  <c r="O552" i="5"/>
  <c r="N552" i="5"/>
  <c r="M552" i="5"/>
  <c r="L552" i="5"/>
  <c r="K552" i="5"/>
  <c r="J552" i="5"/>
  <c r="I552" i="5"/>
  <c r="O551" i="5"/>
  <c r="N551" i="5"/>
  <c r="M551" i="5"/>
  <c r="L551" i="5"/>
  <c r="K551" i="5"/>
  <c r="J551" i="5"/>
  <c r="I551" i="5"/>
  <c r="O550" i="5"/>
  <c r="N550" i="5"/>
  <c r="M550" i="5"/>
  <c r="L550" i="5"/>
  <c r="K550" i="5"/>
  <c r="J550" i="5"/>
  <c r="I550" i="5"/>
  <c r="O549" i="5"/>
  <c r="N549" i="5"/>
  <c r="M549" i="5"/>
  <c r="L549" i="5"/>
  <c r="K549" i="5"/>
  <c r="J549" i="5"/>
  <c r="I549" i="5"/>
  <c r="O548" i="5"/>
  <c r="N548" i="5"/>
  <c r="M548" i="5"/>
  <c r="L548" i="5"/>
  <c r="K548" i="5"/>
  <c r="J548" i="5"/>
  <c r="I548" i="5"/>
  <c r="O547" i="5"/>
  <c r="N547" i="5"/>
  <c r="M547" i="5"/>
  <c r="L547" i="5"/>
  <c r="K547" i="5"/>
  <c r="J547" i="5"/>
  <c r="I547" i="5"/>
  <c r="O546" i="5"/>
  <c r="N546" i="5"/>
  <c r="M546" i="5"/>
  <c r="L546" i="5"/>
  <c r="K546" i="5"/>
  <c r="J546" i="5"/>
  <c r="I546" i="5"/>
  <c r="O545" i="5"/>
  <c r="N545" i="5"/>
  <c r="M545" i="5"/>
  <c r="L545" i="5"/>
  <c r="K545" i="5"/>
  <c r="J545" i="5"/>
  <c r="I545" i="5"/>
  <c r="O544" i="5"/>
  <c r="N544" i="5"/>
  <c r="M544" i="5"/>
  <c r="L544" i="5"/>
  <c r="K544" i="5"/>
  <c r="J544" i="5"/>
  <c r="I544" i="5"/>
  <c r="O543" i="5"/>
  <c r="N543" i="5"/>
  <c r="M543" i="5"/>
  <c r="L543" i="5"/>
  <c r="K543" i="5"/>
  <c r="J543" i="5"/>
  <c r="I543" i="5"/>
  <c r="O542" i="5"/>
  <c r="N542" i="5"/>
  <c r="M542" i="5"/>
  <c r="L542" i="5"/>
  <c r="K542" i="5"/>
  <c r="J542" i="5"/>
  <c r="I542" i="5"/>
  <c r="O541" i="5"/>
  <c r="N541" i="5"/>
  <c r="M541" i="5"/>
  <c r="L541" i="5"/>
  <c r="K541" i="5"/>
  <c r="J541" i="5"/>
  <c r="I541" i="5"/>
  <c r="O540" i="5"/>
  <c r="N540" i="5"/>
  <c r="M540" i="5"/>
  <c r="L540" i="5"/>
  <c r="K540" i="5"/>
  <c r="J540" i="5"/>
  <c r="I540" i="5"/>
  <c r="O539" i="5"/>
  <c r="N539" i="5"/>
  <c r="M539" i="5"/>
  <c r="L539" i="5"/>
  <c r="K539" i="5"/>
  <c r="J539" i="5"/>
  <c r="I539" i="5"/>
  <c r="O538" i="5"/>
  <c r="N538" i="5"/>
  <c r="M538" i="5"/>
  <c r="L538" i="5"/>
  <c r="K538" i="5"/>
  <c r="J538" i="5"/>
  <c r="I538" i="5"/>
  <c r="O537" i="5"/>
  <c r="N537" i="5"/>
  <c r="M537" i="5"/>
  <c r="L537" i="5"/>
  <c r="K537" i="5"/>
  <c r="J537" i="5"/>
  <c r="I537" i="5"/>
  <c r="O536" i="5"/>
  <c r="N536" i="5"/>
  <c r="M536" i="5"/>
  <c r="L536" i="5"/>
  <c r="K536" i="5"/>
  <c r="J536" i="5"/>
  <c r="I536" i="5"/>
  <c r="O535" i="5"/>
  <c r="N535" i="5"/>
  <c r="M535" i="5"/>
  <c r="L535" i="5"/>
  <c r="K535" i="5"/>
  <c r="J535" i="5"/>
  <c r="I535" i="5"/>
  <c r="O534" i="5"/>
  <c r="N534" i="5"/>
  <c r="M534" i="5"/>
  <c r="L534" i="5"/>
  <c r="K534" i="5"/>
  <c r="J534" i="5"/>
  <c r="I534" i="5"/>
  <c r="O533" i="5"/>
  <c r="N533" i="5"/>
  <c r="M533" i="5"/>
  <c r="L533" i="5"/>
  <c r="K533" i="5"/>
  <c r="J533" i="5"/>
  <c r="I533" i="5"/>
  <c r="O532" i="5"/>
  <c r="N532" i="5"/>
  <c r="M532" i="5"/>
  <c r="L532" i="5"/>
  <c r="K532" i="5"/>
  <c r="J532" i="5"/>
  <c r="I532" i="5"/>
  <c r="O531" i="5"/>
  <c r="N531" i="5"/>
  <c r="M531" i="5"/>
  <c r="L531" i="5"/>
  <c r="K531" i="5"/>
  <c r="J531" i="5"/>
  <c r="I531" i="5"/>
  <c r="O530" i="5"/>
  <c r="N530" i="5"/>
  <c r="M530" i="5"/>
  <c r="L530" i="5"/>
  <c r="K530" i="5"/>
  <c r="J530" i="5"/>
  <c r="I530" i="5"/>
  <c r="O529" i="5"/>
  <c r="N529" i="5"/>
  <c r="M529" i="5"/>
  <c r="L529" i="5"/>
  <c r="K529" i="5"/>
  <c r="J529" i="5"/>
  <c r="I529" i="5"/>
  <c r="O528" i="5"/>
  <c r="N528" i="5"/>
  <c r="M528" i="5"/>
  <c r="L528" i="5"/>
  <c r="K528" i="5"/>
  <c r="J528" i="5"/>
  <c r="I528" i="5"/>
  <c r="O527" i="5"/>
  <c r="N527" i="5"/>
  <c r="M527" i="5"/>
  <c r="L527" i="5"/>
  <c r="K527" i="5"/>
  <c r="J527" i="5"/>
  <c r="I527" i="5"/>
  <c r="O526" i="5"/>
  <c r="N526" i="5"/>
  <c r="M526" i="5"/>
  <c r="L526" i="5"/>
  <c r="K526" i="5"/>
  <c r="J526" i="5"/>
  <c r="I526" i="5"/>
  <c r="O525" i="5"/>
  <c r="N525" i="5"/>
  <c r="M525" i="5"/>
  <c r="L525" i="5"/>
  <c r="K525" i="5"/>
  <c r="J525" i="5"/>
  <c r="I525" i="5"/>
  <c r="O524" i="5"/>
  <c r="N524" i="5"/>
  <c r="M524" i="5"/>
  <c r="L524" i="5"/>
  <c r="K524" i="5"/>
  <c r="J524" i="5"/>
  <c r="I524" i="5"/>
  <c r="O523" i="5"/>
  <c r="N523" i="5"/>
  <c r="M523" i="5"/>
  <c r="L523" i="5"/>
  <c r="K523" i="5"/>
  <c r="J523" i="5"/>
  <c r="I523" i="5"/>
  <c r="O522" i="5"/>
  <c r="N522" i="5"/>
  <c r="M522" i="5"/>
  <c r="L522" i="5"/>
  <c r="K522" i="5"/>
  <c r="J522" i="5"/>
  <c r="I522" i="5"/>
  <c r="O521" i="5"/>
  <c r="N521" i="5"/>
  <c r="M521" i="5"/>
  <c r="L521" i="5"/>
  <c r="K521" i="5"/>
  <c r="J521" i="5"/>
  <c r="I521" i="5"/>
  <c r="O520" i="5"/>
  <c r="N520" i="5"/>
  <c r="M520" i="5"/>
  <c r="L520" i="5"/>
  <c r="K520" i="5"/>
  <c r="J520" i="5"/>
  <c r="I520" i="5"/>
  <c r="O519" i="5"/>
  <c r="N519" i="5"/>
  <c r="M519" i="5"/>
  <c r="L519" i="5"/>
  <c r="K519" i="5"/>
  <c r="J519" i="5"/>
  <c r="I519" i="5"/>
  <c r="O518" i="5"/>
  <c r="N518" i="5"/>
  <c r="M518" i="5"/>
  <c r="L518" i="5"/>
  <c r="K518" i="5"/>
  <c r="J518" i="5"/>
  <c r="I518" i="5"/>
  <c r="O517" i="5"/>
  <c r="N517" i="5"/>
  <c r="M517" i="5"/>
  <c r="L517" i="5"/>
  <c r="K517" i="5"/>
  <c r="J517" i="5"/>
  <c r="I517" i="5"/>
  <c r="O516" i="5"/>
  <c r="N516" i="5"/>
  <c r="M516" i="5"/>
  <c r="L516" i="5"/>
  <c r="K516" i="5"/>
  <c r="J516" i="5"/>
  <c r="I516" i="5"/>
  <c r="O515" i="5"/>
  <c r="N515" i="5"/>
  <c r="M515" i="5"/>
  <c r="L515" i="5"/>
  <c r="K515" i="5"/>
  <c r="J515" i="5"/>
  <c r="I515" i="5"/>
  <c r="O514" i="5"/>
  <c r="N514" i="5"/>
  <c r="M514" i="5"/>
  <c r="L514" i="5"/>
  <c r="K514" i="5"/>
  <c r="J514" i="5"/>
  <c r="I514" i="5"/>
  <c r="O513" i="5"/>
  <c r="N513" i="5"/>
  <c r="M513" i="5"/>
  <c r="L513" i="5"/>
  <c r="K513" i="5"/>
  <c r="J513" i="5"/>
  <c r="I513" i="5"/>
  <c r="O512" i="5"/>
  <c r="N512" i="5"/>
  <c r="M512" i="5"/>
  <c r="L512" i="5"/>
  <c r="K512" i="5"/>
  <c r="J512" i="5"/>
  <c r="I512" i="5"/>
  <c r="O511" i="5"/>
  <c r="N511" i="5"/>
  <c r="M511" i="5"/>
  <c r="L511" i="5"/>
  <c r="K511" i="5"/>
  <c r="J511" i="5"/>
  <c r="I511" i="5"/>
  <c r="O510" i="5"/>
  <c r="N510" i="5"/>
  <c r="M510" i="5"/>
  <c r="L510" i="5"/>
  <c r="K510" i="5"/>
  <c r="J510" i="5"/>
  <c r="I510" i="5"/>
  <c r="O509" i="5"/>
  <c r="N509" i="5"/>
  <c r="M509" i="5"/>
  <c r="L509" i="5"/>
  <c r="K509" i="5"/>
  <c r="J509" i="5"/>
  <c r="I509" i="5"/>
  <c r="O508" i="5"/>
  <c r="N508" i="5"/>
  <c r="M508" i="5"/>
  <c r="L508" i="5"/>
  <c r="K508" i="5"/>
  <c r="J508" i="5"/>
  <c r="I508" i="5"/>
  <c r="O507" i="5"/>
  <c r="N507" i="5"/>
  <c r="M507" i="5"/>
  <c r="L507" i="5"/>
  <c r="K507" i="5"/>
  <c r="J507" i="5"/>
  <c r="I507" i="5"/>
  <c r="O506" i="5"/>
  <c r="N506" i="5"/>
  <c r="M506" i="5"/>
  <c r="L506" i="5"/>
  <c r="K506" i="5"/>
  <c r="J506" i="5"/>
  <c r="I506" i="5"/>
  <c r="O505" i="5"/>
  <c r="N505" i="5"/>
  <c r="M505" i="5"/>
  <c r="L505" i="5"/>
  <c r="K505" i="5"/>
  <c r="J505" i="5"/>
  <c r="I505" i="5"/>
  <c r="O504" i="5"/>
  <c r="N504" i="5"/>
  <c r="M504" i="5"/>
  <c r="L504" i="5"/>
  <c r="K504" i="5"/>
  <c r="J504" i="5"/>
  <c r="I504" i="5"/>
  <c r="O503" i="5"/>
  <c r="N503" i="5"/>
  <c r="M503" i="5"/>
  <c r="L503" i="5"/>
  <c r="K503" i="5"/>
  <c r="J503" i="5"/>
  <c r="I503" i="5"/>
  <c r="O502" i="5"/>
  <c r="N502" i="5"/>
  <c r="M502" i="5"/>
  <c r="L502" i="5"/>
  <c r="K502" i="5"/>
  <c r="J502" i="5"/>
  <c r="I502" i="5"/>
  <c r="O501" i="5"/>
  <c r="N501" i="5"/>
  <c r="M501" i="5"/>
  <c r="L501" i="5"/>
  <c r="K501" i="5"/>
  <c r="J501" i="5"/>
  <c r="I501" i="5"/>
  <c r="O500" i="5"/>
  <c r="N500" i="5"/>
  <c r="M500" i="5"/>
  <c r="L500" i="5"/>
  <c r="K500" i="5"/>
  <c r="J500" i="5"/>
  <c r="I500" i="5"/>
  <c r="O499" i="5"/>
  <c r="N499" i="5"/>
  <c r="M499" i="5"/>
  <c r="L499" i="5"/>
  <c r="K499" i="5"/>
  <c r="J499" i="5"/>
  <c r="I499" i="5"/>
  <c r="O498" i="5"/>
  <c r="N498" i="5"/>
  <c r="M498" i="5"/>
  <c r="L498" i="5"/>
  <c r="K498" i="5"/>
  <c r="J498" i="5"/>
  <c r="I498" i="5"/>
  <c r="O497" i="5"/>
  <c r="N497" i="5"/>
  <c r="M497" i="5"/>
  <c r="L497" i="5"/>
  <c r="K497" i="5"/>
  <c r="J497" i="5"/>
  <c r="I497" i="5"/>
  <c r="O496" i="5"/>
  <c r="N496" i="5"/>
  <c r="M496" i="5"/>
  <c r="L496" i="5"/>
  <c r="K496" i="5"/>
  <c r="J496" i="5"/>
  <c r="I496" i="5"/>
  <c r="O495" i="5"/>
  <c r="N495" i="5"/>
  <c r="M495" i="5"/>
  <c r="L495" i="5"/>
  <c r="K495" i="5"/>
  <c r="J495" i="5"/>
  <c r="I495" i="5"/>
  <c r="O494" i="5"/>
  <c r="N494" i="5"/>
  <c r="M494" i="5"/>
  <c r="L494" i="5"/>
  <c r="K494" i="5"/>
  <c r="J494" i="5"/>
  <c r="I494" i="5"/>
  <c r="O493" i="5"/>
  <c r="N493" i="5"/>
  <c r="M493" i="5"/>
  <c r="L493" i="5"/>
  <c r="K493" i="5"/>
  <c r="J493" i="5"/>
  <c r="I493" i="5"/>
  <c r="O492" i="5"/>
  <c r="N492" i="5"/>
  <c r="M492" i="5"/>
  <c r="L492" i="5"/>
  <c r="K492" i="5"/>
  <c r="J492" i="5"/>
  <c r="I492" i="5"/>
  <c r="O491" i="5"/>
  <c r="N491" i="5"/>
  <c r="M491" i="5"/>
  <c r="L491" i="5"/>
  <c r="K491" i="5"/>
  <c r="J491" i="5"/>
  <c r="I491" i="5"/>
  <c r="O490" i="5"/>
  <c r="N490" i="5"/>
  <c r="M490" i="5"/>
  <c r="L490" i="5"/>
  <c r="K490" i="5"/>
  <c r="J490" i="5"/>
  <c r="I490" i="5"/>
  <c r="O489" i="5"/>
  <c r="N489" i="5"/>
  <c r="M489" i="5"/>
  <c r="L489" i="5"/>
  <c r="K489" i="5"/>
  <c r="J489" i="5"/>
  <c r="I489" i="5"/>
  <c r="O488" i="5"/>
  <c r="N488" i="5"/>
  <c r="M488" i="5"/>
  <c r="L488" i="5"/>
  <c r="K488" i="5"/>
  <c r="J488" i="5"/>
  <c r="I488" i="5"/>
  <c r="O487" i="5"/>
  <c r="N487" i="5"/>
  <c r="M487" i="5"/>
  <c r="L487" i="5"/>
  <c r="K487" i="5"/>
  <c r="J487" i="5"/>
  <c r="I487" i="5"/>
  <c r="O486" i="5"/>
  <c r="N486" i="5"/>
  <c r="M486" i="5"/>
  <c r="L486" i="5"/>
  <c r="K486" i="5"/>
  <c r="J486" i="5"/>
  <c r="I486" i="5"/>
  <c r="O485" i="5"/>
  <c r="N485" i="5"/>
  <c r="M485" i="5"/>
  <c r="L485" i="5"/>
  <c r="K485" i="5"/>
  <c r="J485" i="5"/>
  <c r="I485" i="5"/>
  <c r="O484" i="5"/>
  <c r="N484" i="5"/>
  <c r="M484" i="5"/>
  <c r="L484" i="5"/>
  <c r="K484" i="5"/>
  <c r="J484" i="5"/>
  <c r="I484" i="5"/>
  <c r="O483" i="5"/>
  <c r="N483" i="5"/>
  <c r="M483" i="5"/>
  <c r="L483" i="5"/>
  <c r="K483" i="5"/>
  <c r="J483" i="5"/>
  <c r="I483" i="5"/>
  <c r="O482" i="5"/>
  <c r="N482" i="5"/>
  <c r="M482" i="5"/>
  <c r="L482" i="5"/>
  <c r="K482" i="5"/>
  <c r="J482" i="5"/>
  <c r="I482" i="5"/>
  <c r="O481" i="5"/>
  <c r="N481" i="5"/>
  <c r="M481" i="5"/>
  <c r="L481" i="5"/>
  <c r="K481" i="5"/>
  <c r="J481" i="5"/>
  <c r="I481" i="5"/>
  <c r="O480" i="5"/>
  <c r="N480" i="5"/>
  <c r="M480" i="5"/>
  <c r="L480" i="5"/>
  <c r="K480" i="5"/>
  <c r="J480" i="5"/>
  <c r="I480" i="5"/>
  <c r="O479" i="5"/>
  <c r="N479" i="5"/>
  <c r="M479" i="5"/>
  <c r="L479" i="5"/>
  <c r="K479" i="5"/>
  <c r="J479" i="5"/>
  <c r="I479" i="5"/>
  <c r="O478" i="5"/>
  <c r="N478" i="5"/>
  <c r="M478" i="5"/>
  <c r="L478" i="5"/>
  <c r="K478" i="5"/>
  <c r="J478" i="5"/>
  <c r="I478" i="5"/>
  <c r="O477" i="5"/>
  <c r="N477" i="5"/>
  <c r="M477" i="5"/>
  <c r="L477" i="5"/>
  <c r="K477" i="5"/>
  <c r="J477" i="5"/>
  <c r="I477" i="5"/>
  <c r="O476" i="5"/>
  <c r="N476" i="5"/>
  <c r="M476" i="5"/>
  <c r="L476" i="5"/>
  <c r="K476" i="5"/>
  <c r="J476" i="5"/>
  <c r="I476" i="5"/>
  <c r="O475" i="5"/>
  <c r="N475" i="5"/>
  <c r="M475" i="5"/>
  <c r="L475" i="5"/>
  <c r="K475" i="5"/>
  <c r="J475" i="5"/>
  <c r="I475" i="5"/>
  <c r="O474" i="5"/>
  <c r="N474" i="5"/>
  <c r="M474" i="5"/>
  <c r="L474" i="5"/>
  <c r="K474" i="5"/>
  <c r="J474" i="5"/>
  <c r="I474" i="5"/>
  <c r="O473" i="5"/>
  <c r="N473" i="5"/>
  <c r="M473" i="5"/>
  <c r="L473" i="5"/>
  <c r="K473" i="5"/>
  <c r="J473" i="5"/>
  <c r="I473" i="5"/>
  <c r="O472" i="5"/>
  <c r="N472" i="5"/>
  <c r="M472" i="5"/>
  <c r="L472" i="5"/>
  <c r="K472" i="5"/>
  <c r="J472" i="5"/>
  <c r="I472" i="5"/>
  <c r="O471" i="5"/>
  <c r="N471" i="5"/>
  <c r="M471" i="5"/>
  <c r="L471" i="5"/>
  <c r="K471" i="5"/>
  <c r="J471" i="5"/>
  <c r="I471" i="5"/>
  <c r="O470" i="5"/>
  <c r="N470" i="5"/>
  <c r="M470" i="5"/>
  <c r="L470" i="5"/>
  <c r="K470" i="5"/>
  <c r="J470" i="5"/>
  <c r="I470" i="5"/>
  <c r="O469" i="5"/>
  <c r="N469" i="5"/>
  <c r="M469" i="5"/>
  <c r="L469" i="5"/>
  <c r="K469" i="5"/>
  <c r="J469" i="5"/>
  <c r="I469" i="5"/>
  <c r="O468" i="5"/>
  <c r="N468" i="5"/>
  <c r="M468" i="5"/>
  <c r="L468" i="5"/>
  <c r="K468" i="5"/>
  <c r="J468" i="5"/>
  <c r="I468" i="5"/>
  <c r="O467" i="5"/>
  <c r="N467" i="5"/>
  <c r="M467" i="5"/>
  <c r="L467" i="5"/>
  <c r="K467" i="5"/>
  <c r="J467" i="5"/>
  <c r="I467" i="5"/>
  <c r="O466" i="5"/>
  <c r="N466" i="5"/>
  <c r="M466" i="5"/>
  <c r="L466" i="5"/>
  <c r="K466" i="5"/>
  <c r="J466" i="5"/>
  <c r="I466" i="5"/>
  <c r="O465" i="5"/>
  <c r="N465" i="5"/>
  <c r="M465" i="5"/>
  <c r="L465" i="5"/>
  <c r="K465" i="5"/>
  <c r="J465" i="5"/>
  <c r="I465" i="5"/>
  <c r="O464" i="5"/>
  <c r="N464" i="5"/>
  <c r="M464" i="5"/>
  <c r="L464" i="5"/>
  <c r="K464" i="5"/>
  <c r="J464" i="5"/>
  <c r="I464" i="5"/>
  <c r="O463" i="5"/>
  <c r="N463" i="5"/>
  <c r="M463" i="5"/>
  <c r="L463" i="5"/>
  <c r="K463" i="5"/>
  <c r="J463" i="5"/>
  <c r="I463" i="5"/>
  <c r="O462" i="5"/>
  <c r="N462" i="5"/>
  <c r="M462" i="5"/>
  <c r="L462" i="5"/>
  <c r="K462" i="5"/>
  <c r="J462" i="5"/>
  <c r="I462" i="5"/>
  <c r="O461" i="5"/>
  <c r="N461" i="5"/>
  <c r="M461" i="5"/>
  <c r="L461" i="5"/>
  <c r="K461" i="5"/>
  <c r="J461" i="5"/>
  <c r="I461" i="5"/>
  <c r="O460" i="5"/>
  <c r="N460" i="5"/>
  <c r="M460" i="5"/>
  <c r="L460" i="5"/>
  <c r="K460" i="5"/>
  <c r="J460" i="5"/>
  <c r="I460" i="5"/>
  <c r="O459" i="5"/>
  <c r="N459" i="5"/>
  <c r="M459" i="5"/>
  <c r="L459" i="5"/>
  <c r="K459" i="5"/>
  <c r="J459" i="5"/>
  <c r="I459" i="5"/>
  <c r="O458" i="5"/>
  <c r="N458" i="5"/>
  <c r="M458" i="5"/>
  <c r="L458" i="5"/>
  <c r="K458" i="5"/>
  <c r="J458" i="5"/>
  <c r="I458" i="5"/>
  <c r="O457" i="5"/>
  <c r="N457" i="5"/>
  <c r="M457" i="5"/>
  <c r="L457" i="5"/>
  <c r="K457" i="5"/>
  <c r="J457" i="5"/>
  <c r="I457" i="5"/>
  <c r="O456" i="5"/>
  <c r="N456" i="5"/>
  <c r="M456" i="5"/>
  <c r="L456" i="5"/>
  <c r="K456" i="5"/>
  <c r="J456" i="5"/>
  <c r="I456" i="5"/>
  <c r="O455" i="5"/>
  <c r="N455" i="5"/>
  <c r="M455" i="5"/>
  <c r="L455" i="5"/>
  <c r="K455" i="5"/>
  <c r="J455" i="5"/>
  <c r="I455" i="5"/>
  <c r="O454" i="5"/>
  <c r="N454" i="5"/>
  <c r="M454" i="5"/>
  <c r="L454" i="5"/>
  <c r="K454" i="5"/>
  <c r="J454" i="5"/>
  <c r="I454" i="5"/>
  <c r="O453" i="5"/>
  <c r="N453" i="5"/>
  <c r="M453" i="5"/>
  <c r="L453" i="5"/>
  <c r="K453" i="5"/>
  <c r="J453" i="5"/>
  <c r="I453" i="5"/>
  <c r="O452" i="5"/>
  <c r="N452" i="5"/>
  <c r="M452" i="5"/>
  <c r="L452" i="5"/>
  <c r="K452" i="5"/>
  <c r="J452" i="5"/>
  <c r="I452" i="5"/>
  <c r="O451" i="5"/>
  <c r="N451" i="5"/>
  <c r="M451" i="5"/>
  <c r="L451" i="5"/>
  <c r="K451" i="5"/>
  <c r="J451" i="5"/>
  <c r="I451" i="5"/>
  <c r="O450" i="5"/>
  <c r="N450" i="5"/>
  <c r="M450" i="5"/>
  <c r="L450" i="5"/>
  <c r="K450" i="5"/>
  <c r="J450" i="5"/>
  <c r="I450" i="5"/>
  <c r="O449" i="5"/>
  <c r="N449" i="5"/>
  <c r="M449" i="5"/>
  <c r="L449" i="5"/>
  <c r="K449" i="5"/>
  <c r="J449" i="5"/>
  <c r="I449" i="5"/>
  <c r="O448" i="5"/>
  <c r="N448" i="5"/>
  <c r="M448" i="5"/>
  <c r="L448" i="5"/>
  <c r="K448" i="5"/>
  <c r="J448" i="5"/>
  <c r="I448" i="5"/>
  <c r="O447" i="5"/>
  <c r="N447" i="5"/>
  <c r="M447" i="5"/>
  <c r="L447" i="5"/>
  <c r="K447" i="5"/>
  <c r="J447" i="5"/>
  <c r="I447" i="5"/>
  <c r="O446" i="5"/>
  <c r="N446" i="5"/>
  <c r="M446" i="5"/>
  <c r="L446" i="5"/>
  <c r="K446" i="5"/>
  <c r="J446" i="5"/>
  <c r="I446" i="5"/>
  <c r="O445" i="5"/>
  <c r="N445" i="5"/>
  <c r="M445" i="5"/>
  <c r="L445" i="5"/>
  <c r="K445" i="5"/>
  <c r="J445" i="5"/>
  <c r="I445" i="5"/>
  <c r="O444" i="5"/>
  <c r="N444" i="5"/>
  <c r="M444" i="5"/>
  <c r="L444" i="5"/>
  <c r="K444" i="5"/>
  <c r="J444" i="5"/>
  <c r="I444" i="5"/>
  <c r="O443" i="5"/>
  <c r="N443" i="5"/>
  <c r="M443" i="5"/>
  <c r="L443" i="5"/>
  <c r="K443" i="5"/>
  <c r="J443" i="5"/>
  <c r="I443" i="5"/>
  <c r="O442" i="5"/>
  <c r="N442" i="5"/>
  <c r="M442" i="5"/>
  <c r="L442" i="5"/>
  <c r="K442" i="5"/>
  <c r="J442" i="5"/>
  <c r="I442" i="5"/>
  <c r="O441" i="5"/>
  <c r="N441" i="5"/>
  <c r="M441" i="5"/>
  <c r="L441" i="5"/>
  <c r="K441" i="5"/>
  <c r="J441" i="5"/>
  <c r="I441" i="5"/>
  <c r="O440" i="5"/>
  <c r="N440" i="5"/>
  <c r="M440" i="5"/>
  <c r="L440" i="5"/>
  <c r="K440" i="5"/>
  <c r="J440" i="5"/>
  <c r="I440" i="5"/>
  <c r="O439" i="5"/>
  <c r="N439" i="5"/>
  <c r="M439" i="5"/>
  <c r="L439" i="5"/>
  <c r="K439" i="5"/>
  <c r="J439" i="5"/>
  <c r="I439" i="5"/>
  <c r="O438" i="5"/>
  <c r="N438" i="5"/>
  <c r="M438" i="5"/>
  <c r="L438" i="5"/>
  <c r="K438" i="5"/>
  <c r="J438" i="5"/>
  <c r="I438" i="5"/>
  <c r="O437" i="5"/>
  <c r="N437" i="5"/>
  <c r="M437" i="5"/>
  <c r="L437" i="5"/>
  <c r="K437" i="5"/>
  <c r="J437" i="5"/>
  <c r="I437" i="5"/>
  <c r="O436" i="5"/>
  <c r="N436" i="5"/>
  <c r="M436" i="5"/>
  <c r="L436" i="5"/>
  <c r="K436" i="5"/>
  <c r="J436" i="5"/>
  <c r="I436" i="5"/>
  <c r="O435" i="5"/>
  <c r="N435" i="5"/>
  <c r="M435" i="5"/>
  <c r="L435" i="5"/>
  <c r="K435" i="5"/>
  <c r="J435" i="5"/>
  <c r="I435" i="5"/>
  <c r="O434" i="5"/>
  <c r="N434" i="5"/>
  <c r="M434" i="5"/>
  <c r="L434" i="5"/>
  <c r="K434" i="5"/>
  <c r="J434" i="5"/>
  <c r="I434" i="5"/>
  <c r="O433" i="5"/>
  <c r="N433" i="5"/>
  <c r="M433" i="5"/>
  <c r="L433" i="5"/>
  <c r="K433" i="5"/>
  <c r="J433" i="5"/>
  <c r="I433" i="5"/>
  <c r="O432" i="5"/>
  <c r="N432" i="5"/>
  <c r="M432" i="5"/>
  <c r="L432" i="5"/>
  <c r="K432" i="5"/>
  <c r="J432" i="5"/>
  <c r="I432" i="5"/>
  <c r="O431" i="5"/>
  <c r="N431" i="5"/>
  <c r="M431" i="5"/>
  <c r="L431" i="5"/>
  <c r="K431" i="5"/>
  <c r="J431" i="5"/>
  <c r="I431" i="5"/>
  <c r="O430" i="5"/>
  <c r="N430" i="5"/>
  <c r="M430" i="5"/>
  <c r="L430" i="5"/>
  <c r="K430" i="5"/>
  <c r="J430" i="5"/>
  <c r="I430" i="5"/>
  <c r="O429" i="5"/>
  <c r="N429" i="5"/>
  <c r="M429" i="5"/>
  <c r="L429" i="5"/>
  <c r="K429" i="5"/>
  <c r="J429" i="5"/>
  <c r="I429" i="5"/>
  <c r="O428" i="5"/>
  <c r="N428" i="5"/>
  <c r="M428" i="5"/>
  <c r="L428" i="5"/>
  <c r="K428" i="5"/>
  <c r="J428" i="5"/>
  <c r="I428" i="5"/>
  <c r="O427" i="5"/>
  <c r="N427" i="5"/>
  <c r="M427" i="5"/>
  <c r="L427" i="5"/>
  <c r="K427" i="5"/>
  <c r="J427" i="5"/>
  <c r="I427" i="5"/>
  <c r="O426" i="5"/>
  <c r="N426" i="5"/>
  <c r="M426" i="5"/>
  <c r="L426" i="5"/>
  <c r="K426" i="5"/>
  <c r="J426" i="5"/>
  <c r="I426" i="5"/>
  <c r="O425" i="5"/>
  <c r="N425" i="5"/>
  <c r="M425" i="5"/>
  <c r="L425" i="5"/>
  <c r="K425" i="5"/>
  <c r="J425" i="5"/>
  <c r="I425" i="5"/>
  <c r="O424" i="5"/>
  <c r="N424" i="5"/>
  <c r="M424" i="5"/>
  <c r="L424" i="5"/>
  <c r="K424" i="5"/>
  <c r="J424" i="5"/>
  <c r="I424" i="5"/>
  <c r="O423" i="5"/>
  <c r="N423" i="5"/>
  <c r="M423" i="5"/>
  <c r="L423" i="5"/>
  <c r="K423" i="5"/>
  <c r="J423" i="5"/>
  <c r="I423" i="5"/>
  <c r="O422" i="5"/>
  <c r="N422" i="5"/>
  <c r="M422" i="5"/>
  <c r="L422" i="5"/>
  <c r="K422" i="5"/>
  <c r="J422" i="5"/>
  <c r="I422" i="5"/>
  <c r="O421" i="5"/>
  <c r="N421" i="5"/>
  <c r="M421" i="5"/>
  <c r="L421" i="5"/>
  <c r="K421" i="5"/>
  <c r="J421" i="5"/>
  <c r="I421" i="5"/>
  <c r="O420" i="5"/>
  <c r="N420" i="5"/>
  <c r="M420" i="5"/>
  <c r="L420" i="5"/>
  <c r="K420" i="5"/>
  <c r="J420" i="5"/>
  <c r="I420" i="5"/>
  <c r="O419" i="5"/>
  <c r="N419" i="5"/>
  <c r="M419" i="5"/>
  <c r="L419" i="5"/>
  <c r="K419" i="5"/>
  <c r="J419" i="5"/>
  <c r="I419" i="5"/>
  <c r="O418" i="5"/>
  <c r="N418" i="5"/>
  <c r="M418" i="5"/>
  <c r="L418" i="5"/>
  <c r="K418" i="5"/>
  <c r="J418" i="5"/>
  <c r="I418" i="5"/>
  <c r="O417" i="5"/>
  <c r="N417" i="5"/>
  <c r="M417" i="5"/>
  <c r="L417" i="5"/>
  <c r="K417" i="5"/>
  <c r="J417" i="5"/>
  <c r="I417" i="5"/>
  <c r="O416" i="5"/>
  <c r="N416" i="5"/>
  <c r="M416" i="5"/>
  <c r="L416" i="5"/>
  <c r="K416" i="5"/>
  <c r="J416" i="5"/>
  <c r="I416" i="5"/>
  <c r="O415" i="5"/>
  <c r="N415" i="5"/>
  <c r="M415" i="5"/>
  <c r="L415" i="5"/>
  <c r="K415" i="5"/>
  <c r="J415" i="5"/>
  <c r="I415" i="5"/>
  <c r="O414" i="5"/>
  <c r="N414" i="5"/>
  <c r="M414" i="5"/>
  <c r="L414" i="5"/>
  <c r="K414" i="5"/>
  <c r="J414" i="5"/>
  <c r="I414" i="5"/>
  <c r="O413" i="5"/>
  <c r="N413" i="5"/>
  <c r="M413" i="5"/>
  <c r="L413" i="5"/>
  <c r="K413" i="5"/>
  <c r="J413" i="5"/>
  <c r="I413" i="5"/>
  <c r="O412" i="5"/>
  <c r="N412" i="5"/>
  <c r="M412" i="5"/>
  <c r="L412" i="5"/>
  <c r="K412" i="5"/>
  <c r="J412" i="5"/>
  <c r="I412" i="5"/>
  <c r="O411" i="5"/>
  <c r="N411" i="5"/>
  <c r="M411" i="5"/>
  <c r="L411" i="5"/>
  <c r="K411" i="5"/>
  <c r="J411" i="5"/>
  <c r="I411" i="5"/>
  <c r="O410" i="5"/>
  <c r="N410" i="5"/>
  <c r="M410" i="5"/>
  <c r="L410" i="5"/>
  <c r="K410" i="5"/>
  <c r="J410" i="5"/>
  <c r="I410" i="5"/>
  <c r="O409" i="5"/>
  <c r="N409" i="5"/>
  <c r="M409" i="5"/>
  <c r="L409" i="5"/>
  <c r="K409" i="5"/>
  <c r="J409" i="5"/>
  <c r="I409" i="5"/>
  <c r="O408" i="5"/>
  <c r="N408" i="5"/>
  <c r="M408" i="5"/>
  <c r="L408" i="5"/>
  <c r="K408" i="5"/>
  <c r="J408" i="5"/>
  <c r="I408" i="5"/>
  <c r="O407" i="5"/>
  <c r="N407" i="5"/>
  <c r="M407" i="5"/>
  <c r="L407" i="5"/>
  <c r="K407" i="5"/>
  <c r="J407" i="5"/>
  <c r="I407" i="5"/>
  <c r="O406" i="5"/>
  <c r="N406" i="5"/>
  <c r="M406" i="5"/>
  <c r="L406" i="5"/>
  <c r="K406" i="5"/>
  <c r="J406" i="5"/>
  <c r="I406" i="5"/>
  <c r="O405" i="5"/>
  <c r="N405" i="5"/>
  <c r="M405" i="5"/>
  <c r="L405" i="5"/>
  <c r="K405" i="5"/>
  <c r="J405" i="5"/>
  <c r="I405" i="5"/>
  <c r="O404" i="5"/>
  <c r="N404" i="5"/>
  <c r="M404" i="5"/>
  <c r="L404" i="5"/>
  <c r="K404" i="5"/>
  <c r="J404" i="5"/>
  <c r="I404" i="5"/>
  <c r="O403" i="5"/>
  <c r="N403" i="5"/>
  <c r="M403" i="5"/>
  <c r="L403" i="5"/>
  <c r="K403" i="5"/>
  <c r="J403" i="5"/>
  <c r="I403" i="5"/>
  <c r="O402" i="5"/>
  <c r="N402" i="5"/>
  <c r="M402" i="5"/>
  <c r="L402" i="5"/>
  <c r="K402" i="5"/>
  <c r="J402" i="5"/>
  <c r="I402" i="5"/>
  <c r="O401" i="5"/>
  <c r="N401" i="5"/>
  <c r="M401" i="5"/>
  <c r="L401" i="5"/>
  <c r="K401" i="5"/>
  <c r="J401" i="5"/>
  <c r="I401" i="5"/>
  <c r="O400" i="5"/>
  <c r="N400" i="5"/>
  <c r="M400" i="5"/>
  <c r="L400" i="5"/>
  <c r="K400" i="5"/>
  <c r="J400" i="5"/>
  <c r="I400" i="5"/>
  <c r="O399" i="5"/>
  <c r="N399" i="5"/>
  <c r="M399" i="5"/>
  <c r="L399" i="5"/>
  <c r="K399" i="5"/>
  <c r="J399" i="5"/>
  <c r="I399" i="5"/>
  <c r="O398" i="5"/>
  <c r="N398" i="5"/>
  <c r="M398" i="5"/>
  <c r="L398" i="5"/>
  <c r="K398" i="5"/>
  <c r="J398" i="5"/>
  <c r="I398" i="5"/>
  <c r="O397" i="5"/>
  <c r="N397" i="5"/>
  <c r="M397" i="5"/>
  <c r="L397" i="5"/>
  <c r="K397" i="5"/>
  <c r="J397" i="5"/>
  <c r="I397" i="5"/>
  <c r="O396" i="5"/>
  <c r="N396" i="5"/>
  <c r="M396" i="5"/>
  <c r="L396" i="5"/>
  <c r="K396" i="5"/>
  <c r="J396" i="5"/>
  <c r="I396" i="5"/>
  <c r="O395" i="5"/>
  <c r="N395" i="5"/>
  <c r="M395" i="5"/>
  <c r="L395" i="5"/>
  <c r="K395" i="5"/>
  <c r="J395" i="5"/>
  <c r="I395" i="5"/>
  <c r="O394" i="5"/>
  <c r="N394" i="5"/>
  <c r="M394" i="5"/>
  <c r="L394" i="5"/>
  <c r="K394" i="5"/>
  <c r="J394" i="5"/>
  <c r="I394" i="5"/>
  <c r="O393" i="5"/>
  <c r="N393" i="5"/>
  <c r="M393" i="5"/>
  <c r="L393" i="5"/>
  <c r="K393" i="5"/>
  <c r="J393" i="5"/>
  <c r="I393" i="5"/>
  <c r="O392" i="5"/>
  <c r="N392" i="5"/>
  <c r="M392" i="5"/>
  <c r="L392" i="5"/>
  <c r="K392" i="5"/>
  <c r="J392" i="5"/>
  <c r="I392" i="5"/>
  <c r="O391" i="5"/>
  <c r="N391" i="5"/>
  <c r="M391" i="5"/>
  <c r="L391" i="5"/>
  <c r="K391" i="5"/>
  <c r="J391" i="5"/>
  <c r="I391" i="5"/>
  <c r="O390" i="5"/>
  <c r="N390" i="5"/>
  <c r="M390" i="5"/>
  <c r="L390" i="5"/>
  <c r="K390" i="5"/>
  <c r="J390" i="5"/>
  <c r="I390" i="5"/>
  <c r="O389" i="5"/>
  <c r="N389" i="5"/>
  <c r="M389" i="5"/>
  <c r="L389" i="5"/>
  <c r="K389" i="5"/>
  <c r="J389" i="5"/>
  <c r="I389" i="5"/>
  <c r="O388" i="5"/>
  <c r="N388" i="5"/>
  <c r="M388" i="5"/>
  <c r="L388" i="5"/>
  <c r="K388" i="5"/>
  <c r="J388" i="5"/>
  <c r="I388" i="5"/>
  <c r="O387" i="5"/>
  <c r="N387" i="5"/>
  <c r="M387" i="5"/>
  <c r="L387" i="5"/>
  <c r="K387" i="5"/>
  <c r="J387" i="5"/>
  <c r="I387" i="5"/>
  <c r="O386" i="5"/>
  <c r="N386" i="5"/>
  <c r="M386" i="5"/>
  <c r="L386" i="5"/>
  <c r="K386" i="5"/>
  <c r="J386" i="5"/>
  <c r="I386" i="5"/>
  <c r="O385" i="5"/>
  <c r="N385" i="5"/>
  <c r="M385" i="5"/>
  <c r="L385" i="5"/>
  <c r="K385" i="5"/>
  <c r="J385" i="5"/>
  <c r="I385" i="5"/>
  <c r="O384" i="5"/>
  <c r="N384" i="5"/>
  <c r="M384" i="5"/>
  <c r="L384" i="5"/>
  <c r="K384" i="5"/>
  <c r="J384" i="5"/>
  <c r="I384" i="5"/>
  <c r="O383" i="5"/>
  <c r="N383" i="5"/>
  <c r="M383" i="5"/>
  <c r="L383" i="5"/>
  <c r="K383" i="5"/>
  <c r="J383" i="5"/>
  <c r="I383" i="5"/>
  <c r="O382" i="5"/>
  <c r="N382" i="5"/>
  <c r="M382" i="5"/>
  <c r="L382" i="5"/>
  <c r="K382" i="5"/>
  <c r="J382" i="5"/>
  <c r="I382" i="5"/>
  <c r="O381" i="5"/>
  <c r="N381" i="5"/>
  <c r="M381" i="5"/>
  <c r="L381" i="5"/>
  <c r="K381" i="5"/>
  <c r="J381" i="5"/>
  <c r="I381" i="5"/>
  <c r="O380" i="5"/>
  <c r="N380" i="5"/>
  <c r="M380" i="5"/>
  <c r="L380" i="5"/>
  <c r="K380" i="5"/>
  <c r="J380" i="5"/>
  <c r="I380" i="5"/>
  <c r="O379" i="5"/>
  <c r="N379" i="5"/>
  <c r="M379" i="5"/>
  <c r="L379" i="5"/>
  <c r="K379" i="5"/>
  <c r="J379" i="5"/>
  <c r="I379" i="5"/>
  <c r="O378" i="5"/>
  <c r="N378" i="5"/>
  <c r="M378" i="5"/>
  <c r="L378" i="5"/>
  <c r="K378" i="5"/>
  <c r="J378" i="5"/>
  <c r="I378" i="5"/>
  <c r="O377" i="5"/>
  <c r="N377" i="5"/>
  <c r="M377" i="5"/>
  <c r="L377" i="5"/>
  <c r="K377" i="5"/>
  <c r="J377" i="5"/>
  <c r="I377" i="5"/>
  <c r="O376" i="5"/>
  <c r="N376" i="5"/>
  <c r="M376" i="5"/>
  <c r="L376" i="5"/>
  <c r="K376" i="5"/>
  <c r="J376" i="5"/>
  <c r="I376" i="5"/>
  <c r="O375" i="5"/>
  <c r="N375" i="5"/>
  <c r="M375" i="5"/>
  <c r="L375" i="5"/>
  <c r="K375" i="5"/>
  <c r="J375" i="5"/>
  <c r="I375" i="5"/>
  <c r="O374" i="5"/>
  <c r="N374" i="5"/>
  <c r="M374" i="5"/>
  <c r="L374" i="5"/>
  <c r="K374" i="5"/>
  <c r="J374" i="5"/>
  <c r="I374" i="5"/>
  <c r="O373" i="5"/>
  <c r="N373" i="5"/>
  <c r="M373" i="5"/>
  <c r="L373" i="5"/>
  <c r="K373" i="5"/>
  <c r="J373" i="5"/>
  <c r="I373" i="5"/>
  <c r="O372" i="5"/>
  <c r="N372" i="5"/>
  <c r="M372" i="5"/>
  <c r="L372" i="5"/>
  <c r="K372" i="5"/>
  <c r="J372" i="5"/>
  <c r="I372" i="5"/>
  <c r="O371" i="5"/>
  <c r="N371" i="5"/>
  <c r="M371" i="5"/>
  <c r="L371" i="5"/>
  <c r="K371" i="5"/>
  <c r="J371" i="5"/>
  <c r="I371" i="5"/>
  <c r="O370" i="5"/>
  <c r="N370" i="5"/>
  <c r="M370" i="5"/>
  <c r="L370" i="5"/>
  <c r="K370" i="5"/>
  <c r="J370" i="5"/>
  <c r="I370" i="5"/>
  <c r="O369" i="5"/>
  <c r="N369" i="5"/>
  <c r="M369" i="5"/>
  <c r="L369" i="5"/>
  <c r="K369" i="5"/>
  <c r="J369" i="5"/>
  <c r="I369" i="5"/>
  <c r="O368" i="5"/>
  <c r="N368" i="5"/>
  <c r="M368" i="5"/>
  <c r="L368" i="5"/>
  <c r="K368" i="5"/>
  <c r="J368" i="5"/>
  <c r="I368" i="5"/>
  <c r="O367" i="5"/>
  <c r="N367" i="5"/>
  <c r="M367" i="5"/>
  <c r="L367" i="5"/>
  <c r="K367" i="5"/>
  <c r="J367" i="5"/>
  <c r="I367" i="5"/>
  <c r="O366" i="5"/>
  <c r="N366" i="5"/>
  <c r="M366" i="5"/>
  <c r="L366" i="5"/>
  <c r="K366" i="5"/>
  <c r="J366" i="5"/>
  <c r="I366" i="5"/>
  <c r="O365" i="5"/>
  <c r="N365" i="5"/>
  <c r="M365" i="5"/>
  <c r="L365" i="5"/>
  <c r="K365" i="5"/>
  <c r="J365" i="5"/>
  <c r="I365" i="5"/>
  <c r="O364" i="5"/>
  <c r="N364" i="5"/>
  <c r="M364" i="5"/>
  <c r="L364" i="5"/>
  <c r="K364" i="5"/>
  <c r="J364" i="5"/>
  <c r="I364" i="5"/>
  <c r="O363" i="5"/>
  <c r="N363" i="5"/>
  <c r="M363" i="5"/>
  <c r="L363" i="5"/>
  <c r="K363" i="5"/>
  <c r="J363" i="5"/>
  <c r="I363" i="5"/>
  <c r="O362" i="5"/>
  <c r="N362" i="5"/>
  <c r="M362" i="5"/>
  <c r="L362" i="5"/>
  <c r="K362" i="5"/>
  <c r="J362" i="5"/>
  <c r="I362" i="5"/>
  <c r="O361" i="5"/>
  <c r="N361" i="5"/>
  <c r="M361" i="5"/>
  <c r="L361" i="5"/>
  <c r="K361" i="5"/>
  <c r="J361" i="5"/>
  <c r="I361" i="5"/>
  <c r="O360" i="5"/>
  <c r="N360" i="5"/>
  <c r="M360" i="5"/>
  <c r="L360" i="5"/>
  <c r="K360" i="5"/>
  <c r="J360" i="5"/>
  <c r="I360" i="5"/>
  <c r="O359" i="5"/>
  <c r="N359" i="5"/>
  <c r="M359" i="5"/>
  <c r="L359" i="5"/>
  <c r="K359" i="5"/>
  <c r="J359" i="5"/>
  <c r="I359" i="5"/>
  <c r="O358" i="5"/>
  <c r="N358" i="5"/>
  <c r="M358" i="5"/>
  <c r="L358" i="5"/>
  <c r="K358" i="5"/>
  <c r="J358" i="5"/>
  <c r="I358" i="5"/>
  <c r="O357" i="5"/>
  <c r="N357" i="5"/>
  <c r="M357" i="5"/>
  <c r="L357" i="5"/>
  <c r="K357" i="5"/>
  <c r="J357" i="5"/>
  <c r="I357" i="5"/>
  <c r="O356" i="5"/>
  <c r="N356" i="5"/>
  <c r="M356" i="5"/>
  <c r="L356" i="5"/>
  <c r="K356" i="5"/>
  <c r="J356" i="5"/>
  <c r="I356" i="5"/>
  <c r="O355" i="5"/>
  <c r="N355" i="5"/>
  <c r="M355" i="5"/>
  <c r="L355" i="5"/>
  <c r="K355" i="5"/>
  <c r="J355" i="5"/>
  <c r="I355" i="5"/>
  <c r="O354" i="5"/>
  <c r="N354" i="5"/>
  <c r="M354" i="5"/>
  <c r="L354" i="5"/>
  <c r="K354" i="5"/>
  <c r="J354" i="5"/>
  <c r="I354" i="5"/>
  <c r="O353" i="5"/>
  <c r="N353" i="5"/>
  <c r="M353" i="5"/>
  <c r="L353" i="5"/>
  <c r="K353" i="5"/>
  <c r="J353" i="5"/>
  <c r="I353" i="5"/>
  <c r="O352" i="5"/>
  <c r="N352" i="5"/>
  <c r="M352" i="5"/>
  <c r="L352" i="5"/>
  <c r="K352" i="5"/>
  <c r="J352" i="5"/>
  <c r="I352" i="5"/>
  <c r="O351" i="5"/>
  <c r="N351" i="5"/>
  <c r="M351" i="5"/>
  <c r="L351" i="5"/>
  <c r="K351" i="5"/>
  <c r="J351" i="5"/>
  <c r="I351" i="5"/>
  <c r="O350" i="5"/>
  <c r="N350" i="5"/>
  <c r="M350" i="5"/>
  <c r="L350" i="5"/>
  <c r="K350" i="5"/>
  <c r="J350" i="5"/>
  <c r="I350" i="5"/>
  <c r="O349" i="5"/>
  <c r="N349" i="5"/>
  <c r="M349" i="5"/>
  <c r="L349" i="5"/>
  <c r="K349" i="5"/>
  <c r="J349" i="5"/>
  <c r="I349" i="5"/>
  <c r="O348" i="5"/>
  <c r="N348" i="5"/>
  <c r="M348" i="5"/>
  <c r="L348" i="5"/>
  <c r="K348" i="5"/>
  <c r="J348" i="5"/>
  <c r="I348" i="5"/>
  <c r="O347" i="5"/>
  <c r="N347" i="5"/>
  <c r="M347" i="5"/>
  <c r="L347" i="5"/>
  <c r="K347" i="5"/>
  <c r="J347" i="5"/>
  <c r="I347" i="5"/>
  <c r="O346" i="5"/>
  <c r="N346" i="5"/>
  <c r="M346" i="5"/>
  <c r="L346" i="5"/>
  <c r="K346" i="5"/>
  <c r="J346" i="5"/>
  <c r="I346" i="5"/>
  <c r="O345" i="5"/>
  <c r="N345" i="5"/>
  <c r="M345" i="5"/>
  <c r="L345" i="5"/>
  <c r="K345" i="5"/>
  <c r="J345" i="5"/>
  <c r="I345" i="5"/>
  <c r="O344" i="5"/>
  <c r="N344" i="5"/>
  <c r="M344" i="5"/>
  <c r="L344" i="5"/>
  <c r="K344" i="5"/>
  <c r="J344" i="5"/>
  <c r="I344" i="5"/>
  <c r="O343" i="5"/>
  <c r="N343" i="5"/>
  <c r="M343" i="5"/>
  <c r="L343" i="5"/>
  <c r="K343" i="5"/>
  <c r="J343" i="5"/>
  <c r="I343" i="5"/>
  <c r="O342" i="5"/>
  <c r="N342" i="5"/>
  <c r="M342" i="5"/>
  <c r="L342" i="5"/>
  <c r="K342" i="5"/>
  <c r="J342" i="5"/>
  <c r="I342" i="5"/>
  <c r="O341" i="5"/>
  <c r="N341" i="5"/>
  <c r="M341" i="5"/>
  <c r="L341" i="5"/>
  <c r="K341" i="5"/>
  <c r="J341" i="5"/>
  <c r="I341" i="5"/>
  <c r="O340" i="5"/>
  <c r="N340" i="5"/>
  <c r="M340" i="5"/>
  <c r="L340" i="5"/>
  <c r="K340" i="5"/>
  <c r="J340" i="5"/>
  <c r="I340" i="5"/>
  <c r="O339" i="5"/>
  <c r="N339" i="5"/>
  <c r="M339" i="5"/>
  <c r="L339" i="5"/>
  <c r="K339" i="5"/>
  <c r="J339" i="5"/>
  <c r="I339" i="5"/>
  <c r="O338" i="5"/>
  <c r="N338" i="5"/>
  <c r="M338" i="5"/>
  <c r="L338" i="5"/>
  <c r="K338" i="5"/>
  <c r="J338" i="5"/>
  <c r="I338" i="5"/>
  <c r="O337" i="5"/>
  <c r="N337" i="5"/>
  <c r="M337" i="5"/>
  <c r="L337" i="5"/>
  <c r="K337" i="5"/>
  <c r="J337" i="5"/>
  <c r="I337" i="5"/>
  <c r="O336" i="5"/>
  <c r="N336" i="5"/>
  <c r="M336" i="5"/>
  <c r="L336" i="5"/>
  <c r="K336" i="5"/>
  <c r="J336" i="5"/>
  <c r="I336" i="5"/>
  <c r="O335" i="5"/>
  <c r="N335" i="5"/>
  <c r="M335" i="5"/>
  <c r="L335" i="5"/>
  <c r="K335" i="5"/>
  <c r="J335" i="5"/>
  <c r="I335" i="5"/>
  <c r="O334" i="5"/>
  <c r="N334" i="5"/>
  <c r="M334" i="5"/>
  <c r="L334" i="5"/>
  <c r="K334" i="5"/>
  <c r="J334" i="5"/>
  <c r="I334" i="5"/>
  <c r="O333" i="5"/>
  <c r="N333" i="5"/>
  <c r="M333" i="5"/>
  <c r="L333" i="5"/>
  <c r="K333" i="5"/>
  <c r="J333" i="5"/>
  <c r="I333" i="5"/>
  <c r="O332" i="5"/>
  <c r="N332" i="5"/>
  <c r="M332" i="5"/>
  <c r="L332" i="5"/>
  <c r="K332" i="5"/>
  <c r="J332" i="5"/>
  <c r="I332" i="5"/>
  <c r="O331" i="5"/>
  <c r="N331" i="5"/>
  <c r="M331" i="5"/>
  <c r="L331" i="5"/>
  <c r="K331" i="5"/>
  <c r="J331" i="5"/>
  <c r="I331" i="5"/>
  <c r="O330" i="5"/>
  <c r="N330" i="5"/>
  <c r="M330" i="5"/>
  <c r="L330" i="5"/>
  <c r="K330" i="5"/>
  <c r="J330" i="5"/>
  <c r="I330" i="5"/>
  <c r="O329" i="5"/>
  <c r="N329" i="5"/>
  <c r="M329" i="5"/>
  <c r="L329" i="5"/>
  <c r="K329" i="5"/>
  <c r="J329" i="5"/>
  <c r="I329" i="5"/>
  <c r="O328" i="5"/>
  <c r="N328" i="5"/>
  <c r="M328" i="5"/>
  <c r="L328" i="5"/>
  <c r="K328" i="5"/>
  <c r="J328" i="5"/>
  <c r="I328" i="5"/>
  <c r="O327" i="5"/>
  <c r="N327" i="5"/>
  <c r="M327" i="5"/>
  <c r="L327" i="5"/>
  <c r="K327" i="5"/>
  <c r="J327" i="5"/>
  <c r="I327" i="5"/>
  <c r="O326" i="5"/>
  <c r="N326" i="5"/>
  <c r="M326" i="5"/>
  <c r="L326" i="5"/>
  <c r="K326" i="5"/>
  <c r="J326" i="5"/>
  <c r="I326" i="5"/>
  <c r="O325" i="5"/>
  <c r="N325" i="5"/>
  <c r="M325" i="5"/>
  <c r="L325" i="5"/>
  <c r="K325" i="5"/>
  <c r="J325" i="5"/>
  <c r="I325" i="5"/>
  <c r="O324" i="5"/>
  <c r="N324" i="5"/>
  <c r="M324" i="5"/>
  <c r="L324" i="5"/>
  <c r="K324" i="5"/>
  <c r="J324" i="5"/>
  <c r="I324" i="5"/>
  <c r="O323" i="5"/>
  <c r="N323" i="5"/>
  <c r="M323" i="5"/>
  <c r="L323" i="5"/>
  <c r="K323" i="5"/>
  <c r="J323" i="5"/>
  <c r="I323" i="5"/>
  <c r="O322" i="5"/>
  <c r="N322" i="5"/>
  <c r="M322" i="5"/>
  <c r="L322" i="5"/>
  <c r="K322" i="5"/>
  <c r="J322" i="5"/>
  <c r="I322" i="5"/>
  <c r="O321" i="5"/>
  <c r="N321" i="5"/>
  <c r="M321" i="5"/>
  <c r="L321" i="5"/>
  <c r="K321" i="5"/>
  <c r="J321" i="5"/>
  <c r="I321" i="5"/>
  <c r="O320" i="5"/>
  <c r="N320" i="5"/>
  <c r="M320" i="5"/>
  <c r="L320" i="5"/>
  <c r="K320" i="5"/>
  <c r="J320" i="5"/>
  <c r="I320" i="5"/>
  <c r="O319" i="5"/>
  <c r="N319" i="5"/>
  <c r="M319" i="5"/>
  <c r="L319" i="5"/>
  <c r="K319" i="5"/>
  <c r="J319" i="5"/>
  <c r="I319" i="5"/>
  <c r="O318" i="5"/>
  <c r="N318" i="5"/>
  <c r="M318" i="5"/>
  <c r="L318" i="5"/>
  <c r="K318" i="5"/>
  <c r="J318" i="5"/>
  <c r="I318" i="5"/>
  <c r="O317" i="5"/>
  <c r="N317" i="5"/>
  <c r="M317" i="5"/>
  <c r="L317" i="5"/>
  <c r="K317" i="5"/>
  <c r="J317" i="5"/>
  <c r="I317" i="5"/>
  <c r="O316" i="5"/>
  <c r="N316" i="5"/>
  <c r="M316" i="5"/>
  <c r="L316" i="5"/>
  <c r="K316" i="5"/>
  <c r="J316" i="5"/>
  <c r="I316" i="5"/>
  <c r="O315" i="5"/>
  <c r="N315" i="5"/>
  <c r="M315" i="5"/>
  <c r="L315" i="5"/>
  <c r="K315" i="5"/>
  <c r="J315" i="5"/>
  <c r="I315" i="5"/>
  <c r="O314" i="5"/>
  <c r="N314" i="5"/>
  <c r="M314" i="5"/>
  <c r="L314" i="5"/>
  <c r="K314" i="5"/>
  <c r="J314" i="5"/>
  <c r="I314" i="5"/>
  <c r="O313" i="5"/>
  <c r="N313" i="5"/>
  <c r="M313" i="5"/>
  <c r="L313" i="5"/>
  <c r="K313" i="5"/>
  <c r="J313" i="5"/>
  <c r="I313" i="5"/>
  <c r="O312" i="5"/>
  <c r="N312" i="5"/>
  <c r="M312" i="5"/>
  <c r="L312" i="5"/>
  <c r="K312" i="5"/>
  <c r="J312" i="5"/>
  <c r="I312" i="5"/>
  <c r="O311" i="5"/>
  <c r="N311" i="5"/>
  <c r="M311" i="5"/>
  <c r="L311" i="5"/>
  <c r="K311" i="5"/>
  <c r="J311" i="5"/>
  <c r="I311" i="5"/>
  <c r="O310" i="5"/>
  <c r="N310" i="5"/>
  <c r="M310" i="5"/>
  <c r="L310" i="5"/>
  <c r="K310" i="5"/>
  <c r="J310" i="5"/>
  <c r="I310" i="5"/>
  <c r="O309" i="5"/>
  <c r="N309" i="5"/>
  <c r="M309" i="5"/>
  <c r="L309" i="5"/>
  <c r="K309" i="5"/>
  <c r="J309" i="5"/>
  <c r="I309" i="5"/>
  <c r="O308" i="5"/>
  <c r="N308" i="5"/>
  <c r="M308" i="5"/>
  <c r="L308" i="5"/>
  <c r="K308" i="5"/>
  <c r="J308" i="5"/>
  <c r="I308" i="5"/>
  <c r="O307" i="5"/>
  <c r="N307" i="5"/>
  <c r="M307" i="5"/>
  <c r="L307" i="5"/>
  <c r="K307" i="5"/>
  <c r="J307" i="5"/>
  <c r="I307" i="5"/>
  <c r="O306" i="5"/>
  <c r="N306" i="5"/>
  <c r="M306" i="5"/>
  <c r="L306" i="5"/>
  <c r="K306" i="5"/>
  <c r="J306" i="5"/>
  <c r="I306" i="5"/>
  <c r="O305" i="5"/>
  <c r="N305" i="5"/>
  <c r="M305" i="5"/>
  <c r="L305" i="5"/>
  <c r="K305" i="5"/>
  <c r="J305" i="5"/>
  <c r="I305" i="5"/>
  <c r="O304" i="5"/>
  <c r="N304" i="5"/>
  <c r="M304" i="5"/>
  <c r="L304" i="5"/>
  <c r="K304" i="5"/>
  <c r="J304" i="5"/>
  <c r="I304" i="5"/>
  <c r="O303" i="5"/>
  <c r="N303" i="5"/>
  <c r="M303" i="5"/>
  <c r="L303" i="5"/>
  <c r="K303" i="5"/>
  <c r="J303" i="5"/>
  <c r="I303" i="5"/>
  <c r="O302" i="5"/>
  <c r="N302" i="5"/>
  <c r="M302" i="5"/>
  <c r="L302" i="5"/>
  <c r="K302" i="5"/>
  <c r="J302" i="5"/>
  <c r="I302" i="5"/>
  <c r="O301" i="5"/>
  <c r="N301" i="5"/>
  <c r="M301" i="5"/>
  <c r="L301" i="5"/>
  <c r="K301" i="5"/>
  <c r="J301" i="5"/>
  <c r="I301" i="5"/>
  <c r="O300" i="5"/>
  <c r="N300" i="5"/>
  <c r="M300" i="5"/>
  <c r="L300" i="5"/>
  <c r="K300" i="5"/>
  <c r="J300" i="5"/>
  <c r="I300" i="5"/>
  <c r="O299" i="5"/>
  <c r="N299" i="5"/>
  <c r="M299" i="5"/>
  <c r="L299" i="5"/>
  <c r="K299" i="5"/>
  <c r="J299" i="5"/>
  <c r="I299" i="5"/>
  <c r="O298" i="5"/>
  <c r="N298" i="5"/>
  <c r="M298" i="5"/>
  <c r="L298" i="5"/>
  <c r="K298" i="5"/>
  <c r="J298" i="5"/>
  <c r="I298" i="5"/>
  <c r="O297" i="5"/>
  <c r="N297" i="5"/>
  <c r="M297" i="5"/>
  <c r="L297" i="5"/>
  <c r="K297" i="5"/>
  <c r="J297" i="5"/>
  <c r="I297" i="5"/>
  <c r="O296" i="5"/>
  <c r="N296" i="5"/>
  <c r="M296" i="5"/>
  <c r="L296" i="5"/>
  <c r="K296" i="5"/>
  <c r="J296" i="5"/>
  <c r="I296" i="5"/>
  <c r="O295" i="5"/>
  <c r="N295" i="5"/>
  <c r="M295" i="5"/>
  <c r="L295" i="5"/>
  <c r="K295" i="5"/>
  <c r="J295" i="5"/>
  <c r="I295" i="5"/>
  <c r="O294" i="5"/>
  <c r="N294" i="5"/>
  <c r="M294" i="5"/>
  <c r="L294" i="5"/>
  <c r="K294" i="5"/>
  <c r="J294" i="5"/>
  <c r="I294" i="5"/>
  <c r="O293" i="5"/>
  <c r="N293" i="5"/>
  <c r="M293" i="5"/>
  <c r="L293" i="5"/>
  <c r="K293" i="5"/>
  <c r="J293" i="5"/>
  <c r="I293" i="5"/>
  <c r="O292" i="5"/>
  <c r="N292" i="5"/>
  <c r="M292" i="5"/>
  <c r="L292" i="5"/>
  <c r="K292" i="5"/>
  <c r="J292" i="5"/>
  <c r="I292" i="5"/>
  <c r="O291" i="5"/>
  <c r="N291" i="5"/>
  <c r="M291" i="5"/>
  <c r="L291" i="5"/>
  <c r="K291" i="5"/>
  <c r="J291" i="5"/>
  <c r="I291" i="5"/>
  <c r="O290" i="5"/>
  <c r="N290" i="5"/>
  <c r="M290" i="5"/>
  <c r="L290" i="5"/>
  <c r="K290" i="5"/>
  <c r="J290" i="5"/>
  <c r="I290" i="5"/>
  <c r="O289" i="5"/>
  <c r="N289" i="5"/>
  <c r="M289" i="5"/>
  <c r="L289" i="5"/>
  <c r="K289" i="5"/>
  <c r="J289" i="5"/>
  <c r="I289" i="5"/>
  <c r="O288" i="5"/>
  <c r="N288" i="5"/>
  <c r="M288" i="5"/>
  <c r="L288" i="5"/>
  <c r="K288" i="5"/>
  <c r="J288" i="5"/>
  <c r="I288" i="5"/>
  <c r="O287" i="5"/>
  <c r="N287" i="5"/>
  <c r="M287" i="5"/>
  <c r="L287" i="5"/>
  <c r="K287" i="5"/>
  <c r="J287" i="5"/>
  <c r="I287" i="5"/>
  <c r="O286" i="5"/>
  <c r="N286" i="5"/>
  <c r="M286" i="5"/>
  <c r="L286" i="5"/>
  <c r="K286" i="5"/>
  <c r="J286" i="5"/>
  <c r="I286" i="5"/>
  <c r="O285" i="5"/>
  <c r="N285" i="5"/>
  <c r="M285" i="5"/>
  <c r="L285" i="5"/>
  <c r="K285" i="5"/>
  <c r="J285" i="5"/>
  <c r="I285" i="5"/>
  <c r="O284" i="5"/>
  <c r="N284" i="5"/>
  <c r="M284" i="5"/>
  <c r="L284" i="5"/>
  <c r="K284" i="5"/>
  <c r="J284" i="5"/>
  <c r="I284" i="5"/>
  <c r="O283" i="5"/>
  <c r="N283" i="5"/>
  <c r="M283" i="5"/>
  <c r="L283" i="5"/>
  <c r="K283" i="5"/>
  <c r="J283" i="5"/>
  <c r="I283" i="5"/>
  <c r="O282" i="5"/>
  <c r="N282" i="5"/>
  <c r="M282" i="5"/>
  <c r="L282" i="5"/>
  <c r="K282" i="5"/>
  <c r="J282" i="5"/>
  <c r="I282" i="5"/>
  <c r="O281" i="5"/>
  <c r="N281" i="5"/>
  <c r="M281" i="5"/>
  <c r="L281" i="5"/>
  <c r="K281" i="5"/>
  <c r="J281" i="5"/>
  <c r="I281" i="5"/>
  <c r="O280" i="5"/>
  <c r="N280" i="5"/>
  <c r="M280" i="5"/>
  <c r="L280" i="5"/>
  <c r="K280" i="5"/>
  <c r="J280" i="5"/>
  <c r="I280" i="5"/>
  <c r="O279" i="5"/>
  <c r="N279" i="5"/>
  <c r="M279" i="5"/>
  <c r="L279" i="5"/>
  <c r="K279" i="5"/>
  <c r="J279" i="5"/>
  <c r="I279" i="5"/>
  <c r="O278" i="5"/>
  <c r="N278" i="5"/>
  <c r="M278" i="5"/>
  <c r="L278" i="5"/>
  <c r="K278" i="5"/>
  <c r="J278" i="5"/>
  <c r="I278" i="5"/>
  <c r="O277" i="5"/>
  <c r="N277" i="5"/>
  <c r="M277" i="5"/>
  <c r="L277" i="5"/>
  <c r="K277" i="5"/>
  <c r="J277" i="5"/>
  <c r="I277" i="5"/>
  <c r="O276" i="5"/>
  <c r="N276" i="5"/>
  <c r="M276" i="5"/>
  <c r="L276" i="5"/>
  <c r="K276" i="5"/>
  <c r="J276" i="5"/>
  <c r="I276" i="5"/>
  <c r="O275" i="5"/>
  <c r="N275" i="5"/>
  <c r="M275" i="5"/>
  <c r="L275" i="5"/>
  <c r="K275" i="5"/>
  <c r="J275" i="5"/>
  <c r="I275" i="5"/>
  <c r="O274" i="5"/>
  <c r="N274" i="5"/>
  <c r="M274" i="5"/>
  <c r="L274" i="5"/>
  <c r="K274" i="5"/>
  <c r="J274" i="5"/>
  <c r="I274" i="5"/>
  <c r="O273" i="5"/>
  <c r="N273" i="5"/>
  <c r="M273" i="5"/>
  <c r="L273" i="5"/>
  <c r="K273" i="5"/>
  <c r="J273" i="5"/>
  <c r="I273" i="5"/>
  <c r="O272" i="5"/>
  <c r="N272" i="5"/>
  <c r="M272" i="5"/>
  <c r="L272" i="5"/>
  <c r="K272" i="5"/>
  <c r="J272" i="5"/>
  <c r="I272" i="5"/>
  <c r="O271" i="5"/>
  <c r="N271" i="5"/>
  <c r="M271" i="5"/>
  <c r="L271" i="5"/>
  <c r="K271" i="5"/>
  <c r="J271" i="5"/>
  <c r="I271" i="5"/>
  <c r="O270" i="5"/>
  <c r="N270" i="5"/>
  <c r="M270" i="5"/>
  <c r="L270" i="5"/>
  <c r="K270" i="5"/>
  <c r="J270" i="5"/>
  <c r="I270" i="5"/>
  <c r="O269" i="5"/>
  <c r="N269" i="5"/>
  <c r="M269" i="5"/>
  <c r="L269" i="5"/>
  <c r="K269" i="5"/>
  <c r="J269" i="5"/>
  <c r="I269" i="5"/>
  <c r="O268" i="5"/>
  <c r="N268" i="5"/>
  <c r="M268" i="5"/>
  <c r="L268" i="5"/>
  <c r="K268" i="5"/>
  <c r="J268" i="5"/>
  <c r="I268" i="5"/>
  <c r="O267" i="5"/>
  <c r="N267" i="5"/>
  <c r="M267" i="5"/>
  <c r="L267" i="5"/>
  <c r="K267" i="5"/>
  <c r="J267" i="5"/>
  <c r="I267" i="5"/>
  <c r="O266" i="5"/>
  <c r="N266" i="5"/>
  <c r="M266" i="5"/>
  <c r="L266" i="5"/>
  <c r="K266" i="5"/>
  <c r="J266" i="5"/>
  <c r="I266" i="5"/>
  <c r="O265" i="5"/>
  <c r="N265" i="5"/>
  <c r="M265" i="5"/>
  <c r="L265" i="5"/>
  <c r="K265" i="5"/>
  <c r="J265" i="5"/>
  <c r="I265" i="5"/>
  <c r="O264" i="5"/>
  <c r="N264" i="5"/>
  <c r="M264" i="5"/>
  <c r="L264" i="5"/>
  <c r="K264" i="5"/>
  <c r="J264" i="5"/>
  <c r="I264" i="5"/>
  <c r="O263" i="5"/>
  <c r="N263" i="5"/>
  <c r="M263" i="5"/>
  <c r="L263" i="5"/>
  <c r="K263" i="5"/>
  <c r="J263" i="5"/>
  <c r="I263" i="5"/>
  <c r="O262" i="5"/>
  <c r="N262" i="5"/>
  <c r="M262" i="5"/>
  <c r="L262" i="5"/>
  <c r="K262" i="5"/>
  <c r="J262" i="5"/>
  <c r="I262" i="5"/>
  <c r="O261" i="5"/>
  <c r="N261" i="5"/>
  <c r="M261" i="5"/>
  <c r="L261" i="5"/>
  <c r="K261" i="5"/>
  <c r="J261" i="5"/>
  <c r="I261" i="5"/>
  <c r="O260" i="5"/>
  <c r="N260" i="5"/>
  <c r="M260" i="5"/>
  <c r="L260" i="5"/>
  <c r="K260" i="5"/>
  <c r="J260" i="5"/>
  <c r="I260" i="5"/>
  <c r="O259" i="5"/>
  <c r="N259" i="5"/>
  <c r="M259" i="5"/>
  <c r="L259" i="5"/>
  <c r="K259" i="5"/>
  <c r="J259" i="5"/>
  <c r="I259" i="5"/>
  <c r="O258" i="5"/>
  <c r="N258" i="5"/>
  <c r="M258" i="5"/>
  <c r="L258" i="5"/>
  <c r="K258" i="5"/>
  <c r="J258" i="5"/>
  <c r="I258" i="5"/>
  <c r="O257" i="5"/>
  <c r="N257" i="5"/>
  <c r="M257" i="5"/>
  <c r="L257" i="5"/>
  <c r="K257" i="5"/>
  <c r="J257" i="5"/>
  <c r="I257" i="5"/>
  <c r="O256" i="5"/>
  <c r="N256" i="5"/>
  <c r="M256" i="5"/>
  <c r="L256" i="5"/>
  <c r="K256" i="5"/>
  <c r="J256" i="5"/>
  <c r="I256" i="5"/>
  <c r="O255" i="5"/>
  <c r="N255" i="5"/>
  <c r="M255" i="5"/>
  <c r="L255" i="5"/>
  <c r="K255" i="5"/>
  <c r="J255" i="5"/>
  <c r="I255" i="5"/>
  <c r="O254" i="5"/>
  <c r="N254" i="5"/>
  <c r="M254" i="5"/>
  <c r="L254" i="5"/>
  <c r="K254" i="5"/>
  <c r="J254" i="5"/>
  <c r="I254" i="5"/>
  <c r="O253" i="5"/>
  <c r="N253" i="5"/>
  <c r="M253" i="5"/>
  <c r="L253" i="5"/>
  <c r="K253" i="5"/>
  <c r="J253" i="5"/>
  <c r="I253" i="5"/>
  <c r="O252" i="5"/>
  <c r="N252" i="5"/>
  <c r="M252" i="5"/>
  <c r="L252" i="5"/>
  <c r="K252" i="5"/>
  <c r="J252" i="5"/>
  <c r="I252" i="5"/>
  <c r="O251" i="5"/>
  <c r="N251" i="5"/>
  <c r="M251" i="5"/>
  <c r="L251" i="5"/>
  <c r="K251" i="5"/>
  <c r="J251" i="5"/>
  <c r="I251" i="5"/>
  <c r="O250" i="5"/>
  <c r="N250" i="5"/>
  <c r="M250" i="5"/>
  <c r="L250" i="5"/>
  <c r="K250" i="5"/>
  <c r="J250" i="5"/>
  <c r="I250" i="5"/>
  <c r="O249" i="5"/>
  <c r="N249" i="5"/>
  <c r="M249" i="5"/>
  <c r="L249" i="5"/>
  <c r="K249" i="5"/>
  <c r="J249" i="5"/>
  <c r="I249" i="5"/>
  <c r="O248" i="5"/>
  <c r="N248" i="5"/>
  <c r="M248" i="5"/>
  <c r="L248" i="5"/>
  <c r="K248" i="5"/>
  <c r="J248" i="5"/>
  <c r="I248" i="5"/>
  <c r="O247" i="5"/>
  <c r="N247" i="5"/>
  <c r="M247" i="5"/>
  <c r="L247" i="5"/>
  <c r="K247" i="5"/>
  <c r="J247" i="5"/>
  <c r="I247" i="5"/>
  <c r="O246" i="5"/>
  <c r="N246" i="5"/>
  <c r="M246" i="5"/>
  <c r="L246" i="5"/>
  <c r="K246" i="5"/>
  <c r="J246" i="5"/>
  <c r="I246" i="5"/>
  <c r="O245" i="5"/>
  <c r="N245" i="5"/>
  <c r="M245" i="5"/>
  <c r="L245" i="5"/>
  <c r="K245" i="5"/>
  <c r="J245" i="5"/>
  <c r="I245" i="5"/>
  <c r="O244" i="5"/>
  <c r="N244" i="5"/>
  <c r="M244" i="5"/>
  <c r="L244" i="5"/>
  <c r="K244" i="5"/>
  <c r="J244" i="5"/>
  <c r="I244" i="5"/>
  <c r="O243" i="5"/>
  <c r="N243" i="5"/>
  <c r="M243" i="5"/>
  <c r="L243" i="5"/>
  <c r="K243" i="5"/>
  <c r="J243" i="5"/>
  <c r="I243" i="5"/>
  <c r="O242" i="5"/>
  <c r="N242" i="5"/>
  <c r="M242" i="5"/>
  <c r="L242" i="5"/>
  <c r="K242" i="5"/>
  <c r="J242" i="5"/>
  <c r="I242" i="5"/>
  <c r="O241" i="5"/>
  <c r="N241" i="5"/>
  <c r="M241" i="5"/>
  <c r="L241" i="5"/>
  <c r="K241" i="5"/>
  <c r="J241" i="5"/>
  <c r="I241" i="5"/>
  <c r="O240" i="5"/>
  <c r="N240" i="5"/>
  <c r="M240" i="5"/>
  <c r="L240" i="5"/>
  <c r="K240" i="5"/>
  <c r="J240" i="5"/>
  <c r="I240" i="5"/>
  <c r="O239" i="5"/>
  <c r="N239" i="5"/>
  <c r="M239" i="5"/>
  <c r="L239" i="5"/>
  <c r="K239" i="5"/>
  <c r="J239" i="5"/>
  <c r="I239" i="5"/>
  <c r="O238" i="5"/>
  <c r="N238" i="5"/>
  <c r="M238" i="5"/>
  <c r="L238" i="5"/>
  <c r="K238" i="5"/>
  <c r="J238" i="5"/>
  <c r="I238" i="5"/>
  <c r="O237" i="5"/>
  <c r="N237" i="5"/>
  <c r="M237" i="5"/>
  <c r="L237" i="5"/>
  <c r="K237" i="5"/>
  <c r="J237" i="5"/>
  <c r="I237" i="5"/>
  <c r="O236" i="5"/>
  <c r="N236" i="5"/>
  <c r="M236" i="5"/>
  <c r="L236" i="5"/>
  <c r="K236" i="5"/>
  <c r="J236" i="5"/>
  <c r="I236" i="5"/>
  <c r="O235" i="5"/>
  <c r="N235" i="5"/>
  <c r="M235" i="5"/>
  <c r="L235" i="5"/>
  <c r="K235" i="5"/>
  <c r="J235" i="5"/>
  <c r="I235" i="5"/>
  <c r="O234" i="5"/>
  <c r="N234" i="5"/>
  <c r="M234" i="5"/>
  <c r="L234" i="5"/>
  <c r="K234" i="5"/>
  <c r="J234" i="5"/>
  <c r="I234" i="5"/>
  <c r="O233" i="5"/>
  <c r="N233" i="5"/>
  <c r="M233" i="5"/>
  <c r="L233" i="5"/>
  <c r="K233" i="5"/>
  <c r="J233" i="5"/>
  <c r="I233" i="5"/>
  <c r="O232" i="5"/>
  <c r="N232" i="5"/>
  <c r="M232" i="5"/>
  <c r="L232" i="5"/>
  <c r="K232" i="5"/>
  <c r="J232" i="5"/>
  <c r="I232" i="5"/>
  <c r="O231" i="5"/>
  <c r="N231" i="5"/>
  <c r="M231" i="5"/>
  <c r="L231" i="5"/>
  <c r="K231" i="5"/>
  <c r="J231" i="5"/>
  <c r="I231" i="5"/>
  <c r="O230" i="5"/>
  <c r="N230" i="5"/>
  <c r="M230" i="5"/>
  <c r="L230" i="5"/>
  <c r="K230" i="5"/>
  <c r="J230" i="5"/>
  <c r="I230" i="5"/>
  <c r="O229" i="5"/>
  <c r="N229" i="5"/>
  <c r="M229" i="5"/>
  <c r="L229" i="5"/>
  <c r="K229" i="5"/>
  <c r="J229" i="5"/>
  <c r="I229" i="5"/>
  <c r="O228" i="5"/>
  <c r="N228" i="5"/>
  <c r="M228" i="5"/>
  <c r="L228" i="5"/>
  <c r="K228" i="5"/>
  <c r="J228" i="5"/>
  <c r="I228" i="5"/>
  <c r="O227" i="5"/>
  <c r="N227" i="5"/>
  <c r="M227" i="5"/>
  <c r="L227" i="5"/>
  <c r="K227" i="5"/>
  <c r="J227" i="5"/>
  <c r="I227" i="5"/>
  <c r="O226" i="5"/>
  <c r="N226" i="5"/>
  <c r="M226" i="5"/>
  <c r="L226" i="5"/>
  <c r="K226" i="5"/>
  <c r="J226" i="5"/>
  <c r="I226" i="5"/>
  <c r="O225" i="5"/>
  <c r="N225" i="5"/>
  <c r="M225" i="5"/>
  <c r="L225" i="5"/>
  <c r="K225" i="5"/>
  <c r="J225" i="5"/>
  <c r="I225" i="5"/>
  <c r="O224" i="5"/>
  <c r="N224" i="5"/>
  <c r="M224" i="5"/>
  <c r="L224" i="5"/>
  <c r="K224" i="5"/>
  <c r="J224" i="5"/>
  <c r="I224" i="5"/>
  <c r="O223" i="5"/>
  <c r="N223" i="5"/>
  <c r="M223" i="5"/>
  <c r="L223" i="5"/>
  <c r="K223" i="5"/>
  <c r="J223" i="5"/>
  <c r="I223" i="5"/>
  <c r="O222" i="5"/>
  <c r="N222" i="5"/>
  <c r="M222" i="5"/>
  <c r="L222" i="5"/>
  <c r="K222" i="5"/>
  <c r="J222" i="5"/>
  <c r="I222" i="5"/>
  <c r="O221" i="5"/>
  <c r="N221" i="5"/>
  <c r="M221" i="5"/>
  <c r="L221" i="5"/>
  <c r="K221" i="5"/>
  <c r="J221" i="5"/>
  <c r="I221" i="5"/>
  <c r="O220" i="5"/>
  <c r="N220" i="5"/>
  <c r="M220" i="5"/>
  <c r="L220" i="5"/>
  <c r="K220" i="5"/>
  <c r="J220" i="5"/>
  <c r="I220" i="5"/>
  <c r="O219" i="5"/>
  <c r="N219" i="5"/>
  <c r="M219" i="5"/>
  <c r="L219" i="5"/>
  <c r="K219" i="5"/>
  <c r="J219" i="5"/>
  <c r="I219" i="5"/>
  <c r="O218" i="5"/>
  <c r="N218" i="5"/>
  <c r="M218" i="5"/>
  <c r="L218" i="5"/>
  <c r="K218" i="5"/>
  <c r="J218" i="5"/>
  <c r="I218" i="5"/>
  <c r="O217" i="5"/>
  <c r="N217" i="5"/>
  <c r="M217" i="5"/>
  <c r="L217" i="5"/>
  <c r="K217" i="5"/>
  <c r="J217" i="5"/>
  <c r="I217" i="5"/>
  <c r="O216" i="5"/>
  <c r="N216" i="5"/>
  <c r="M216" i="5"/>
  <c r="L216" i="5"/>
  <c r="K216" i="5"/>
  <c r="J216" i="5"/>
  <c r="I216" i="5"/>
  <c r="O215" i="5"/>
  <c r="N215" i="5"/>
  <c r="M215" i="5"/>
  <c r="L215" i="5"/>
  <c r="K215" i="5"/>
  <c r="J215" i="5"/>
  <c r="I215" i="5"/>
  <c r="O214" i="5"/>
  <c r="N214" i="5"/>
  <c r="M214" i="5"/>
  <c r="L214" i="5"/>
  <c r="K214" i="5"/>
  <c r="J214" i="5"/>
  <c r="I214" i="5"/>
  <c r="O213" i="5"/>
  <c r="N213" i="5"/>
  <c r="M213" i="5"/>
  <c r="L213" i="5"/>
  <c r="K213" i="5"/>
  <c r="J213" i="5"/>
  <c r="I213" i="5"/>
  <c r="O212" i="5"/>
  <c r="N212" i="5"/>
  <c r="M212" i="5"/>
  <c r="L212" i="5"/>
  <c r="K212" i="5"/>
  <c r="J212" i="5"/>
  <c r="I212" i="5"/>
  <c r="O211" i="5"/>
  <c r="N211" i="5"/>
  <c r="M211" i="5"/>
  <c r="L211" i="5"/>
  <c r="K211" i="5"/>
  <c r="J211" i="5"/>
  <c r="I211" i="5"/>
  <c r="O210" i="5"/>
  <c r="N210" i="5"/>
  <c r="M210" i="5"/>
  <c r="L210" i="5"/>
  <c r="K210" i="5"/>
  <c r="J210" i="5"/>
  <c r="I210" i="5"/>
  <c r="O209" i="5"/>
  <c r="N209" i="5"/>
  <c r="M209" i="5"/>
  <c r="L209" i="5"/>
  <c r="K209" i="5"/>
  <c r="J209" i="5"/>
  <c r="I209" i="5"/>
  <c r="O208" i="5"/>
  <c r="N208" i="5"/>
  <c r="M208" i="5"/>
  <c r="L208" i="5"/>
  <c r="K208" i="5"/>
  <c r="J208" i="5"/>
  <c r="I208" i="5"/>
  <c r="O207" i="5"/>
  <c r="N207" i="5"/>
  <c r="M207" i="5"/>
  <c r="L207" i="5"/>
  <c r="K207" i="5"/>
  <c r="J207" i="5"/>
  <c r="I207" i="5"/>
  <c r="O206" i="5"/>
  <c r="N206" i="5"/>
  <c r="M206" i="5"/>
  <c r="L206" i="5"/>
  <c r="K206" i="5"/>
  <c r="J206" i="5"/>
  <c r="I206" i="5"/>
  <c r="O205" i="5"/>
  <c r="N205" i="5"/>
  <c r="M205" i="5"/>
  <c r="L205" i="5"/>
  <c r="K205" i="5"/>
  <c r="J205" i="5"/>
  <c r="I205" i="5"/>
  <c r="O204" i="5"/>
  <c r="N204" i="5"/>
  <c r="M204" i="5"/>
  <c r="L204" i="5"/>
  <c r="K204" i="5"/>
  <c r="J204" i="5"/>
  <c r="I204" i="5"/>
  <c r="O203" i="5"/>
  <c r="N203" i="5"/>
  <c r="M203" i="5"/>
  <c r="L203" i="5"/>
  <c r="K203" i="5"/>
  <c r="J203" i="5"/>
  <c r="I203" i="5"/>
  <c r="O202" i="5"/>
  <c r="N202" i="5"/>
  <c r="M202" i="5"/>
  <c r="L202" i="5"/>
  <c r="K202" i="5"/>
  <c r="J202" i="5"/>
  <c r="I202" i="5"/>
  <c r="O201" i="5"/>
  <c r="N201" i="5"/>
  <c r="M201" i="5"/>
  <c r="L201" i="5"/>
  <c r="K201" i="5"/>
  <c r="J201" i="5"/>
  <c r="I201" i="5"/>
  <c r="O200" i="5"/>
  <c r="N200" i="5"/>
  <c r="M200" i="5"/>
  <c r="L200" i="5"/>
  <c r="K200" i="5"/>
  <c r="J200" i="5"/>
  <c r="I200" i="5"/>
  <c r="O199" i="5"/>
  <c r="N199" i="5"/>
  <c r="M199" i="5"/>
  <c r="L199" i="5"/>
  <c r="K199" i="5"/>
  <c r="J199" i="5"/>
  <c r="I199" i="5"/>
  <c r="O198" i="5"/>
  <c r="N198" i="5"/>
  <c r="M198" i="5"/>
  <c r="L198" i="5"/>
  <c r="K198" i="5"/>
  <c r="J198" i="5"/>
  <c r="I198" i="5"/>
  <c r="O197" i="5"/>
  <c r="N197" i="5"/>
  <c r="M197" i="5"/>
  <c r="L197" i="5"/>
  <c r="K197" i="5"/>
  <c r="J197" i="5"/>
  <c r="I197" i="5"/>
  <c r="O196" i="5"/>
  <c r="N196" i="5"/>
  <c r="M196" i="5"/>
  <c r="L196" i="5"/>
  <c r="K196" i="5"/>
  <c r="J196" i="5"/>
  <c r="I196" i="5"/>
  <c r="O195" i="5"/>
  <c r="N195" i="5"/>
  <c r="M195" i="5"/>
  <c r="L195" i="5"/>
  <c r="K195" i="5"/>
  <c r="J195" i="5"/>
  <c r="I195" i="5"/>
  <c r="O194" i="5"/>
  <c r="N194" i="5"/>
  <c r="M194" i="5"/>
  <c r="L194" i="5"/>
  <c r="K194" i="5"/>
  <c r="J194" i="5"/>
  <c r="I194" i="5"/>
  <c r="O193" i="5"/>
  <c r="N193" i="5"/>
  <c r="M193" i="5"/>
  <c r="L193" i="5"/>
  <c r="K193" i="5"/>
  <c r="J193" i="5"/>
  <c r="I193" i="5"/>
  <c r="O192" i="5"/>
  <c r="N192" i="5"/>
  <c r="M192" i="5"/>
  <c r="L192" i="5"/>
  <c r="K192" i="5"/>
  <c r="J192" i="5"/>
  <c r="I192" i="5"/>
  <c r="O191" i="5"/>
  <c r="N191" i="5"/>
  <c r="M191" i="5"/>
  <c r="L191" i="5"/>
  <c r="K191" i="5"/>
  <c r="J191" i="5"/>
  <c r="I191" i="5"/>
  <c r="O190" i="5"/>
  <c r="N190" i="5"/>
  <c r="M190" i="5"/>
  <c r="L190" i="5"/>
  <c r="K190" i="5"/>
  <c r="J190" i="5"/>
  <c r="I190" i="5"/>
  <c r="O189" i="5"/>
  <c r="N189" i="5"/>
  <c r="M189" i="5"/>
  <c r="L189" i="5"/>
  <c r="K189" i="5"/>
  <c r="J189" i="5"/>
  <c r="I189" i="5"/>
  <c r="O188" i="5"/>
  <c r="N188" i="5"/>
  <c r="M188" i="5"/>
  <c r="L188" i="5"/>
  <c r="K188" i="5"/>
  <c r="J188" i="5"/>
  <c r="I188" i="5"/>
  <c r="O187" i="5"/>
  <c r="N187" i="5"/>
  <c r="M187" i="5"/>
  <c r="L187" i="5"/>
  <c r="K187" i="5"/>
  <c r="J187" i="5"/>
  <c r="I187" i="5"/>
  <c r="O186" i="5"/>
  <c r="N186" i="5"/>
  <c r="M186" i="5"/>
  <c r="L186" i="5"/>
  <c r="K186" i="5"/>
  <c r="J186" i="5"/>
  <c r="I186" i="5"/>
  <c r="O185" i="5"/>
  <c r="N185" i="5"/>
  <c r="M185" i="5"/>
  <c r="L185" i="5"/>
  <c r="K185" i="5"/>
  <c r="J185" i="5"/>
  <c r="I185" i="5"/>
  <c r="O184" i="5"/>
  <c r="N184" i="5"/>
  <c r="M184" i="5"/>
  <c r="L184" i="5"/>
  <c r="K184" i="5"/>
  <c r="J184" i="5"/>
  <c r="I184" i="5"/>
  <c r="O183" i="5"/>
  <c r="N183" i="5"/>
  <c r="M183" i="5"/>
  <c r="L183" i="5"/>
  <c r="K183" i="5"/>
  <c r="J183" i="5"/>
  <c r="I183" i="5"/>
  <c r="O182" i="5"/>
  <c r="N182" i="5"/>
  <c r="M182" i="5"/>
  <c r="L182" i="5"/>
  <c r="K182" i="5"/>
  <c r="J182" i="5"/>
  <c r="I182" i="5"/>
  <c r="O181" i="5"/>
  <c r="N181" i="5"/>
  <c r="M181" i="5"/>
  <c r="L181" i="5"/>
  <c r="K181" i="5"/>
  <c r="J181" i="5"/>
  <c r="I181" i="5"/>
  <c r="O180" i="5"/>
  <c r="N180" i="5"/>
  <c r="M180" i="5"/>
  <c r="L180" i="5"/>
  <c r="K180" i="5"/>
  <c r="J180" i="5"/>
  <c r="I180" i="5"/>
  <c r="O179" i="5"/>
  <c r="N179" i="5"/>
  <c r="M179" i="5"/>
  <c r="L179" i="5"/>
  <c r="K179" i="5"/>
  <c r="J179" i="5"/>
  <c r="I179" i="5"/>
  <c r="O178" i="5"/>
  <c r="N178" i="5"/>
  <c r="M178" i="5"/>
  <c r="L178" i="5"/>
  <c r="K178" i="5"/>
  <c r="J178" i="5"/>
  <c r="I178" i="5"/>
  <c r="O177" i="5"/>
  <c r="N177" i="5"/>
  <c r="M177" i="5"/>
  <c r="L177" i="5"/>
  <c r="K177" i="5"/>
  <c r="J177" i="5"/>
  <c r="I177" i="5"/>
  <c r="O176" i="5"/>
  <c r="N176" i="5"/>
  <c r="M176" i="5"/>
  <c r="L176" i="5"/>
  <c r="K176" i="5"/>
  <c r="J176" i="5"/>
  <c r="I176" i="5"/>
  <c r="O175" i="5"/>
  <c r="N175" i="5"/>
  <c r="M175" i="5"/>
  <c r="L175" i="5"/>
  <c r="K175" i="5"/>
  <c r="J175" i="5"/>
  <c r="I175" i="5"/>
  <c r="O174" i="5"/>
  <c r="N174" i="5"/>
  <c r="M174" i="5"/>
  <c r="L174" i="5"/>
  <c r="K174" i="5"/>
  <c r="J174" i="5"/>
  <c r="I174" i="5"/>
  <c r="O173" i="5"/>
  <c r="N173" i="5"/>
  <c r="M173" i="5"/>
  <c r="L173" i="5"/>
  <c r="K173" i="5"/>
  <c r="J173" i="5"/>
  <c r="I173" i="5"/>
  <c r="O172" i="5"/>
  <c r="N172" i="5"/>
  <c r="M172" i="5"/>
  <c r="L172" i="5"/>
  <c r="K172" i="5"/>
  <c r="J172" i="5"/>
  <c r="I172" i="5"/>
  <c r="O171" i="5"/>
  <c r="N171" i="5"/>
  <c r="M171" i="5"/>
  <c r="L171" i="5"/>
  <c r="K171" i="5"/>
  <c r="J171" i="5"/>
  <c r="I171" i="5"/>
  <c r="O170" i="5"/>
  <c r="N170" i="5"/>
  <c r="M170" i="5"/>
  <c r="L170" i="5"/>
  <c r="K170" i="5"/>
  <c r="J170" i="5"/>
  <c r="I170" i="5"/>
  <c r="O169" i="5"/>
  <c r="N169" i="5"/>
  <c r="M169" i="5"/>
  <c r="L169" i="5"/>
  <c r="K169" i="5"/>
  <c r="J169" i="5"/>
  <c r="I169" i="5"/>
  <c r="O168" i="5"/>
  <c r="N168" i="5"/>
  <c r="M168" i="5"/>
  <c r="L168" i="5"/>
  <c r="K168" i="5"/>
  <c r="J168" i="5"/>
  <c r="I168" i="5"/>
  <c r="O167" i="5"/>
  <c r="N167" i="5"/>
  <c r="M167" i="5"/>
  <c r="L167" i="5"/>
  <c r="K167" i="5"/>
  <c r="J167" i="5"/>
  <c r="I167" i="5"/>
  <c r="O166" i="5"/>
  <c r="N166" i="5"/>
  <c r="M166" i="5"/>
  <c r="L166" i="5"/>
  <c r="K166" i="5"/>
  <c r="J166" i="5"/>
  <c r="I166" i="5"/>
  <c r="O165" i="5"/>
  <c r="N165" i="5"/>
  <c r="M165" i="5"/>
  <c r="L165" i="5"/>
  <c r="K165" i="5"/>
  <c r="J165" i="5"/>
  <c r="I165" i="5"/>
  <c r="O164" i="5"/>
  <c r="N164" i="5"/>
  <c r="M164" i="5"/>
  <c r="L164" i="5"/>
  <c r="K164" i="5"/>
  <c r="J164" i="5"/>
  <c r="I164" i="5"/>
  <c r="O163" i="5"/>
  <c r="N163" i="5"/>
  <c r="M163" i="5"/>
  <c r="L163" i="5"/>
  <c r="K163" i="5"/>
  <c r="J163" i="5"/>
  <c r="I163" i="5"/>
  <c r="O162" i="5"/>
  <c r="N162" i="5"/>
  <c r="M162" i="5"/>
  <c r="L162" i="5"/>
  <c r="K162" i="5"/>
  <c r="J162" i="5"/>
  <c r="I162" i="5"/>
  <c r="O161" i="5"/>
  <c r="N161" i="5"/>
  <c r="M161" i="5"/>
  <c r="L161" i="5"/>
  <c r="K161" i="5"/>
  <c r="J161" i="5"/>
  <c r="I161" i="5"/>
  <c r="O160" i="5"/>
  <c r="N160" i="5"/>
  <c r="M160" i="5"/>
  <c r="L160" i="5"/>
  <c r="K160" i="5"/>
  <c r="J160" i="5"/>
  <c r="I160" i="5"/>
  <c r="O159" i="5"/>
  <c r="N159" i="5"/>
  <c r="M159" i="5"/>
  <c r="L159" i="5"/>
  <c r="K159" i="5"/>
  <c r="J159" i="5"/>
  <c r="I159" i="5"/>
  <c r="O158" i="5"/>
  <c r="N158" i="5"/>
  <c r="M158" i="5"/>
  <c r="L158" i="5"/>
  <c r="K158" i="5"/>
  <c r="J158" i="5"/>
  <c r="I158" i="5"/>
  <c r="O157" i="5"/>
  <c r="N157" i="5"/>
  <c r="M157" i="5"/>
  <c r="L157" i="5"/>
  <c r="K157" i="5"/>
  <c r="J157" i="5"/>
  <c r="I157" i="5"/>
  <c r="O156" i="5"/>
  <c r="N156" i="5"/>
  <c r="M156" i="5"/>
  <c r="L156" i="5"/>
  <c r="K156" i="5"/>
  <c r="J156" i="5"/>
  <c r="I156" i="5"/>
  <c r="O155" i="5"/>
  <c r="N155" i="5"/>
  <c r="M155" i="5"/>
  <c r="L155" i="5"/>
  <c r="K155" i="5"/>
  <c r="J155" i="5"/>
  <c r="I155" i="5"/>
  <c r="O154" i="5"/>
  <c r="N154" i="5"/>
  <c r="M154" i="5"/>
  <c r="L154" i="5"/>
  <c r="K154" i="5"/>
  <c r="J154" i="5"/>
  <c r="I154" i="5"/>
  <c r="O153" i="5"/>
  <c r="N153" i="5"/>
  <c r="M153" i="5"/>
  <c r="L153" i="5"/>
  <c r="K153" i="5"/>
  <c r="J153" i="5"/>
  <c r="I153" i="5"/>
  <c r="O152" i="5"/>
  <c r="N152" i="5"/>
  <c r="M152" i="5"/>
  <c r="L152" i="5"/>
  <c r="K152" i="5"/>
  <c r="J152" i="5"/>
  <c r="I152" i="5"/>
  <c r="O151" i="5"/>
  <c r="N151" i="5"/>
  <c r="M151" i="5"/>
  <c r="L151" i="5"/>
  <c r="K151" i="5"/>
  <c r="J151" i="5"/>
  <c r="I151" i="5"/>
  <c r="O150" i="5"/>
  <c r="N150" i="5"/>
  <c r="M150" i="5"/>
  <c r="L150" i="5"/>
  <c r="K150" i="5"/>
  <c r="J150" i="5"/>
  <c r="I150" i="5"/>
  <c r="O149" i="5"/>
  <c r="N149" i="5"/>
  <c r="M149" i="5"/>
  <c r="L149" i="5"/>
  <c r="K149" i="5"/>
  <c r="J149" i="5"/>
  <c r="I149" i="5"/>
  <c r="O148" i="5"/>
  <c r="N148" i="5"/>
  <c r="M148" i="5"/>
  <c r="L148" i="5"/>
  <c r="K148" i="5"/>
  <c r="J148" i="5"/>
  <c r="I148" i="5"/>
  <c r="O147" i="5"/>
  <c r="N147" i="5"/>
  <c r="M147" i="5"/>
  <c r="L147" i="5"/>
  <c r="K147" i="5"/>
  <c r="J147" i="5"/>
  <c r="I147" i="5"/>
  <c r="O146" i="5"/>
  <c r="N146" i="5"/>
  <c r="M146" i="5"/>
  <c r="L146" i="5"/>
  <c r="K146" i="5"/>
  <c r="J146" i="5"/>
  <c r="I146" i="5"/>
  <c r="O145" i="5"/>
  <c r="N145" i="5"/>
  <c r="M145" i="5"/>
  <c r="L145" i="5"/>
  <c r="K145" i="5"/>
  <c r="J145" i="5"/>
  <c r="I145" i="5"/>
  <c r="O144" i="5"/>
  <c r="N144" i="5"/>
  <c r="M144" i="5"/>
  <c r="L144" i="5"/>
  <c r="K144" i="5"/>
  <c r="J144" i="5"/>
  <c r="I144" i="5"/>
  <c r="O143" i="5"/>
  <c r="N143" i="5"/>
  <c r="M143" i="5"/>
  <c r="L143" i="5"/>
  <c r="K143" i="5"/>
  <c r="J143" i="5"/>
  <c r="I143" i="5"/>
  <c r="O142" i="5"/>
  <c r="N142" i="5"/>
  <c r="M142" i="5"/>
  <c r="L142" i="5"/>
  <c r="K142" i="5"/>
  <c r="J142" i="5"/>
  <c r="I142" i="5"/>
  <c r="O141" i="5"/>
  <c r="N141" i="5"/>
  <c r="M141" i="5"/>
  <c r="L141" i="5"/>
  <c r="K141" i="5"/>
  <c r="J141" i="5"/>
  <c r="I141" i="5"/>
  <c r="O140" i="5"/>
  <c r="N140" i="5"/>
  <c r="M140" i="5"/>
  <c r="L140" i="5"/>
  <c r="K140" i="5"/>
  <c r="J140" i="5"/>
  <c r="I140" i="5"/>
  <c r="O139" i="5"/>
  <c r="N139" i="5"/>
  <c r="M139" i="5"/>
  <c r="L139" i="5"/>
  <c r="K139" i="5"/>
  <c r="J139" i="5"/>
  <c r="I139" i="5"/>
  <c r="O138" i="5"/>
  <c r="N138" i="5"/>
  <c r="M138" i="5"/>
  <c r="L138" i="5"/>
  <c r="K138" i="5"/>
  <c r="J138" i="5"/>
  <c r="I138" i="5"/>
  <c r="O137" i="5"/>
  <c r="N137" i="5"/>
  <c r="M137" i="5"/>
  <c r="L137" i="5"/>
  <c r="K137" i="5"/>
  <c r="J137" i="5"/>
  <c r="I137" i="5"/>
  <c r="O136" i="5"/>
  <c r="N136" i="5"/>
  <c r="M136" i="5"/>
  <c r="L136" i="5"/>
  <c r="K136" i="5"/>
  <c r="J136" i="5"/>
  <c r="I136" i="5"/>
  <c r="O135" i="5"/>
  <c r="N135" i="5"/>
  <c r="M135" i="5"/>
  <c r="L135" i="5"/>
  <c r="K135" i="5"/>
  <c r="J135" i="5"/>
  <c r="I135" i="5"/>
  <c r="O134" i="5"/>
  <c r="N134" i="5"/>
  <c r="M134" i="5"/>
  <c r="L134" i="5"/>
  <c r="K134" i="5"/>
  <c r="J134" i="5"/>
  <c r="I134" i="5"/>
  <c r="O133" i="5"/>
  <c r="N133" i="5"/>
  <c r="M133" i="5"/>
  <c r="L133" i="5"/>
  <c r="K133" i="5"/>
  <c r="J133" i="5"/>
  <c r="I133" i="5"/>
  <c r="O132" i="5"/>
  <c r="N132" i="5"/>
  <c r="M132" i="5"/>
  <c r="L132" i="5"/>
  <c r="K132" i="5"/>
  <c r="J132" i="5"/>
  <c r="I132" i="5"/>
  <c r="O131" i="5"/>
  <c r="N131" i="5"/>
  <c r="M131" i="5"/>
  <c r="L131" i="5"/>
  <c r="K131" i="5"/>
  <c r="J131" i="5"/>
  <c r="I131" i="5"/>
  <c r="O130" i="5"/>
  <c r="N130" i="5"/>
  <c r="M130" i="5"/>
  <c r="L130" i="5"/>
  <c r="K130" i="5"/>
  <c r="J130" i="5"/>
  <c r="I130" i="5"/>
  <c r="O129" i="5"/>
  <c r="N129" i="5"/>
  <c r="M129" i="5"/>
  <c r="L129" i="5"/>
  <c r="K129" i="5"/>
  <c r="J129" i="5"/>
  <c r="I129" i="5"/>
  <c r="O128" i="5"/>
  <c r="N128" i="5"/>
  <c r="M128" i="5"/>
  <c r="L128" i="5"/>
  <c r="K128" i="5"/>
  <c r="J128" i="5"/>
  <c r="I128" i="5"/>
  <c r="O127" i="5"/>
  <c r="N127" i="5"/>
  <c r="M127" i="5"/>
  <c r="L127" i="5"/>
  <c r="K127" i="5"/>
  <c r="J127" i="5"/>
  <c r="I127" i="5"/>
  <c r="O126" i="5"/>
  <c r="N126" i="5"/>
  <c r="M126" i="5"/>
  <c r="L126" i="5"/>
  <c r="K126" i="5"/>
  <c r="J126" i="5"/>
  <c r="I126" i="5"/>
  <c r="O125" i="5"/>
  <c r="N125" i="5"/>
  <c r="M125" i="5"/>
  <c r="L125" i="5"/>
  <c r="K125" i="5"/>
  <c r="J125" i="5"/>
  <c r="I125" i="5"/>
  <c r="O124" i="5"/>
  <c r="N124" i="5"/>
  <c r="M124" i="5"/>
  <c r="L124" i="5"/>
  <c r="K124" i="5"/>
  <c r="J124" i="5"/>
  <c r="I124" i="5"/>
  <c r="O123" i="5"/>
  <c r="N123" i="5"/>
  <c r="M123" i="5"/>
  <c r="L123" i="5"/>
  <c r="K123" i="5"/>
  <c r="J123" i="5"/>
  <c r="I123" i="5"/>
  <c r="O122" i="5"/>
  <c r="N122" i="5"/>
  <c r="M122" i="5"/>
  <c r="L122" i="5"/>
  <c r="K122" i="5"/>
  <c r="J122" i="5"/>
  <c r="I122" i="5"/>
  <c r="O121" i="5"/>
  <c r="N121" i="5"/>
  <c r="M121" i="5"/>
  <c r="L121" i="5"/>
  <c r="K121" i="5"/>
  <c r="J121" i="5"/>
  <c r="I121" i="5"/>
  <c r="O120" i="5"/>
  <c r="N120" i="5"/>
  <c r="M120" i="5"/>
  <c r="L120" i="5"/>
  <c r="K120" i="5"/>
  <c r="J120" i="5"/>
  <c r="I120" i="5"/>
  <c r="O119" i="5"/>
  <c r="N119" i="5"/>
  <c r="M119" i="5"/>
  <c r="L119" i="5"/>
  <c r="K119" i="5"/>
  <c r="J119" i="5"/>
  <c r="I119" i="5"/>
  <c r="O118" i="5"/>
  <c r="N118" i="5"/>
  <c r="M118" i="5"/>
  <c r="L118" i="5"/>
  <c r="K118" i="5"/>
  <c r="J118" i="5"/>
  <c r="I118" i="5"/>
  <c r="O117" i="5"/>
  <c r="N117" i="5"/>
  <c r="M117" i="5"/>
  <c r="L117" i="5"/>
  <c r="K117" i="5"/>
  <c r="J117" i="5"/>
  <c r="I117" i="5"/>
  <c r="O116" i="5"/>
  <c r="N116" i="5"/>
  <c r="M116" i="5"/>
  <c r="L116" i="5"/>
  <c r="K116" i="5"/>
  <c r="J116" i="5"/>
  <c r="I116" i="5"/>
  <c r="O115" i="5"/>
  <c r="N115" i="5"/>
  <c r="M115" i="5"/>
  <c r="L115" i="5"/>
  <c r="K115" i="5"/>
  <c r="J115" i="5"/>
  <c r="I115" i="5"/>
  <c r="O114" i="5"/>
  <c r="N114" i="5"/>
  <c r="M114" i="5"/>
  <c r="L114" i="5"/>
  <c r="K114" i="5"/>
  <c r="J114" i="5"/>
  <c r="I114" i="5"/>
  <c r="O113" i="5"/>
  <c r="N113" i="5"/>
  <c r="M113" i="5"/>
  <c r="L113" i="5"/>
  <c r="K113" i="5"/>
  <c r="J113" i="5"/>
  <c r="I113" i="5"/>
  <c r="O112" i="5"/>
  <c r="N112" i="5"/>
  <c r="M112" i="5"/>
  <c r="L112" i="5"/>
  <c r="K112" i="5"/>
  <c r="J112" i="5"/>
  <c r="I112" i="5"/>
  <c r="O111" i="5"/>
  <c r="N111" i="5"/>
  <c r="M111" i="5"/>
  <c r="L111" i="5"/>
  <c r="K111" i="5"/>
  <c r="J111" i="5"/>
  <c r="I111" i="5"/>
  <c r="O110" i="5"/>
  <c r="N110" i="5"/>
  <c r="M110" i="5"/>
  <c r="L110" i="5"/>
  <c r="K110" i="5"/>
  <c r="J110" i="5"/>
  <c r="I110" i="5"/>
  <c r="O109" i="5"/>
  <c r="N109" i="5"/>
  <c r="M109" i="5"/>
  <c r="L109" i="5"/>
  <c r="K109" i="5"/>
  <c r="J109" i="5"/>
  <c r="I109" i="5"/>
  <c r="O108" i="5"/>
  <c r="N108" i="5"/>
  <c r="M108" i="5"/>
  <c r="L108" i="5"/>
  <c r="K108" i="5"/>
  <c r="J108" i="5"/>
  <c r="I108" i="5"/>
  <c r="O107" i="5"/>
  <c r="N107" i="5"/>
  <c r="M107" i="5"/>
  <c r="L107" i="5"/>
  <c r="K107" i="5"/>
  <c r="J107" i="5"/>
  <c r="I107" i="5"/>
  <c r="O106" i="5"/>
  <c r="N106" i="5"/>
  <c r="M106" i="5"/>
  <c r="L106" i="5"/>
  <c r="K106" i="5"/>
  <c r="J106" i="5"/>
  <c r="I106" i="5"/>
  <c r="O105" i="5"/>
  <c r="N105" i="5"/>
  <c r="M105" i="5"/>
  <c r="L105" i="5"/>
  <c r="K105" i="5"/>
  <c r="J105" i="5"/>
  <c r="I105" i="5"/>
  <c r="O104" i="5"/>
  <c r="N104" i="5"/>
  <c r="M104" i="5"/>
  <c r="L104" i="5"/>
  <c r="K104" i="5"/>
  <c r="J104" i="5"/>
  <c r="I104" i="5"/>
  <c r="O103" i="5"/>
  <c r="N103" i="5"/>
  <c r="M103" i="5"/>
  <c r="L103" i="5"/>
  <c r="K103" i="5"/>
  <c r="J103" i="5"/>
  <c r="I103" i="5"/>
  <c r="O102" i="5"/>
  <c r="N102" i="5"/>
  <c r="M102" i="5"/>
  <c r="L102" i="5"/>
  <c r="K102" i="5"/>
  <c r="J102" i="5"/>
  <c r="I102" i="5"/>
  <c r="O101" i="5"/>
  <c r="N101" i="5"/>
  <c r="M101" i="5"/>
  <c r="L101" i="5"/>
  <c r="K101" i="5"/>
  <c r="J101" i="5"/>
  <c r="I101" i="5"/>
  <c r="O100" i="5"/>
  <c r="N100" i="5"/>
  <c r="M100" i="5"/>
  <c r="L100" i="5"/>
  <c r="K100" i="5"/>
  <c r="J100" i="5"/>
  <c r="I100" i="5"/>
  <c r="O99" i="5"/>
  <c r="N99" i="5"/>
  <c r="M99" i="5"/>
  <c r="L99" i="5"/>
  <c r="K99" i="5"/>
  <c r="J99" i="5"/>
  <c r="I99" i="5"/>
  <c r="O98" i="5"/>
  <c r="N98" i="5"/>
  <c r="M98" i="5"/>
  <c r="L98" i="5"/>
  <c r="K98" i="5"/>
  <c r="J98" i="5"/>
  <c r="I98" i="5"/>
  <c r="O97" i="5"/>
  <c r="N97" i="5"/>
  <c r="M97" i="5"/>
  <c r="L97" i="5"/>
  <c r="K97" i="5"/>
  <c r="J97" i="5"/>
  <c r="I97" i="5"/>
  <c r="O96" i="5"/>
  <c r="N96" i="5"/>
  <c r="M96" i="5"/>
  <c r="L96" i="5"/>
  <c r="K96" i="5"/>
  <c r="J96" i="5"/>
  <c r="I96" i="5"/>
  <c r="O95" i="5"/>
  <c r="N95" i="5"/>
  <c r="M95" i="5"/>
  <c r="L95" i="5"/>
  <c r="K95" i="5"/>
  <c r="J95" i="5"/>
  <c r="I95" i="5"/>
  <c r="O94" i="5"/>
  <c r="N94" i="5"/>
  <c r="M94" i="5"/>
  <c r="L94" i="5"/>
  <c r="K94" i="5"/>
  <c r="J94" i="5"/>
  <c r="I94" i="5"/>
  <c r="O93" i="5"/>
  <c r="N93" i="5"/>
  <c r="M93" i="5"/>
  <c r="L93" i="5"/>
  <c r="K93" i="5"/>
  <c r="J93" i="5"/>
  <c r="I93" i="5"/>
  <c r="O92" i="5"/>
  <c r="N92" i="5"/>
  <c r="M92" i="5"/>
  <c r="L92" i="5"/>
  <c r="K92" i="5"/>
  <c r="J92" i="5"/>
  <c r="I92" i="5"/>
  <c r="O91" i="5"/>
  <c r="N91" i="5"/>
  <c r="M91" i="5"/>
  <c r="L91" i="5"/>
  <c r="K91" i="5"/>
  <c r="J91" i="5"/>
  <c r="I91" i="5"/>
  <c r="O90" i="5"/>
  <c r="N90" i="5"/>
  <c r="M90" i="5"/>
  <c r="L90" i="5"/>
  <c r="K90" i="5"/>
  <c r="J90" i="5"/>
  <c r="I90" i="5"/>
  <c r="O89" i="5"/>
  <c r="N89" i="5"/>
  <c r="M89" i="5"/>
  <c r="L89" i="5"/>
  <c r="K89" i="5"/>
  <c r="J89" i="5"/>
  <c r="I89" i="5"/>
  <c r="O88" i="5"/>
  <c r="N88" i="5"/>
  <c r="M88" i="5"/>
  <c r="L88" i="5"/>
  <c r="K88" i="5"/>
  <c r="J88" i="5"/>
  <c r="I88" i="5"/>
  <c r="O87" i="5"/>
  <c r="N87" i="5"/>
  <c r="M87" i="5"/>
  <c r="L87" i="5"/>
  <c r="K87" i="5"/>
  <c r="J87" i="5"/>
  <c r="I87" i="5"/>
  <c r="O86" i="5"/>
  <c r="N86" i="5"/>
  <c r="M86" i="5"/>
  <c r="L86" i="5"/>
  <c r="K86" i="5"/>
  <c r="J86" i="5"/>
  <c r="I86" i="5"/>
  <c r="O85" i="5"/>
  <c r="N85" i="5"/>
  <c r="M85" i="5"/>
  <c r="L85" i="5"/>
  <c r="K85" i="5"/>
  <c r="J85" i="5"/>
  <c r="I85" i="5"/>
  <c r="O84" i="5"/>
  <c r="N84" i="5"/>
  <c r="M84" i="5"/>
  <c r="L84" i="5"/>
  <c r="K84" i="5"/>
  <c r="J84" i="5"/>
  <c r="I84" i="5"/>
  <c r="O83" i="5"/>
  <c r="N83" i="5"/>
  <c r="M83" i="5"/>
  <c r="L83" i="5"/>
  <c r="K83" i="5"/>
  <c r="J83" i="5"/>
  <c r="I83" i="5"/>
  <c r="O82" i="5"/>
  <c r="N82" i="5"/>
  <c r="M82" i="5"/>
  <c r="L82" i="5"/>
  <c r="K82" i="5"/>
  <c r="J82" i="5"/>
  <c r="I82" i="5"/>
  <c r="O81" i="5"/>
  <c r="N81" i="5"/>
  <c r="M81" i="5"/>
  <c r="L81" i="5"/>
  <c r="K81" i="5"/>
  <c r="J81" i="5"/>
  <c r="I81" i="5"/>
  <c r="O80" i="5"/>
  <c r="N80" i="5"/>
  <c r="M80" i="5"/>
  <c r="L80" i="5"/>
  <c r="K80" i="5"/>
  <c r="J80" i="5"/>
  <c r="I80" i="5"/>
  <c r="O79" i="5"/>
  <c r="N79" i="5"/>
  <c r="M79" i="5"/>
  <c r="L79" i="5"/>
  <c r="K79" i="5"/>
  <c r="J79" i="5"/>
  <c r="I79" i="5"/>
  <c r="O78" i="5"/>
  <c r="N78" i="5"/>
  <c r="M78" i="5"/>
  <c r="L78" i="5"/>
  <c r="K78" i="5"/>
  <c r="J78" i="5"/>
  <c r="I78" i="5"/>
  <c r="O77" i="5"/>
  <c r="N77" i="5"/>
  <c r="M77" i="5"/>
  <c r="L77" i="5"/>
  <c r="K77" i="5"/>
  <c r="J77" i="5"/>
  <c r="I77" i="5"/>
  <c r="O76" i="5"/>
  <c r="N76" i="5"/>
  <c r="M76" i="5"/>
  <c r="L76" i="5"/>
  <c r="K76" i="5"/>
  <c r="J76" i="5"/>
  <c r="I76" i="5"/>
  <c r="O75" i="5"/>
  <c r="N75" i="5"/>
  <c r="M75" i="5"/>
  <c r="L75" i="5"/>
  <c r="K75" i="5"/>
  <c r="J75" i="5"/>
  <c r="I75" i="5"/>
  <c r="O74" i="5"/>
  <c r="N74" i="5"/>
  <c r="M74" i="5"/>
  <c r="L74" i="5"/>
  <c r="K74" i="5"/>
  <c r="J74" i="5"/>
  <c r="I74" i="5"/>
  <c r="O73" i="5"/>
  <c r="N73" i="5"/>
  <c r="M73" i="5"/>
  <c r="L73" i="5"/>
  <c r="K73" i="5"/>
  <c r="J73" i="5"/>
  <c r="I73" i="5"/>
  <c r="O72" i="5"/>
  <c r="N72" i="5"/>
  <c r="M72" i="5"/>
  <c r="L72" i="5"/>
  <c r="K72" i="5"/>
  <c r="J72" i="5"/>
  <c r="I72" i="5"/>
  <c r="O71" i="5"/>
  <c r="N71" i="5"/>
  <c r="M71" i="5"/>
  <c r="L71" i="5"/>
  <c r="K71" i="5"/>
  <c r="J71" i="5"/>
  <c r="I71" i="5"/>
  <c r="O70" i="5"/>
  <c r="N70" i="5"/>
  <c r="M70" i="5"/>
  <c r="L70" i="5"/>
  <c r="K70" i="5"/>
  <c r="J70" i="5"/>
  <c r="I70" i="5"/>
  <c r="O69" i="5"/>
  <c r="N69" i="5"/>
  <c r="M69" i="5"/>
  <c r="L69" i="5"/>
  <c r="K69" i="5"/>
  <c r="J69" i="5"/>
  <c r="I69" i="5"/>
  <c r="O68" i="5"/>
  <c r="N68" i="5"/>
  <c r="M68" i="5"/>
  <c r="L68" i="5"/>
  <c r="K68" i="5"/>
  <c r="J68" i="5"/>
  <c r="I68" i="5"/>
  <c r="AH67" i="5"/>
  <c r="AG67" i="5"/>
  <c r="AF67" i="5"/>
  <c r="AE67" i="5"/>
  <c r="AD67" i="5"/>
  <c r="AC67" i="5"/>
  <c r="AI67" i="5" s="1"/>
  <c r="O67" i="5"/>
  <c r="N67" i="5"/>
  <c r="M67" i="5"/>
  <c r="L67" i="5"/>
  <c r="K67" i="5"/>
  <c r="J67" i="5"/>
  <c r="I67" i="5"/>
  <c r="O66" i="5"/>
  <c r="N66" i="5"/>
  <c r="M66" i="5"/>
  <c r="L66" i="5"/>
  <c r="K66" i="5"/>
  <c r="J66" i="5"/>
  <c r="I66" i="5"/>
  <c r="O65" i="5"/>
  <c r="N65" i="5"/>
  <c r="M65" i="5"/>
  <c r="L65" i="5"/>
  <c r="K65" i="5"/>
  <c r="J65" i="5"/>
  <c r="I65" i="5"/>
  <c r="O64" i="5"/>
  <c r="N64" i="5"/>
  <c r="M64" i="5"/>
  <c r="L64" i="5"/>
  <c r="K64" i="5"/>
  <c r="J64" i="5"/>
  <c r="I64" i="5"/>
  <c r="O63" i="5"/>
  <c r="N63" i="5"/>
  <c r="M63" i="5"/>
  <c r="L63" i="5"/>
  <c r="K63" i="5"/>
  <c r="J63" i="5"/>
  <c r="I63" i="5"/>
  <c r="O62" i="5"/>
  <c r="N62" i="5"/>
  <c r="M62" i="5"/>
  <c r="L62" i="5"/>
  <c r="K62" i="5"/>
  <c r="J62" i="5"/>
  <c r="I62" i="5"/>
  <c r="O61" i="5"/>
  <c r="N61" i="5"/>
  <c r="M61" i="5"/>
  <c r="L61" i="5"/>
  <c r="K61" i="5"/>
  <c r="J61" i="5"/>
  <c r="I61" i="5"/>
  <c r="O60" i="5"/>
  <c r="N60" i="5"/>
  <c r="M60" i="5"/>
  <c r="L60" i="5"/>
  <c r="K60" i="5"/>
  <c r="J60" i="5"/>
  <c r="I60" i="5"/>
  <c r="O59" i="5"/>
  <c r="N59" i="5"/>
  <c r="M59" i="5"/>
  <c r="L59" i="5"/>
  <c r="K59" i="5"/>
  <c r="J59" i="5"/>
  <c r="I59" i="5"/>
  <c r="O58" i="5"/>
  <c r="N58" i="5"/>
  <c r="M58" i="5"/>
  <c r="L58" i="5"/>
  <c r="K58" i="5"/>
  <c r="J58" i="5"/>
  <c r="I58" i="5"/>
  <c r="O57" i="5"/>
  <c r="N57" i="5"/>
  <c r="M57" i="5"/>
  <c r="L57" i="5"/>
  <c r="K57" i="5"/>
  <c r="J57" i="5"/>
  <c r="I57" i="5"/>
  <c r="O56" i="5"/>
  <c r="N56" i="5"/>
  <c r="M56" i="5"/>
  <c r="L56" i="5"/>
  <c r="K56" i="5"/>
  <c r="J56" i="5"/>
  <c r="I56" i="5"/>
  <c r="AI55" i="5"/>
  <c r="O55" i="5"/>
  <c r="N55" i="5"/>
  <c r="M55" i="5"/>
  <c r="L55" i="5"/>
  <c r="K55" i="5"/>
  <c r="J55" i="5"/>
  <c r="I55" i="5"/>
  <c r="O54" i="5"/>
  <c r="N54" i="5"/>
  <c r="M54" i="5"/>
  <c r="L54" i="5"/>
  <c r="K54" i="5"/>
  <c r="J54" i="5"/>
  <c r="I54" i="5"/>
  <c r="O53" i="5"/>
  <c r="N53" i="5"/>
  <c r="M53" i="5"/>
  <c r="L53" i="5"/>
  <c r="K53" i="5"/>
  <c r="J53" i="5"/>
  <c r="I53" i="5"/>
  <c r="O52" i="5"/>
  <c r="N52" i="5"/>
  <c r="M52" i="5"/>
  <c r="L52" i="5"/>
  <c r="K52" i="5"/>
  <c r="J52" i="5"/>
  <c r="I52" i="5"/>
  <c r="O51" i="5"/>
  <c r="N51" i="5"/>
  <c r="M51" i="5"/>
  <c r="L51" i="5"/>
  <c r="K51" i="5"/>
  <c r="J51" i="5"/>
  <c r="I51" i="5"/>
  <c r="O50" i="5"/>
  <c r="N50" i="5"/>
  <c r="M50" i="5"/>
  <c r="L50" i="5"/>
  <c r="K50" i="5"/>
  <c r="J50" i="5"/>
  <c r="I50" i="5"/>
  <c r="O49" i="5"/>
  <c r="N49" i="5"/>
  <c r="M49" i="5"/>
  <c r="L49" i="5"/>
  <c r="K49" i="5"/>
  <c r="J49" i="5"/>
  <c r="I49" i="5"/>
  <c r="O48" i="5"/>
  <c r="N48" i="5"/>
  <c r="M48" i="5"/>
  <c r="L48" i="5"/>
  <c r="K48" i="5"/>
  <c r="J48" i="5"/>
  <c r="I48" i="5"/>
  <c r="AI47" i="5"/>
  <c r="O47" i="5"/>
  <c r="N47" i="5"/>
  <c r="M47" i="5"/>
  <c r="L47" i="5"/>
  <c r="K47" i="5"/>
  <c r="J47" i="5"/>
  <c r="I47" i="5"/>
  <c r="O46" i="5"/>
  <c r="N46" i="5"/>
  <c r="M46" i="5"/>
  <c r="L46" i="5"/>
  <c r="K46" i="5"/>
  <c r="J46" i="5"/>
  <c r="I46" i="5"/>
  <c r="O45" i="5"/>
  <c r="N45" i="5"/>
  <c r="M45" i="5"/>
  <c r="L45" i="5"/>
  <c r="K45" i="5"/>
  <c r="J45" i="5"/>
  <c r="I45" i="5"/>
  <c r="O44" i="5"/>
  <c r="N44" i="5"/>
  <c r="M44" i="5"/>
  <c r="L44" i="5"/>
  <c r="K44" i="5"/>
  <c r="J44" i="5"/>
  <c r="I44" i="5"/>
  <c r="O43" i="5"/>
  <c r="N43" i="5"/>
  <c r="M43" i="5"/>
  <c r="L43" i="5"/>
  <c r="K43" i="5"/>
  <c r="J43" i="5"/>
  <c r="I43" i="5"/>
  <c r="O42" i="5"/>
  <c r="N42" i="5"/>
  <c r="M42" i="5"/>
  <c r="L42" i="5"/>
  <c r="K42" i="5"/>
  <c r="J42" i="5"/>
  <c r="I42" i="5"/>
  <c r="O41" i="5"/>
  <c r="Y5" i="5" s="1"/>
  <c r="Y6" i="5" s="1"/>
  <c r="N41" i="5"/>
  <c r="M41" i="5"/>
  <c r="L41" i="5"/>
  <c r="K41" i="5"/>
  <c r="J41" i="5"/>
  <c r="I41" i="5"/>
  <c r="O40" i="5"/>
  <c r="N40" i="5"/>
  <c r="M40" i="5"/>
  <c r="L40" i="5"/>
  <c r="K40" i="5"/>
  <c r="J40" i="5"/>
  <c r="I40" i="5"/>
  <c r="O39" i="5"/>
  <c r="N39" i="5"/>
  <c r="M39" i="5"/>
  <c r="L39" i="5"/>
  <c r="K39" i="5"/>
  <c r="J39" i="5"/>
  <c r="I39" i="5"/>
  <c r="O38" i="5"/>
  <c r="N38" i="5"/>
  <c r="M38" i="5"/>
  <c r="L38" i="5"/>
  <c r="K38" i="5"/>
  <c r="J38" i="5"/>
  <c r="I38" i="5"/>
  <c r="O37" i="5"/>
  <c r="N37" i="5"/>
  <c r="M37" i="5"/>
  <c r="L37" i="5"/>
  <c r="K37" i="5"/>
  <c r="J37" i="5"/>
  <c r="I37" i="5"/>
  <c r="O36" i="5"/>
  <c r="N36" i="5"/>
  <c r="M36" i="5"/>
  <c r="L36" i="5"/>
  <c r="K36" i="5"/>
  <c r="J36" i="5"/>
  <c r="I36" i="5"/>
  <c r="O35" i="5"/>
  <c r="N35" i="5"/>
  <c r="M35" i="5"/>
  <c r="L35" i="5"/>
  <c r="K35" i="5"/>
  <c r="J35" i="5"/>
  <c r="I35" i="5"/>
  <c r="O34" i="5"/>
  <c r="N34" i="5"/>
  <c r="M34" i="5"/>
  <c r="L34" i="5"/>
  <c r="K34" i="5"/>
  <c r="J34" i="5"/>
  <c r="I34" i="5"/>
  <c r="AI33" i="5"/>
  <c r="O33" i="5"/>
  <c r="N33" i="5"/>
  <c r="M33" i="5"/>
  <c r="L33" i="5"/>
  <c r="K33" i="5"/>
  <c r="J33" i="5"/>
  <c r="I33" i="5"/>
  <c r="O32" i="5"/>
  <c r="N32" i="5"/>
  <c r="M32" i="5"/>
  <c r="L32" i="5"/>
  <c r="K32" i="5"/>
  <c r="J32" i="5"/>
  <c r="I32" i="5"/>
  <c r="O31" i="5"/>
  <c r="N31" i="5"/>
  <c r="M31" i="5"/>
  <c r="L31" i="5"/>
  <c r="K31" i="5"/>
  <c r="J31" i="5"/>
  <c r="I31" i="5"/>
  <c r="O30" i="5"/>
  <c r="N30" i="5"/>
  <c r="M30" i="5"/>
  <c r="L30" i="5"/>
  <c r="K30" i="5"/>
  <c r="J30" i="5"/>
  <c r="I30" i="5"/>
  <c r="O29" i="5"/>
  <c r="N29" i="5"/>
  <c r="M29" i="5"/>
  <c r="L29" i="5"/>
  <c r="K29" i="5"/>
  <c r="J29" i="5"/>
  <c r="I29" i="5"/>
  <c r="O28" i="5"/>
  <c r="N28" i="5"/>
  <c r="M28" i="5"/>
  <c r="L28" i="5"/>
  <c r="K28" i="5"/>
  <c r="J28" i="5"/>
  <c r="I28" i="5"/>
  <c r="O27" i="5"/>
  <c r="N27" i="5"/>
  <c r="M27" i="5"/>
  <c r="L27" i="5"/>
  <c r="K27" i="5"/>
  <c r="J27" i="5"/>
  <c r="I27" i="5"/>
  <c r="O26" i="5"/>
  <c r="N26" i="5"/>
  <c r="M26" i="5"/>
  <c r="L26" i="5"/>
  <c r="K26" i="5"/>
  <c r="J26" i="5"/>
  <c r="I26" i="5"/>
  <c r="AI25" i="5"/>
  <c r="O25" i="5"/>
  <c r="N25" i="5"/>
  <c r="M25" i="5"/>
  <c r="L25" i="5"/>
  <c r="K25" i="5"/>
  <c r="J25" i="5"/>
  <c r="I25" i="5"/>
  <c r="O24" i="5"/>
  <c r="N24" i="5"/>
  <c r="M24" i="5"/>
  <c r="L24" i="5"/>
  <c r="K24" i="5"/>
  <c r="J24" i="5"/>
  <c r="I24" i="5"/>
  <c r="O23" i="5"/>
  <c r="N23" i="5"/>
  <c r="M23" i="5"/>
  <c r="L23" i="5"/>
  <c r="K23" i="5"/>
  <c r="J23" i="5"/>
  <c r="I23" i="5"/>
  <c r="O22" i="5"/>
  <c r="N22" i="5"/>
  <c r="M22" i="5"/>
  <c r="L22" i="5"/>
  <c r="K22" i="5"/>
  <c r="J22" i="5"/>
  <c r="I22" i="5"/>
  <c r="O21" i="5"/>
  <c r="N21" i="5"/>
  <c r="M21" i="5"/>
  <c r="L21" i="5"/>
  <c r="K21" i="5"/>
  <c r="J21" i="5"/>
  <c r="I21" i="5"/>
  <c r="O20" i="5"/>
  <c r="N20" i="5"/>
  <c r="M20" i="5"/>
  <c r="L20" i="5"/>
  <c r="K20" i="5"/>
  <c r="J20" i="5"/>
  <c r="I20" i="5"/>
  <c r="AH19" i="5"/>
  <c r="AG19" i="5"/>
  <c r="AF19" i="5"/>
  <c r="AE19" i="5"/>
  <c r="AD19" i="5"/>
  <c r="AC19" i="5"/>
  <c r="O19" i="5"/>
  <c r="N19" i="5"/>
  <c r="M19" i="5"/>
  <c r="L19" i="5"/>
  <c r="K19" i="5"/>
  <c r="J19" i="5"/>
  <c r="I19" i="5"/>
  <c r="AI18" i="5"/>
  <c r="AG18" i="5"/>
  <c r="AF18" i="5"/>
  <c r="AE18" i="5"/>
  <c r="AD18" i="5"/>
  <c r="AC18" i="5"/>
  <c r="O18" i="5"/>
  <c r="N18" i="5"/>
  <c r="M18" i="5"/>
  <c r="L18" i="5"/>
  <c r="K18" i="5"/>
  <c r="U5" i="5" s="1"/>
  <c r="U6" i="5" s="1"/>
  <c r="J18" i="5"/>
  <c r="I18" i="5"/>
  <c r="AF17" i="5"/>
  <c r="AE17" i="5"/>
  <c r="AD17" i="5"/>
  <c r="AC17" i="5"/>
  <c r="O17" i="5"/>
  <c r="N17" i="5"/>
  <c r="M17" i="5"/>
  <c r="L17" i="5"/>
  <c r="K17" i="5"/>
  <c r="J17" i="5"/>
  <c r="I17" i="5"/>
  <c r="AI16" i="5"/>
  <c r="AE16" i="5"/>
  <c r="AD16" i="5"/>
  <c r="AC16" i="5"/>
  <c r="O16" i="5"/>
  <c r="N16" i="5"/>
  <c r="M16" i="5"/>
  <c r="L16" i="5"/>
  <c r="K16" i="5"/>
  <c r="J16" i="5"/>
  <c r="I16" i="5"/>
  <c r="AD15" i="5"/>
  <c r="AC15" i="5"/>
  <c r="O15" i="5"/>
  <c r="N15" i="5"/>
  <c r="M15" i="5"/>
  <c r="L15" i="5"/>
  <c r="K15" i="5"/>
  <c r="J15" i="5"/>
  <c r="I15" i="5"/>
  <c r="AH14" i="5"/>
  <c r="AG14" i="5"/>
  <c r="AF14" i="5"/>
  <c r="AC14" i="5"/>
  <c r="O14" i="5"/>
  <c r="N14" i="5"/>
  <c r="M14" i="5"/>
  <c r="L14" i="5"/>
  <c r="K14" i="5"/>
  <c r="J14" i="5"/>
  <c r="I14" i="5"/>
  <c r="AE13" i="5"/>
  <c r="O13" i="5"/>
  <c r="N13" i="5"/>
  <c r="M13" i="5"/>
  <c r="L13" i="5"/>
  <c r="K13" i="5"/>
  <c r="J13" i="5"/>
  <c r="I13" i="5"/>
  <c r="O12" i="5"/>
  <c r="N12" i="5"/>
  <c r="M12" i="5"/>
  <c r="L12" i="5"/>
  <c r="K12" i="5"/>
  <c r="J12" i="5"/>
  <c r="I12" i="5"/>
  <c r="O11" i="5"/>
  <c r="N11" i="5"/>
  <c r="M11" i="5"/>
  <c r="L11" i="5"/>
  <c r="K11" i="5"/>
  <c r="J11" i="5"/>
  <c r="I11" i="5"/>
  <c r="O10" i="5"/>
  <c r="N10" i="5"/>
  <c r="M10" i="5"/>
  <c r="L10" i="5"/>
  <c r="K10" i="5"/>
  <c r="J10" i="5"/>
  <c r="I10" i="5"/>
  <c r="O9" i="5"/>
  <c r="N9" i="5"/>
  <c r="M9" i="5"/>
  <c r="L9" i="5"/>
  <c r="K9" i="5"/>
  <c r="J9" i="5"/>
  <c r="I9" i="5"/>
  <c r="AS8" i="5"/>
  <c r="AI8" i="5"/>
  <c r="O8" i="5"/>
  <c r="N8" i="5"/>
  <c r="M8" i="5"/>
  <c r="L8" i="5"/>
  <c r="K8" i="5"/>
  <c r="J8" i="5"/>
  <c r="I8" i="5"/>
  <c r="AS7" i="5"/>
  <c r="AR7" i="5"/>
  <c r="AR7" i="5" a="1"/>
  <c r="AI7" i="5"/>
  <c r="AI17" i="5" s="1"/>
  <c r="AH7" i="5"/>
  <c r="AH17" i="5" s="1"/>
  <c r="AH7" i="5" a="1"/>
  <c r="O7" i="5"/>
  <c r="N7" i="5"/>
  <c r="M7" i="5"/>
  <c r="L7" i="5"/>
  <c r="K7" i="5"/>
  <c r="J7" i="5"/>
  <c r="I7" i="5"/>
  <c r="AQ6" i="5" a="1"/>
  <c r="AS6" i="5" s="1"/>
  <c r="AI6" i="5"/>
  <c r="AH6" i="5"/>
  <c r="AH16" i="5" s="1"/>
  <c r="AG6" i="5"/>
  <c r="AG16" i="5" s="1"/>
  <c r="AG6" i="5" a="1"/>
  <c r="O6" i="5"/>
  <c r="N6" i="5"/>
  <c r="M6" i="5"/>
  <c r="L6" i="5"/>
  <c r="AF6" i="5" s="1"/>
  <c r="AF16" i="5" s="1"/>
  <c r="K6" i="5"/>
  <c r="J6" i="5"/>
  <c r="T5" i="5" s="1"/>
  <c r="T6" i="5" s="1"/>
  <c r="I6" i="5"/>
  <c r="S5" i="5" s="1"/>
  <c r="S6" i="5" s="1"/>
  <c r="AS5" i="5"/>
  <c r="AR5" i="5"/>
  <c r="AQ5" i="5"/>
  <c r="AP5" i="5" a="1"/>
  <c r="AP5" i="5" s="1"/>
  <c r="AF5" i="5" a="1"/>
  <c r="AI5" i="5" s="1"/>
  <c r="AI15" i="5" s="1"/>
  <c r="X5" i="5"/>
  <c r="X6" i="5" s="1"/>
  <c r="O5" i="5"/>
  <c r="N5" i="5"/>
  <c r="M5" i="5"/>
  <c r="L5" i="5"/>
  <c r="K5" i="5"/>
  <c r="J5" i="5"/>
  <c r="I5" i="5"/>
  <c r="AR4" i="5"/>
  <c r="AQ4" i="5"/>
  <c r="AP4" i="5"/>
  <c r="AO4" i="5" a="1"/>
  <c r="AS4" i="5" s="1"/>
  <c r="AI4" i="5"/>
  <c r="AI14" i="5" s="1"/>
  <c r="AH4" i="5"/>
  <c r="AG4" i="5"/>
  <c r="AF4" i="5"/>
  <c r="AE4" i="5" a="1"/>
  <c r="AE4" i="5" s="1"/>
  <c r="AE14" i="5" s="1"/>
  <c r="O4" i="5"/>
  <c r="Y3" i="5" s="1"/>
  <c r="Y4" i="5" s="1"/>
  <c r="N4" i="5"/>
  <c r="AH8" i="5" s="1"/>
  <c r="AH18" i="5" s="1"/>
  <c r="M4" i="5"/>
  <c r="AG7" i="5" s="1"/>
  <c r="AG17" i="5" s="1"/>
  <c r="L4" i="5"/>
  <c r="V3" i="5" s="1"/>
  <c r="V4" i="5" s="1"/>
  <c r="K4" i="5"/>
  <c r="U3" i="5" s="1"/>
  <c r="U4" i="5" s="1"/>
  <c r="J4" i="5"/>
  <c r="T3" i="5" s="1"/>
  <c r="T4" i="5" s="1"/>
  <c r="I4" i="5"/>
  <c r="AN3" i="5" a="1"/>
  <c r="AS3" i="5" s="1"/>
  <c r="AI3" i="5"/>
  <c r="AI13" i="5" s="1"/>
  <c r="AH3" i="5"/>
  <c r="AH13" i="5" s="1"/>
  <c r="AG3" i="5"/>
  <c r="AG13" i="5" s="1"/>
  <c r="AF3" i="5"/>
  <c r="AF13" i="5" s="1"/>
  <c r="AE3" i="5"/>
  <c r="AD3" i="5" a="1"/>
  <c r="AD3" i="5" s="1"/>
  <c r="AD13" i="5" s="1"/>
  <c r="AC59" i="2"/>
  <c r="AC57" i="2" a="1"/>
  <c r="AC57" i="2" s="1"/>
  <c r="AC58" i="2" s="1"/>
  <c r="AI55" i="2"/>
  <c r="AC67" i="2"/>
  <c r="AD67" i="2"/>
  <c r="AE67" i="2"/>
  <c r="AF67" i="2"/>
  <c r="AG67" i="2"/>
  <c r="AH67" i="2"/>
  <c r="AI67" i="2"/>
  <c r="AC52" i="2"/>
  <c r="AC51" i="2"/>
  <c r="AC50" i="2"/>
  <c r="AC49" i="2" a="1"/>
  <c r="AC49" i="2" s="1"/>
  <c r="AI47" i="2"/>
  <c r="AI33" i="2"/>
  <c r="AI25" i="2"/>
  <c r="O755" i="2"/>
  <c r="N755" i="2"/>
  <c r="M755" i="2"/>
  <c r="L755" i="2"/>
  <c r="K755" i="2"/>
  <c r="J755" i="2"/>
  <c r="I755" i="2"/>
  <c r="O754" i="2"/>
  <c r="N754" i="2"/>
  <c r="M754" i="2"/>
  <c r="L754" i="2"/>
  <c r="K754" i="2"/>
  <c r="J754" i="2"/>
  <c r="I754" i="2"/>
  <c r="O753" i="2"/>
  <c r="N753" i="2"/>
  <c r="M753" i="2"/>
  <c r="L753" i="2"/>
  <c r="K753" i="2"/>
  <c r="J753" i="2"/>
  <c r="I753" i="2"/>
  <c r="O752" i="2"/>
  <c r="N752" i="2"/>
  <c r="M752" i="2"/>
  <c r="L752" i="2"/>
  <c r="K752" i="2"/>
  <c r="J752" i="2"/>
  <c r="I752" i="2"/>
  <c r="O751" i="2"/>
  <c r="N751" i="2"/>
  <c r="M751" i="2"/>
  <c r="L751" i="2"/>
  <c r="K751" i="2"/>
  <c r="J751" i="2"/>
  <c r="I751" i="2"/>
  <c r="O750" i="2"/>
  <c r="N750" i="2"/>
  <c r="M750" i="2"/>
  <c r="L750" i="2"/>
  <c r="K750" i="2"/>
  <c r="J750" i="2"/>
  <c r="I750" i="2"/>
  <c r="O749" i="2"/>
  <c r="N749" i="2"/>
  <c r="M749" i="2"/>
  <c r="L749" i="2"/>
  <c r="K749" i="2"/>
  <c r="J749" i="2"/>
  <c r="I749" i="2"/>
  <c r="O748" i="2"/>
  <c r="N748" i="2"/>
  <c r="M748" i="2"/>
  <c r="L748" i="2"/>
  <c r="K748" i="2"/>
  <c r="J748" i="2"/>
  <c r="I748" i="2"/>
  <c r="O747" i="2"/>
  <c r="N747" i="2"/>
  <c r="M747" i="2"/>
  <c r="L747" i="2"/>
  <c r="K747" i="2"/>
  <c r="J747" i="2"/>
  <c r="I747" i="2"/>
  <c r="O746" i="2"/>
  <c r="N746" i="2"/>
  <c r="M746" i="2"/>
  <c r="L746" i="2"/>
  <c r="K746" i="2"/>
  <c r="J746" i="2"/>
  <c r="I746" i="2"/>
  <c r="O745" i="2"/>
  <c r="N745" i="2"/>
  <c r="M745" i="2"/>
  <c r="L745" i="2"/>
  <c r="K745" i="2"/>
  <c r="J745" i="2"/>
  <c r="I745" i="2"/>
  <c r="O744" i="2"/>
  <c r="N744" i="2"/>
  <c r="M744" i="2"/>
  <c r="L744" i="2"/>
  <c r="K744" i="2"/>
  <c r="J744" i="2"/>
  <c r="I744" i="2"/>
  <c r="O743" i="2"/>
  <c r="N743" i="2"/>
  <c r="M743" i="2"/>
  <c r="L743" i="2"/>
  <c r="K743" i="2"/>
  <c r="J743" i="2"/>
  <c r="I743" i="2"/>
  <c r="O742" i="2"/>
  <c r="N742" i="2"/>
  <c r="M742" i="2"/>
  <c r="L742" i="2"/>
  <c r="K742" i="2"/>
  <c r="J742" i="2"/>
  <c r="I742" i="2"/>
  <c r="O741" i="2"/>
  <c r="N741" i="2"/>
  <c r="M741" i="2"/>
  <c r="L741" i="2"/>
  <c r="K741" i="2"/>
  <c r="J741" i="2"/>
  <c r="I741" i="2"/>
  <c r="O740" i="2"/>
  <c r="N740" i="2"/>
  <c r="M740" i="2"/>
  <c r="L740" i="2"/>
  <c r="K740" i="2"/>
  <c r="J740" i="2"/>
  <c r="I740" i="2"/>
  <c r="O739" i="2"/>
  <c r="N739" i="2"/>
  <c r="M739" i="2"/>
  <c r="L739" i="2"/>
  <c r="K739" i="2"/>
  <c r="J739" i="2"/>
  <c r="I739" i="2"/>
  <c r="O738" i="2"/>
  <c r="N738" i="2"/>
  <c r="M738" i="2"/>
  <c r="L738" i="2"/>
  <c r="K738" i="2"/>
  <c r="J738" i="2"/>
  <c r="I738" i="2"/>
  <c r="O737" i="2"/>
  <c r="N737" i="2"/>
  <c r="M737" i="2"/>
  <c r="L737" i="2"/>
  <c r="K737" i="2"/>
  <c r="J737" i="2"/>
  <c r="I737" i="2"/>
  <c r="O736" i="2"/>
  <c r="N736" i="2"/>
  <c r="M736" i="2"/>
  <c r="L736" i="2"/>
  <c r="K736" i="2"/>
  <c r="J736" i="2"/>
  <c r="I736" i="2"/>
  <c r="O735" i="2"/>
  <c r="N735" i="2"/>
  <c r="M735" i="2"/>
  <c r="L735" i="2"/>
  <c r="K735" i="2"/>
  <c r="J735" i="2"/>
  <c r="I735" i="2"/>
  <c r="O734" i="2"/>
  <c r="N734" i="2"/>
  <c r="M734" i="2"/>
  <c r="L734" i="2"/>
  <c r="K734" i="2"/>
  <c r="J734" i="2"/>
  <c r="I734" i="2"/>
  <c r="O733" i="2"/>
  <c r="N733" i="2"/>
  <c r="M733" i="2"/>
  <c r="L733" i="2"/>
  <c r="K733" i="2"/>
  <c r="J733" i="2"/>
  <c r="I733" i="2"/>
  <c r="O732" i="2"/>
  <c r="N732" i="2"/>
  <c r="M732" i="2"/>
  <c r="L732" i="2"/>
  <c r="K732" i="2"/>
  <c r="J732" i="2"/>
  <c r="I732" i="2"/>
  <c r="O731" i="2"/>
  <c r="N731" i="2"/>
  <c r="M731" i="2"/>
  <c r="L731" i="2"/>
  <c r="K731" i="2"/>
  <c r="J731" i="2"/>
  <c r="I731" i="2"/>
  <c r="O730" i="2"/>
  <c r="N730" i="2"/>
  <c r="M730" i="2"/>
  <c r="L730" i="2"/>
  <c r="K730" i="2"/>
  <c r="J730" i="2"/>
  <c r="I730" i="2"/>
  <c r="O729" i="2"/>
  <c r="N729" i="2"/>
  <c r="M729" i="2"/>
  <c r="L729" i="2"/>
  <c r="K729" i="2"/>
  <c r="J729" i="2"/>
  <c r="I729" i="2"/>
  <c r="O728" i="2"/>
  <c r="N728" i="2"/>
  <c r="M728" i="2"/>
  <c r="L728" i="2"/>
  <c r="K728" i="2"/>
  <c r="J728" i="2"/>
  <c r="I728" i="2"/>
  <c r="O727" i="2"/>
  <c r="N727" i="2"/>
  <c r="M727" i="2"/>
  <c r="L727" i="2"/>
  <c r="K727" i="2"/>
  <c r="J727" i="2"/>
  <c r="I727" i="2"/>
  <c r="O726" i="2"/>
  <c r="N726" i="2"/>
  <c r="M726" i="2"/>
  <c r="L726" i="2"/>
  <c r="K726" i="2"/>
  <c r="J726" i="2"/>
  <c r="I726" i="2"/>
  <c r="O725" i="2"/>
  <c r="N725" i="2"/>
  <c r="M725" i="2"/>
  <c r="L725" i="2"/>
  <c r="K725" i="2"/>
  <c r="J725" i="2"/>
  <c r="I725" i="2"/>
  <c r="O724" i="2"/>
  <c r="N724" i="2"/>
  <c r="M724" i="2"/>
  <c r="L724" i="2"/>
  <c r="K724" i="2"/>
  <c r="J724" i="2"/>
  <c r="I724" i="2"/>
  <c r="O723" i="2"/>
  <c r="N723" i="2"/>
  <c r="M723" i="2"/>
  <c r="L723" i="2"/>
  <c r="K723" i="2"/>
  <c r="J723" i="2"/>
  <c r="I723" i="2"/>
  <c r="O722" i="2"/>
  <c r="N722" i="2"/>
  <c r="M722" i="2"/>
  <c r="L722" i="2"/>
  <c r="K722" i="2"/>
  <c r="J722" i="2"/>
  <c r="I722" i="2"/>
  <c r="O721" i="2"/>
  <c r="N721" i="2"/>
  <c r="M721" i="2"/>
  <c r="L721" i="2"/>
  <c r="K721" i="2"/>
  <c r="J721" i="2"/>
  <c r="I721" i="2"/>
  <c r="O720" i="2"/>
  <c r="N720" i="2"/>
  <c r="M720" i="2"/>
  <c r="L720" i="2"/>
  <c r="K720" i="2"/>
  <c r="J720" i="2"/>
  <c r="I720" i="2"/>
  <c r="O719" i="2"/>
  <c r="N719" i="2"/>
  <c r="M719" i="2"/>
  <c r="L719" i="2"/>
  <c r="K719" i="2"/>
  <c r="J719" i="2"/>
  <c r="I719" i="2"/>
  <c r="O718" i="2"/>
  <c r="N718" i="2"/>
  <c r="M718" i="2"/>
  <c r="L718" i="2"/>
  <c r="K718" i="2"/>
  <c r="J718" i="2"/>
  <c r="I718" i="2"/>
  <c r="O717" i="2"/>
  <c r="N717" i="2"/>
  <c r="M717" i="2"/>
  <c r="L717" i="2"/>
  <c r="K717" i="2"/>
  <c r="J717" i="2"/>
  <c r="I717" i="2"/>
  <c r="O716" i="2"/>
  <c r="N716" i="2"/>
  <c r="M716" i="2"/>
  <c r="L716" i="2"/>
  <c r="K716" i="2"/>
  <c r="J716" i="2"/>
  <c r="I716" i="2"/>
  <c r="O715" i="2"/>
  <c r="N715" i="2"/>
  <c r="M715" i="2"/>
  <c r="L715" i="2"/>
  <c r="K715" i="2"/>
  <c r="J715" i="2"/>
  <c r="I715" i="2"/>
  <c r="O714" i="2"/>
  <c r="N714" i="2"/>
  <c r="M714" i="2"/>
  <c r="L714" i="2"/>
  <c r="K714" i="2"/>
  <c r="J714" i="2"/>
  <c r="I714" i="2"/>
  <c r="O713" i="2"/>
  <c r="N713" i="2"/>
  <c r="M713" i="2"/>
  <c r="L713" i="2"/>
  <c r="K713" i="2"/>
  <c r="J713" i="2"/>
  <c r="I713" i="2"/>
  <c r="O712" i="2"/>
  <c r="N712" i="2"/>
  <c r="M712" i="2"/>
  <c r="L712" i="2"/>
  <c r="K712" i="2"/>
  <c r="J712" i="2"/>
  <c r="I712" i="2"/>
  <c r="O711" i="2"/>
  <c r="N711" i="2"/>
  <c r="M711" i="2"/>
  <c r="L711" i="2"/>
  <c r="K711" i="2"/>
  <c r="J711" i="2"/>
  <c r="I711" i="2"/>
  <c r="O710" i="2"/>
  <c r="N710" i="2"/>
  <c r="M710" i="2"/>
  <c r="L710" i="2"/>
  <c r="K710" i="2"/>
  <c r="J710" i="2"/>
  <c r="I710" i="2"/>
  <c r="O709" i="2"/>
  <c r="N709" i="2"/>
  <c r="M709" i="2"/>
  <c r="L709" i="2"/>
  <c r="K709" i="2"/>
  <c r="J709" i="2"/>
  <c r="I709" i="2"/>
  <c r="O708" i="2"/>
  <c r="N708" i="2"/>
  <c r="M708" i="2"/>
  <c r="L708" i="2"/>
  <c r="K708" i="2"/>
  <c r="J708" i="2"/>
  <c r="I708" i="2"/>
  <c r="O707" i="2"/>
  <c r="N707" i="2"/>
  <c r="M707" i="2"/>
  <c r="L707" i="2"/>
  <c r="K707" i="2"/>
  <c r="J707" i="2"/>
  <c r="I707" i="2"/>
  <c r="O706" i="2"/>
  <c r="N706" i="2"/>
  <c r="M706" i="2"/>
  <c r="L706" i="2"/>
  <c r="K706" i="2"/>
  <c r="J706" i="2"/>
  <c r="I706" i="2"/>
  <c r="O705" i="2"/>
  <c r="N705" i="2"/>
  <c r="M705" i="2"/>
  <c r="L705" i="2"/>
  <c r="K705" i="2"/>
  <c r="J705" i="2"/>
  <c r="I705" i="2"/>
  <c r="O704" i="2"/>
  <c r="N704" i="2"/>
  <c r="M704" i="2"/>
  <c r="L704" i="2"/>
  <c r="K704" i="2"/>
  <c r="J704" i="2"/>
  <c r="I704" i="2"/>
  <c r="O703" i="2"/>
  <c r="N703" i="2"/>
  <c r="M703" i="2"/>
  <c r="L703" i="2"/>
  <c r="K703" i="2"/>
  <c r="J703" i="2"/>
  <c r="I703" i="2"/>
  <c r="O702" i="2"/>
  <c r="N702" i="2"/>
  <c r="M702" i="2"/>
  <c r="L702" i="2"/>
  <c r="K702" i="2"/>
  <c r="J702" i="2"/>
  <c r="I702" i="2"/>
  <c r="O701" i="2"/>
  <c r="N701" i="2"/>
  <c r="M701" i="2"/>
  <c r="L701" i="2"/>
  <c r="K701" i="2"/>
  <c r="J701" i="2"/>
  <c r="I701" i="2"/>
  <c r="O700" i="2"/>
  <c r="N700" i="2"/>
  <c r="M700" i="2"/>
  <c r="L700" i="2"/>
  <c r="K700" i="2"/>
  <c r="J700" i="2"/>
  <c r="I700" i="2"/>
  <c r="O699" i="2"/>
  <c r="N699" i="2"/>
  <c r="M699" i="2"/>
  <c r="L699" i="2"/>
  <c r="K699" i="2"/>
  <c r="J699" i="2"/>
  <c r="I699" i="2"/>
  <c r="O698" i="2"/>
  <c r="N698" i="2"/>
  <c r="M698" i="2"/>
  <c r="L698" i="2"/>
  <c r="K698" i="2"/>
  <c r="J698" i="2"/>
  <c r="I698" i="2"/>
  <c r="O697" i="2"/>
  <c r="N697" i="2"/>
  <c r="M697" i="2"/>
  <c r="L697" i="2"/>
  <c r="K697" i="2"/>
  <c r="J697" i="2"/>
  <c r="I697" i="2"/>
  <c r="O696" i="2"/>
  <c r="N696" i="2"/>
  <c r="M696" i="2"/>
  <c r="L696" i="2"/>
  <c r="K696" i="2"/>
  <c r="J696" i="2"/>
  <c r="I696" i="2"/>
  <c r="O695" i="2"/>
  <c r="N695" i="2"/>
  <c r="M695" i="2"/>
  <c r="L695" i="2"/>
  <c r="K695" i="2"/>
  <c r="J695" i="2"/>
  <c r="I695" i="2"/>
  <c r="O694" i="2"/>
  <c r="N694" i="2"/>
  <c r="M694" i="2"/>
  <c r="L694" i="2"/>
  <c r="K694" i="2"/>
  <c r="J694" i="2"/>
  <c r="I694" i="2"/>
  <c r="O693" i="2"/>
  <c r="N693" i="2"/>
  <c r="M693" i="2"/>
  <c r="L693" i="2"/>
  <c r="K693" i="2"/>
  <c r="J693" i="2"/>
  <c r="I693" i="2"/>
  <c r="O692" i="2"/>
  <c r="N692" i="2"/>
  <c r="M692" i="2"/>
  <c r="L692" i="2"/>
  <c r="K692" i="2"/>
  <c r="J692" i="2"/>
  <c r="I692" i="2"/>
  <c r="O691" i="2"/>
  <c r="N691" i="2"/>
  <c r="M691" i="2"/>
  <c r="L691" i="2"/>
  <c r="K691" i="2"/>
  <c r="J691" i="2"/>
  <c r="I691" i="2"/>
  <c r="O690" i="2"/>
  <c r="N690" i="2"/>
  <c r="M690" i="2"/>
  <c r="L690" i="2"/>
  <c r="K690" i="2"/>
  <c r="J690" i="2"/>
  <c r="I690" i="2"/>
  <c r="O689" i="2"/>
  <c r="N689" i="2"/>
  <c r="M689" i="2"/>
  <c r="L689" i="2"/>
  <c r="K689" i="2"/>
  <c r="J689" i="2"/>
  <c r="I689" i="2"/>
  <c r="O688" i="2"/>
  <c r="N688" i="2"/>
  <c r="M688" i="2"/>
  <c r="L688" i="2"/>
  <c r="K688" i="2"/>
  <c r="J688" i="2"/>
  <c r="I688" i="2"/>
  <c r="O687" i="2"/>
  <c r="N687" i="2"/>
  <c r="M687" i="2"/>
  <c r="L687" i="2"/>
  <c r="K687" i="2"/>
  <c r="J687" i="2"/>
  <c r="I687" i="2"/>
  <c r="O686" i="2"/>
  <c r="N686" i="2"/>
  <c r="M686" i="2"/>
  <c r="L686" i="2"/>
  <c r="K686" i="2"/>
  <c r="J686" i="2"/>
  <c r="I686" i="2"/>
  <c r="O685" i="2"/>
  <c r="N685" i="2"/>
  <c r="M685" i="2"/>
  <c r="L685" i="2"/>
  <c r="K685" i="2"/>
  <c r="J685" i="2"/>
  <c r="I685" i="2"/>
  <c r="O684" i="2"/>
  <c r="N684" i="2"/>
  <c r="M684" i="2"/>
  <c r="L684" i="2"/>
  <c r="K684" i="2"/>
  <c r="J684" i="2"/>
  <c r="I684" i="2"/>
  <c r="O683" i="2"/>
  <c r="N683" i="2"/>
  <c r="M683" i="2"/>
  <c r="L683" i="2"/>
  <c r="K683" i="2"/>
  <c r="J683" i="2"/>
  <c r="I683" i="2"/>
  <c r="O682" i="2"/>
  <c r="N682" i="2"/>
  <c r="M682" i="2"/>
  <c r="L682" i="2"/>
  <c r="K682" i="2"/>
  <c r="J682" i="2"/>
  <c r="I682" i="2"/>
  <c r="O681" i="2"/>
  <c r="N681" i="2"/>
  <c r="M681" i="2"/>
  <c r="L681" i="2"/>
  <c r="K681" i="2"/>
  <c r="J681" i="2"/>
  <c r="I681" i="2"/>
  <c r="O680" i="2"/>
  <c r="N680" i="2"/>
  <c r="M680" i="2"/>
  <c r="L680" i="2"/>
  <c r="K680" i="2"/>
  <c r="J680" i="2"/>
  <c r="I680" i="2"/>
  <c r="O679" i="2"/>
  <c r="N679" i="2"/>
  <c r="M679" i="2"/>
  <c r="L679" i="2"/>
  <c r="K679" i="2"/>
  <c r="J679" i="2"/>
  <c r="I679" i="2"/>
  <c r="O678" i="2"/>
  <c r="N678" i="2"/>
  <c r="M678" i="2"/>
  <c r="L678" i="2"/>
  <c r="K678" i="2"/>
  <c r="J678" i="2"/>
  <c r="I678" i="2"/>
  <c r="O677" i="2"/>
  <c r="N677" i="2"/>
  <c r="M677" i="2"/>
  <c r="L677" i="2"/>
  <c r="K677" i="2"/>
  <c r="J677" i="2"/>
  <c r="I677" i="2"/>
  <c r="O676" i="2"/>
  <c r="N676" i="2"/>
  <c r="M676" i="2"/>
  <c r="L676" i="2"/>
  <c r="K676" i="2"/>
  <c r="J676" i="2"/>
  <c r="I676" i="2"/>
  <c r="O675" i="2"/>
  <c r="N675" i="2"/>
  <c r="M675" i="2"/>
  <c r="L675" i="2"/>
  <c r="K675" i="2"/>
  <c r="J675" i="2"/>
  <c r="I675" i="2"/>
  <c r="O674" i="2"/>
  <c r="N674" i="2"/>
  <c r="M674" i="2"/>
  <c r="L674" i="2"/>
  <c r="K674" i="2"/>
  <c r="J674" i="2"/>
  <c r="I674" i="2"/>
  <c r="O673" i="2"/>
  <c r="N673" i="2"/>
  <c r="M673" i="2"/>
  <c r="L673" i="2"/>
  <c r="K673" i="2"/>
  <c r="J673" i="2"/>
  <c r="I673" i="2"/>
  <c r="O672" i="2"/>
  <c r="N672" i="2"/>
  <c r="M672" i="2"/>
  <c r="L672" i="2"/>
  <c r="K672" i="2"/>
  <c r="J672" i="2"/>
  <c r="I672" i="2"/>
  <c r="O671" i="2"/>
  <c r="N671" i="2"/>
  <c r="M671" i="2"/>
  <c r="L671" i="2"/>
  <c r="K671" i="2"/>
  <c r="J671" i="2"/>
  <c r="I671" i="2"/>
  <c r="O670" i="2"/>
  <c r="N670" i="2"/>
  <c r="M670" i="2"/>
  <c r="L670" i="2"/>
  <c r="K670" i="2"/>
  <c r="J670" i="2"/>
  <c r="I670" i="2"/>
  <c r="O669" i="2"/>
  <c r="N669" i="2"/>
  <c r="M669" i="2"/>
  <c r="L669" i="2"/>
  <c r="K669" i="2"/>
  <c r="J669" i="2"/>
  <c r="I669" i="2"/>
  <c r="O668" i="2"/>
  <c r="N668" i="2"/>
  <c r="M668" i="2"/>
  <c r="L668" i="2"/>
  <c r="K668" i="2"/>
  <c r="J668" i="2"/>
  <c r="I668" i="2"/>
  <c r="O667" i="2"/>
  <c r="N667" i="2"/>
  <c r="M667" i="2"/>
  <c r="L667" i="2"/>
  <c r="K667" i="2"/>
  <c r="J667" i="2"/>
  <c r="I667" i="2"/>
  <c r="O666" i="2"/>
  <c r="N666" i="2"/>
  <c r="M666" i="2"/>
  <c r="L666" i="2"/>
  <c r="K666" i="2"/>
  <c r="J666" i="2"/>
  <c r="I666" i="2"/>
  <c r="O665" i="2"/>
  <c r="N665" i="2"/>
  <c r="M665" i="2"/>
  <c r="L665" i="2"/>
  <c r="K665" i="2"/>
  <c r="J665" i="2"/>
  <c r="I665" i="2"/>
  <c r="O664" i="2"/>
  <c r="N664" i="2"/>
  <c r="M664" i="2"/>
  <c r="L664" i="2"/>
  <c r="K664" i="2"/>
  <c r="J664" i="2"/>
  <c r="I664" i="2"/>
  <c r="O663" i="2"/>
  <c r="N663" i="2"/>
  <c r="M663" i="2"/>
  <c r="L663" i="2"/>
  <c r="K663" i="2"/>
  <c r="J663" i="2"/>
  <c r="I663" i="2"/>
  <c r="O662" i="2"/>
  <c r="N662" i="2"/>
  <c r="M662" i="2"/>
  <c r="L662" i="2"/>
  <c r="K662" i="2"/>
  <c r="J662" i="2"/>
  <c r="I662" i="2"/>
  <c r="O661" i="2"/>
  <c r="N661" i="2"/>
  <c r="M661" i="2"/>
  <c r="L661" i="2"/>
  <c r="K661" i="2"/>
  <c r="J661" i="2"/>
  <c r="I661" i="2"/>
  <c r="O660" i="2"/>
  <c r="N660" i="2"/>
  <c r="M660" i="2"/>
  <c r="L660" i="2"/>
  <c r="K660" i="2"/>
  <c r="J660" i="2"/>
  <c r="I660" i="2"/>
  <c r="O659" i="2"/>
  <c r="N659" i="2"/>
  <c r="M659" i="2"/>
  <c r="L659" i="2"/>
  <c r="K659" i="2"/>
  <c r="J659" i="2"/>
  <c r="I659" i="2"/>
  <c r="O658" i="2"/>
  <c r="N658" i="2"/>
  <c r="M658" i="2"/>
  <c r="L658" i="2"/>
  <c r="K658" i="2"/>
  <c r="J658" i="2"/>
  <c r="I658" i="2"/>
  <c r="O657" i="2"/>
  <c r="N657" i="2"/>
  <c r="M657" i="2"/>
  <c r="L657" i="2"/>
  <c r="K657" i="2"/>
  <c r="J657" i="2"/>
  <c r="I657" i="2"/>
  <c r="O656" i="2"/>
  <c r="N656" i="2"/>
  <c r="M656" i="2"/>
  <c r="L656" i="2"/>
  <c r="K656" i="2"/>
  <c r="J656" i="2"/>
  <c r="I656" i="2"/>
  <c r="O655" i="2"/>
  <c r="N655" i="2"/>
  <c r="M655" i="2"/>
  <c r="L655" i="2"/>
  <c r="K655" i="2"/>
  <c r="J655" i="2"/>
  <c r="I655" i="2"/>
  <c r="O654" i="2"/>
  <c r="N654" i="2"/>
  <c r="M654" i="2"/>
  <c r="L654" i="2"/>
  <c r="K654" i="2"/>
  <c r="J654" i="2"/>
  <c r="I654" i="2"/>
  <c r="O653" i="2"/>
  <c r="N653" i="2"/>
  <c r="M653" i="2"/>
  <c r="L653" i="2"/>
  <c r="K653" i="2"/>
  <c r="J653" i="2"/>
  <c r="I653" i="2"/>
  <c r="O652" i="2"/>
  <c r="N652" i="2"/>
  <c r="M652" i="2"/>
  <c r="L652" i="2"/>
  <c r="K652" i="2"/>
  <c r="J652" i="2"/>
  <c r="I652" i="2"/>
  <c r="O651" i="2"/>
  <c r="N651" i="2"/>
  <c r="M651" i="2"/>
  <c r="L651" i="2"/>
  <c r="K651" i="2"/>
  <c r="J651" i="2"/>
  <c r="I651" i="2"/>
  <c r="O650" i="2"/>
  <c r="N650" i="2"/>
  <c r="M650" i="2"/>
  <c r="L650" i="2"/>
  <c r="K650" i="2"/>
  <c r="J650" i="2"/>
  <c r="I650" i="2"/>
  <c r="O649" i="2"/>
  <c r="N649" i="2"/>
  <c r="M649" i="2"/>
  <c r="L649" i="2"/>
  <c r="K649" i="2"/>
  <c r="J649" i="2"/>
  <c r="I649" i="2"/>
  <c r="O648" i="2"/>
  <c r="N648" i="2"/>
  <c r="M648" i="2"/>
  <c r="L648" i="2"/>
  <c r="K648" i="2"/>
  <c r="J648" i="2"/>
  <c r="I648" i="2"/>
  <c r="O647" i="2"/>
  <c r="N647" i="2"/>
  <c r="M647" i="2"/>
  <c r="L647" i="2"/>
  <c r="K647" i="2"/>
  <c r="J647" i="2"/>
  <c r="I647" i="2"/>
  <c r="O646" i="2"/>
  <c r="N646" i="2"/>
  <c r="M646" i="2"/>
  <c r="L646" i="2"/>
  <c r="K646" i="2"/>
  <c r="J646" i="2"/>
  <c r="I646" i="2"/>
  <c r="O645" i="2"/>
  <c r="N645" i="2"/>
  <c r="M645" i="2"/>
  <c r="L645" i="2"/>
  <c r="K645" i="2"/>
  <c r="J645" i="2"/>
  <c r="I645" i="2"/>
  <c r="O644" i="2"/>
  <c r="N644" i="2"/>
  <c r="M644" i="2"/>
  <c r="L644" i="2"/>
  <c r="K644" i="2"/>
  <c r="J644" i="2"/>
  <c r="I644" i="2"/>
  <c r="O643" i="2"/>
  <c r="N643" i="2"/>
  <c r="M643" i="2"/>
  <c r="L643" i="2"/>
  <c r="K643" i="2"/>
  <c r="J643" i="2"/>
  <c r="I643" i="2"/>
  <c r="O642" i="2"/>
  <c r="N642" i="2"/>
  <c r="M642" i="2"/>
  <c r="L642" i="2"/>
  <c r="K642" i="2"/>
  <c r="J642" i="2"/>
  <c r="I642" i="2"/>
  <c r="O641" i="2"/>
  <c r="N641" i="2"/>
  <c r="M641" i="2"/>
  <c r="L641" i="2"/>
  <c r="K641" i="2"/>
  <c r="J641" i="2"/>
  <c r="I641" i="2"/>
  <c r="O640" i="2"/>
  <c r="N640" i="2"/>
  <c r="M640" i="2"/>
  <c r="L640" i="2"/>
  <c r="K640" i="2"/>
  <c r="J640" i="2"/>
  <c r="I640" i="2"/>
  <c r="O639" i="2"/>
  <c r="N639" i="2"/>
  <c r="M639" i="2"/>
  <c r="L639" i="2"/>
  <c r="K639" i="2"/>
  <c r="J639" i="2"/>
  <c r="I639" i="2"/>
  <c r="O638" i="2"/>
  <c r="N638" i="2"/>
  <c r="M638" i="2"/>
  <c r="L638" i="2"/>
  <c r="K638" i="2"/>
  <c r="J638" i="2"/>
  <c r="I638" i="2"/>
  <c r="O637" i="2"/>
  <c r="N637" i="2"/>
  <c r="M637" i="2"/>
  <c r="L637" i="2"/>
  <c r="K637" i="2"/>
  <c r="J637" i="2"/>
  <c r="I637" i="2"/>
  <c r="O636" i="2"/>
  <c r="N636" i="2"/>
  <c r="M636" i="2"/>
  <c r="L636" i="2"/>
  <c r="K636" i="2"/>
  <c r="J636" i="2"/>
  <c r="I636" i="2"/>
  <c r="O635" i="2"/>
  <c r="N635" i="2"/>
  <c r="M635" i="2"/>
  <c r="L635" i="2"/>
  <c r="K635" i="2"/>
  <c r="J635" i="2"/>
  <c r="I635" i="2"/>
  <c r="O634" i="2"/>
  <c r="N634" i="2"/>
  <c r="M634" i="2"/>
  <c r="L634" i="2"/>
  <c r="K634" i="2"/>
  <c r="J634" i="2"/>
  <c r="I634" i="2"/>
  <c r="O633" i="2"/>
  <c r="N633" i="2"/>
  <c r="M633" i="2"/>
  <c r="L633" i="2"/>
  <c r="K633" i="2"/>
  <c r="J633" i="2"/>
  <c r="I633" i="2"/>
  <c r="O632" i="2"/>
  <c r="N632" i="2"/>
  <c r="M632" i="2"/>
  <c r="L632" i="2"/>
  <c r="K632" i="2"/>
  <c r="J632" i="2"/>
  <c r="I632" i="2"/>
  <c r="O631" i="2"/>
  <c r="N631" i="2"/>
  <c r="M631" i="2"/>
  <c r="L631" i="2"/>
  <c r="K631" i="2"/>
  <c r="J631" i="2"/>
  <c r="I631" i="2"/>
  <c r="O630" i="2"/>
  <c r="N630" i="2"/>
  <c r="M630" i="2"/>
  <c r="L630" i="2"/>
  <c r="K630" i="2"/>
  <c r="J630" i="2"/>
  <c r="I630" i="2"/>
  <c r="O629" i="2"/>
  <c r="N629" i="2"/>
  <c r="M629" i="2"/>
  <c r="L629" i="2"/>
  <c r="K629" i="2"/>
  <c r="J629" i="2"/>
  <c r="I629" i="2"/>
  <c r="O628" i="2"/>
  <c r="N628" i="2"/>
  <c r="M628" i="2"/>
  <c r="L628" i="2"/>
  <c r="K628" i="2"/>
  <c r="J628" i="2"/>
  <c r="I628" i="2"/>
  <c r="O627" i="2"/>
  <c r="N627" i="2"/>
  <c r="M627" i="2"/>
  <c r="L627" i="2"/>
  <c r="K627" i="2"/>
  <c r="J627" i="2"/>
  <c r="I627" i="2"/>
  <c r="O626" i="2"/>
  <c r="N626" i="2"/>
  <c r="M626" i="2"/>
  <c r="L626" i="2"/>
  <c r="K626" i="2"/>
  <c r="J626" i="2"/>
  <c r="I626" i="2"/>
  <c r="O625" i="2"/>
  <c r="N625" i="2"/>
  <c r="M625" i="2"/>
  <c r="L625" i="2"/>
  <c r="K625" i="2"/>
  <c r="J625" i="2"/>
  <c r="I625" i="2"/>
  <c r="O624" i="2"/>
  <c r="N624" i="2"/>
  <c r="M624" i="2"/>
  <c r="L624" i="2"/>
  <c r="K624" i="2"/>
  <c r="J624" i="2"/>
  <c r="I624" i="2"/>
  <c r="O623" i="2"/>
  <c r="N623" i="2"/>
  <c r="M623" i="2"/>
  <c r="L623" i="2"/>
  <c r="K623" i="2"/>
  <c r="J623" i="2"/>
  <c r="I623" i="2"/>
  <c r="O622" i="2"/>
  <c r="N622" i="2"/>
  <c r="M622" i="2"/>
  <c r="L622" i="2"/>
  <c r="K622" i="2"/>
  <c r="J622" i="2"/>
  <c r="I622" i="2"/>
  <c r="O621" i="2"/>
  <c r="N621" i="2"/>
  <c r="M621" i="2"/>
  <c r="L621" i="2"/>
  <c r="K621" i="2"/>
  <c r="J621" i="2"/>
  <c r="I621" i="2"/>
  <c r="O620" i="2"/>
  <c r="N620" i="2"/>
  <c r="M620" i="2"/>
  <c r="L620" i="2"/>
  <c r="K620" i="2"/>
  <c r="J620" i="2"/>
  <c r="I620" i="2"/>
  <c r="O619" i="2"/>
  <c r="N619" i="2"/>
  <c r="M619" i="2"/>
  <c r="L619" i="2"/>
  <c r="K619" i="2"/>
  <c r="J619" i="2"/>
  <c r="I619" i="2"/>
  <c r="O618" i="2"/>
  <c r="N618" i="2"/>
  <c r="M618" i="2"/>
  <c r="L618" i="2"/>
  <c r="K618" i="2"/>
  <c r="J618" i="2"/>
  <c r="I618" i="2"/>
  <c r="O617" i="2"/>
  <c r="N617" i="2"/>
  <c r="M617" i="2"/>
  <c r="L617" i="2"/>
  <c r="K617" i="2"/>
  <c r="J617" i="2"/>
  <c r="I617" i="2"/>
  <c r="O616" i="2"/>
  <c r="N616" i="2"/>
  <c r="M616" i="2"/>
  <c r="L616" i="2"/>
  <c r="K616" i="2"/>
  <c r="J616" i="2"/>
  <c r="I616" i="2"/>
  <c r="O615" i="2"/>
  <c r="N615" i="2"/>
  <c r="M615" i="2"/>
  <c r="L615" i="2"/>
  <c r="K615" i="2"/>
  <c r="J615" i="2"/>
  <c r="I615" i="2"/>
  <c r="O614" i="2"/>
  <c r="N614" i="2"/>
  <c r="M614" i="2"/>
  <c r="L614" i="2"/>
  <c r="K614" i="2"/>
  <c r="J614" i="2"/>
  <c r="I614" i="2"/>
  <c r="O613" i="2"/>
  <c r="N613" i="2"/>
  <c r="M613" i="2"/>
  <c r="L613" i="2"/>
  <c r="K613" i="2"/>
  <c r="J613" i="2"/>
  <c r="I613" i="2"/>
  <c r="O612" i="2"/>
  <c r="N612" i="2"/>
  <c r="M612" i="2"/>
  <c r="L612" i="2"/>
  <c r="K612" i="2"/>
  <c r="J612" i="2"/>
  <c r="I612" i="2"/>
  <c r="O611" i="2"/>
  <c r="N611" i="2"/>
  <c r="M611" i="2"/>
  <c r="L611" i="2"/>
  <c r="K611" i="2"/>
  <c r="J611" i="2"/>
  <c r="I611" i="2"/>
  <c r="O610" i="2"/>
  <c r="N610" i="2"/>
  <c r="M610" i="2"/>
  <c r="L610" i="2"/>
  <c r="K610" i="2"/>
  <c r="J610" i="2"/>
  <c r="I610" i="2"/>
  <c r="O609" i="2"/>
  <c r="N609" i="2"/>
  <c r="M609" i="2"/>
  <c r="L609" i="2"/>
  <c r="K609" i="2"/>
  <c r="J609" i="2"/>
  <c r="I609" i="2"/>
  <c r="O608" i="2"/>
  <c r="N608" i="2"/>
  <c r="M608" i="2"/>
  <c r="L608" i="2"/>
  <c r="K608" i="2"/>
  <c r="J608" i="2"/>
  <c r="I608" i="2"/>
  <c r="O607" i="2"/>
  <c r="N607" i="2"/>
  <c r="M607" i="2"/>
  <c r="L607" i="2"/>
  <c r="K607" i="2"/>
  <c r="J607" i="2"/>
  <c r="I607" i="2"/>
  <c r="O606" i="2"/>
  <c r="N606" i="2"/>
  <c r="M606" i="2"/>
  <c r="L606" i="2"/>
  <c r="K606" i="2"/>
  <c r="J606" i="2"/>
  <c r="I606" i="2"/>
  <c r="O605" i="2"/>
  <c r="N605" i="2"/>
  <c r="M605" i="2"/>
  <c r="L605" i="2"/>
  <c r="K605" i="2"/>
  <c r="J605" i="2"/>
  <c r="I605" i="2"/>
  <c r="O604" i="2"/>
  <c r="N604" i="2"/>
  <c r="M604" i="2"/>
  <c r="L604" i="2"/>
  <c r="K604" i="2"/>
  <c r="J604" i="2"/>
  <c r="I604" i="2"/>
  <c r="O603" i="2"/>
  <c r="N603" i="2"/>
  <c r="M603" i="2"/>
  <c r="L603" i="2"/>
  <c r="K603" i="2"/>
  <c r="J603" i="2"/>
  <c r="I603" i="2"/>
  <c r="O602" i="2"/>
  <c r="N602" i="2"/>
  <c r="M602" i="2"/>
  <c r="L602" i="2"/>
  <c r="K602" i="2"/>
  <c r="J602" i="2"/>
  <c r="I602" i="2"/>
  <c r="O601" i="2"/>
  <c r="N601" i="2"/>
  <c r="M601" i="2"/>
  <c r="L601" i="2"/>
  <c r="K601" i="2"/>
  <c r="J601" i="2"/>
  <c r="I601" i="2"/>
  <c r="O600" i="2"/>
  <c r="N600" i="2"/>
  <c r="M600" i="2"/>
  <c r="L600" i="2"/>
  <c r="K600" i="2"/>
  <c r="J600" i="2"/>
  <c r="I600" i="2"/>
  <c r="O599" i="2"/>
  <c r="N599" i="2"/>
  <c r="M599" i="2"/>
  <c r="L599" i="2"/>
  <c r="K599" i="2"/>
  <c r="J599" i="2"/>
  <c r="I599" i="2"/>
  <c r="O598" i="2"/>
  <c r="N598" i="2"/>
  <c r="M598" i="2"/>
  <c r="L598" i="2"/>
  <c r="K598" i="2"/>
  <c r="J598" i="2"/>
  <c r="I598" i="2"/>
  <c r="O597" i="2"/>
  <c r="N597" i="2"/>
  <c r="M597" i="2"/>
  <c r="L597" i="2"/>
  <c r="K597" i="2"/>
  <c r="J597" i="2"/>
  <c r="I597" i="2"/>
  <c r="O596" i="2"/>
  <c r="N596" i="2"/>
  <c r="M596" i="2"/>
  <c r="L596" i="2"/>
  <c r="K596" i="2"/>
  <c r="J596" i="2"/>
  <c r="I596" i="2"/>
  <c r="O595" i="2"/>
  <c r="N595" i="2"/>
  <c r="M595" i="2"/>
  <c r="L595" i="2"/>
  <c r="K595" i="2"/>
  <c r="J595" i="2"/>
  <c r="I595" i="2"/>
  <c r="O594" i="2"/>
  <c r="N594" i="2"/>
  <c r="M594" i="2"/>
  <c r="L594" i="2"/>
  <c r="K594" i="2"/>
  <c r="J594" i="2"/>
  <c r="I594" i="2"/>
  <c r="O593" i="2"/>
  <c r="N593" i="2"/>
  <c r="M593" i="2"/>
  <c r="L593" i="2"/>
  <c r="K593" i="2"/>
  <c r="J593" i="2"/>
  <c r="I593" i="2"/>
  <c r="O592" i="2"/>
  <c r="N592" i="2"/>
  <c r="M592" i="2"/>
  <c r="L592" i="2"/>
  <c r="K592" i="2"/>
  <c r="J592" i="2"/>
  <c r="I592" i="2"/>
  <c r="O591" i="2"/>
  <c r="N591" i="2"/>
  <c r="M591" i="2"/>
  <c r="L591" i="2"/>
  <c r="K591" i="2"/>
  <c r="J591" i="2"/>
  <c r="I591" i="2"/>
  <c r="O590" i="2"/>
  <c r="N590" i="2"/>
  <c r="M590" i="2"/>
  <c r="L590" i="2"/>
  <c r="K590" i="2"/>
  <c r="J590" i="2"/>
  <c r="I590" i="2"/>
  <c r="O589" i="2"/>
  <c r="N589" i="2"/>
  <c r="M589" i="2"/>
  <c r="L589" i="2"/>
  <c r="K589" i="2"/>
  <c r="J589" i="2"/>
  <c r="I589" i="2"/>
  <c r="O588" i="2"/>
  <c r="N588" i="2"/>
  <c r="M588" i="2"/>
  <c r="L588" i="2"/>
  <c r="K588" i="2"/>
  <c r="J588" i="2"/>
  <c r="I588" i="2"/>
  <c r="O587" i="2"/>
  <c r="N587" i="2"/>
  <c r="M587" i="2"/>
  <c r="L587" i="2"/>
  <c r="K587" i="2"/>
  <c r="J587" i="2"/>
  <c r="I587" i="2"/>
  <c r="O586" i="2"/>
  <c r="N586" i="2"/>
  <c r="M586" i="2"/>
  <c r="L586" i="2"/>
  <c r="K586" i="2"/>
  <c r="J586" i="2"/>
  <c r="I586" i="2"/>
  <c r="O585" i="2"/>
  <c r="N585" i="2"/>
  <c r="M585" i="2"/>
  <c r="L585" i="2"/>
  <c r="K585" i="2"/>
  <c r="J585" i="2"/>
  <c r="I585" i="2"/>
  <c r="O584" i="2"/>
  <c r="N584" i="2"/>
  <c r="M584" i="2"/>
  <c r="L584" i="2"/>
  <c r="K584" i="2"/>
  <c r="J584" i="2"/>
  <c r="I584" i="2"/>
  <c r="O583" i="2"/>
  <c r="N583" i="2"/>
  <c r="M583" i="2"/>
  <c r="L583" i="2"/>
  <c r="K583" i="2"/>
  <c r="J583" i="2"/>
  <c r="I583" i="2"/>
  <c r="O582" i="2"/>
  <c r="N582" i="2"/>
  <c r="M582" i="2"/>
  <c r="L582" i="2"/>
  <c r="K582" i="2"/>
  <c r="J582" i="2"/>
  <c r="I582" i="2"/>
  <c r="O581" i="2"/>
  <c r="N581" i="2"/>
  <c r="M581" i="2"/>
  <c r="L581" i="2"/>
  <c r="K581" i="2"/>
  <c r="J581" i="2"/>
  <c r="I581" i="2"/>
  <c r="O580" i="2"/>
  <c r="N580" i="2"/>
  <c r="M580" i="2"/>
  <c r="L580" i="2"/>
  <c r="K580" i="2"/>
  <c r="J580" i="2"/>
  <c r="I580" i="2"/>
  <c r="O579" i="2"/>
  <c r="N579" i="2"/>
  <c r="M579" i="2"/>
  <c r="L579" i="2"/>
  <c r="K579" i="2"/>
  <c r="J579" i="2"/>
  <c r="I579" i="2"/>
  <c r="O578" i="2"/>
  <c r="N578" i="2"/>
  <c r="M578" i="2"/>
  <c r="L578" i="2"/>
  <c r="K578" i="2"/>
  <c r="J578" i="2"/>
  <c r="I578" i="2"/>
  <c r="O577" i="2"/>
  <c r="N577" i="2"/>
  <c r="M577" i="2"/>
  <c r="L577" i="2"/>
  <c r="K577" i="2"/>
  <c r="J577" i="2"/>
  <c r="I577" i="2"/>
  <c r="O576" i="2"/>
  <c r="N576" i="2"/>
  <c r="M576" i="2"/>
  <c r="L576" i="2"/>
  <c r="K576" i="2"/>
  <c r="J576" i="2"/>
  <c r="I576" i="2"/>
  <c r="O575" i="2"/>
  <c r="N575" i="2"/>
  <c r="M575" i="2"/>
  <c r="L575" i="2"/>
  <c r="K575" i="2"/>
  <c r="J575" i="2"/>
  <c r="I575" i="2"/>
  <c r="O574" i="2"/>
  <c r="N574" i="2"/>
  <c r="M574" i="2"/>
  <c r="L574" i="2"/>
  <c r="K574" i="2"/>
  <c r="J574" i="2"/>
  <c r="I574" i="2"/>
  <c r="O573" i="2"/>
  <c r="N573" i="2"/>
  <c r="M573" i="2"/>
  <c r="L573" i="2"/>
  <c r="K573" i="2"/>
  <c r="J573" i="2"/>
  <c r="I573" i="2"/>
  <c r="O572" i="2"/>
  <c r="N572" i="2"/>
  <c r="M572" i="2"/>
  <c r="L572" i="2"/>
  <c r="K572" i="2"/>
  <c r="J572" i="2"/>
  <c r="I572" i="2"/>
  <c r="O571" i="2"/>
  <c r="N571" i="2"/>
  <c r="M571" i="2"/>
  <c r="L571" i="2"/>
  <c r="K571" i="2"/>
  <c r="J571" i="2"/>
  <c r="I571" i="2"/>
  <c r="O570" i="2"/>
  <c r="N570" i="2"/>
  <c r="M570" i="2"/>
  <c r="L570" i="2"/>
  <c r="K570" i="2"/>
  <c r="J570" i="2"/>
  <c r="I570" i="2"/>
  <c r="O569" i="2"/>
  <c r="N569" i="2"/>
  <c r="M569" i="2"/>
  <c r="L569" i="2"/>
  <c r="K569" i="2"/>
  <c r="J569" i="2"/>
  <c r="I569" i="2"/>
  <c r="O568" i="2"/>
  <c r="N568" i="2"/>
  <c r="M568" i="2"/>
  <c r="L568" i="2"/>
  <c r="K568" i="2"/>
  <c r="J568" i="2"/>
  <c r="I568" i="2"/>
  <c r="O567" i="2"/>
  <c r="N567" i="2"/>
  <c r="M567" i="2"/>
  <c r="L567" i="2"/>
  <c r="K567" i="2"/>
  <c r="J567" i="2"/>
  <c r="I567" i="2"/>
  <c r="O566" i="2"/>
  <c r="N566" i="2"/>
  <c r="M566" i="2"/>
  <c r="L566" i="2"/>
  <c r="K566" i="2"/>
  <c r="J566" i="2"/>
  <c r="I566" i="2"/>
  <c r="O565" i="2"/>
  <c r="N565" i="2"/>
  <c r="M565" i="2"/>
  <c r="L565" i="2"/>
  <c r="K565" i="2"/>
  <c r="J565" i="2"/>
  <c r="I565" i="2"/>
  <c r="O564" i="2"/>
  <c r="N564" i="2"/>
  <c r="M564" i="2"/>
  <c r="L564" i="2"/>
  <c r="K564" i="2"/>
  <c r="J564" i="2"/>
  <c r="I564" i="2"/>
  <c r="O563" i="2"/>
  <c r="N563" i="2"/>
  <c r="M563" i="2"/>
  <c r="L563" i="2"/>
  <c r="K563" i="2"/>
  <c r="J563" i="2"/>
  <c r="I563" i="2"/>
  <c r="O562" i="2"/>
  <c r="N562" i="2"/>
  <c r="M562" i="2"/>
  <c r="L562" i="2"/>
  <c r="K562" i="2"/>
  <c r="J562" i="2"/>
  <c r="I562" i="2"/>
  <c r="O561" i="2"/>
  <c r="N561" i="2"/>
  <c r="M561" i="2"/>
  <c r="L561" i="2"/>
  <c r="K561" i="2"/>
  <c r="J561" i="2"/>
  <c r="I561" i="2"/>
  <c r="O560" i="2"/>
  <c r="N560" i="2"/>
  <c r="M560" i="2"/>
  <c r="L560" i="2"/>
  <c r="K560" i="2"/>
  <c r="J560" i="2"/>
  <c r="I560" i="2"/>
  <c r="O559" i="2"/>
  <c r="N559" i="2"/>
  <c r="M559" i="2"/>
  <c r="L559" i="2"/>
  <c r="K559" i="2"/>
  <c r="J559" i="2"/>
  <c r="I559" i="2"/>
  <c r="O558" i="2"/>
  <c r="N558" i="2"/>
  <c r="M558" i="2"/>
  <c r="L558" i="2"/>
  <c r="K558" i="2"/>
  <c r="J558" i="2"/>
  <c r="I558" i="2"/>
  <c r="O557" i="2"/>
  <c r="N557" i="2"/>
  <c r="M557" i="2"/>
  <c r="L557" i="2"/>
  <c r="K557" i="2"/>
  <c r="J557" i="2"/>
  <c r="I557" i="2"/>
  <c r="O556" i="2"/>
  <c r="N556" i="2"/>
  <c r="M556" i="2"/>
  <c r="L556" i="2"/>
  <c r="K556" i="2"/>
  <c r="J556" i="2"/>
  <c r="I556" i="2"/>
  <c r="O555" i="2"/>
  <c r="N555" i="2"/>
  <c r="M555" i="2"/>
  <c r="L555" i="2"/>
  <c r="K555" i="2"/>
  <c r="J555" i="2"/>
  <c r="I555" i="2"/>
  <c r="O554" i="2"/>
  <c r="N554" i="2"/>
  <c r="M554" i="2"/>
  <c r="L554" i="2"/>
  <c r="K554" i="2"/>
  <c r="J554" i="2"/>
  <c r="I554" i="2"/>
  <c r="O553" i="2"/>
  <c r="N553" i="2"/>
  <c r="M553" i="2"/>
  <c r="L553" i="2"/>
  <c r="K553" i="2"/>
  <c r="J553" i="2"/>
  <c r="I553" i="2"/>
  <c r="O552" i="2"/>
  <c r="N552" i="2"/>
  <c r="M552" i="2"/>
  <c r="L552" i="2"/>
  <c r="K552" i="2"/>
  <c r="J552" i="2"/>
  <c r="I552" i="2"/>
  <c r="O551" i="2"/>
  <c r="N551" i="2"/>
  <c r="M551" i="2"/>
  <c r="L551" i="2"/>
  <c r="K551" i="2"/>
  <c r="J551" i="2"/>
  <c r="I551" i="2"/>
  <c r="O550" i="2"/>
  <c r="N550" i="2"/>
  <c r="M550" i="2"/>
  <c r="L550" i="2"/>
  <c r="K550" i="2"/>
  <c r="J550" i="2"/>
  <c r="I550" i="2"/>
  <c r="O549" i="2"/>
  <c r="N549" i="2"/>
  <c r="M549" i="2"/>
  <c r="L549" i="2"/>
  <c r="K549" i="2"/>
  <c r="J549" i="2"/>
  <c r="I549" i="2"/>
  <c r="O548" i="2"/>
  <c r="N548" i="2"/>
  <c r="M548" i="2"/>
  <c r="L548" i="2"/>
  <c r="K548" i="2"/>
  <c r="J548" i="2"/>
  <c r="I548" i="2"/>
  <c r="O547" i="2"/>
  <c r="N547" i="2"/>
  <c r="M547" i="2"/>
  <c r="L547" i="2"/>
  <c r="K547" i="2"/>
  <c r="J547" i="2"/>
  <c r="I547" i="2"/>
  <c r="O546" i="2"/>
  <c r="N546" i="2"/>
  <c r="M546" i="2"/>
  <c r="L546" i="2"/>
  <c r="K546" i="2"/>
  <c r="J546" i="2"/>
  <c r="I546" i="2"/>
  <c r="O545" i="2"/>
  <c r="N545" i="2"/>
  <c r="M545" i="2"/>
  <c r="L545" i="2"/>
  <c r="K545" i="2"/>
  <c r="J545" i="2"/>
  <c r="I545" i="2"/>
  <c r="O544" i="2"/>
  <c r="N544" i="2"/>
  <c r="M544" i="2"/>
  <c r="L544" i="2"/>
  <c r="K544" i="2"/>
  <c r="J544" i="2"/>
  <c r="I544" i="2"/>
  <c r="O543" i="2"/>
  <c r="N543" i="2"/>
  <c r="M543" i="2"/>
  <c r="L543" i="2"/>
  <c r="K543" i="2"/>
  <c r="J543" i="2"/>
  <c r="I543" i="2"/>
  <c r="O542" i="2"/>
  <c r="N542" i="2"/>
  <c r="M542" i="2"/>
  <c r="L542" i="2"/>
  <c r="K542" i="2"/>
  <c r="J542" i="2"/>
  <c r="I542" i="2"/>
  <c r="O541" i="2"/>
  <c r="N541" i="2"/>
  <c r="M541" i="2"/>
  <c r="L541" i="2"/>
  <c r="K541" i="2"/>
  <c r="J541" i="2"/>
  <c r="I541" i="2"/>
  <c r="O540" i="2"/>
  <c r="N540" i="2"/>
  <c r="M540" i="2"/>
  <c r="L540" i="2"/>
  <c r="K540" i="2"/>
  <c r="J540" i="2"/>
  <c r="I540" i="2"/>
  <c r="O539" i="2"/>
  <c r="N539" i="2"/>
  <c r="M539" i="2"/>
  <c r="L539" i="2"/>
  <c r="K539" i="2"/>
  <c r="J539" i="2"/>
  <c r="I539" i="2"/>
  <c r="O538" i="2"/>
  <c r="N538" i="2"/>
  <c r="M538" i="2"/>
  <c r="L538" i="2"/>
  <c r="K538" i="2"/>
  <c r="J538" i="2"/>
  <c r="I538" i="2"/>
  <c r="O537" i="2"/>
  <c r="N537" i="2"/>
  <c r="M537" i="2"/>
  <c r="L537" i="2"/>
  <c r="K537" i="2"/>
  <c r="J537" i="2"/>
  <c r="I537" i="2"/>
  <c r="O536" i="2"/>
  <c r="N536" i="2"/>
  <c r="M536" i="2"/>
  <c r="L536" i="2"/>
  <c r="K536" i="2"/>
  <c r="J536" i="2"/>
  <c r="I536" i="2"/>
  <c r="O535" i="2"/>
  <c r="N535" i="2"/>
  <c r="M535" i="2"/>
  <c r="L535" i="2"/>
  <c r="K535" i="2"/>
  <c r="J535" i="2"/>
  <c r="I535" i="2"/>
  <c r="O534" i="2"/>
  <c r="N534" i="2"/>
  <c r="M534" i="2"/>
  <c r="L534" i="2"/>
  <c r="K534" i="2"/>
  <c r="J534" i="2"/>
  <c r="I534" i="2"/>
  <c r="O533" i="2"/>
  <c r="N533" i="2"/>
  <c r="M533" i="2"/>
  <c r="L533" i="2"/>
  <c r="K533" i="2"/>
  <c r="J533" i="2"/>
  <c r="I533" i="2"/>
  <c r="O532" i="2"/>
  <c r="N532" i="2"/>
  <c r="M532" i="2"/>
  <c r="L532" i="2"/>
  <c r="K532" i="2"/>
  <c r="J532" i="2"/>
  <c r="I532" i="2"/>
  <c r="O531" i="2"/>
  <c r="N531" i="2"/>
  <c r="M531" i="2"/>
  <c r="L531" i="2"/>
  <c r="K531" i="2"/>
  <c r="J531" i="2"/>
  <c r="I531" i="2"/>
  <c r="O530" i="2"/>
  <c r="N530" i="2"/>
  <c r="M530" i="2"/>
  <c r="L530" i="2"/>
  <c r="K530" i="2"/>
  <c r="J530" i="2"/>
  <c r="I530" i="2"/>
  <c r="O529" i="2"/>
  <c r="N529" i="2"/>
  <c r="M529" i="2"/>
  <c r="L529" i="2"/>
  <c r="K529" i="2"/>
  <c r="J529" i="2"/>
  <c r="I529" i="2"/>
  <c r="O528" i="2"/>
  <c r="N528" i="2"/>
  <c r="M528" i="2"/>
  <c r="L528" i="2"/>
  <c r="K528" i="2"/>
  <c r="J528" i="2"/>
  <c r="I528" i="2"/>
  <c r="O527" i="2"/>
  <c r="N527" i="2"/>
  <c r="M527" i="2"/>
  <c r="L527" i="2"/>
  <c r="K527" i="2"/>
  <c r="J527" i="2"/>
  <c r="I527" i="2"/>
  <c r="O526" i="2"/>
  <c r="N526" i="2"/>
  <c r="M526" i="2"/>
  <c r="L526" i="2"/>
  <c r="K526" i="2"/>
  <c r="J526" i="2"/>
  <c r="I526" i="2"/>
  <c r="O525" i="2"/>
  <c r="N525" i="2"/>
  <c r="M525" i="2"/>
  <c r="L525" i="2"/>
  <c r="K525" i="2"/>
  <c r="J525" i="2"/>
  <c r="I525" i="2"/>
  <c r="O524" i="2"/>
  <c r="N524" i="2"/>
  <c r="M524" i="2"/>
  <c r="L524" i="2"/>
  <c r="K524" i="2"/>
  <c r="J524" i="2"/>
  <c r="I524" i="2"/>
  <c r="O523" i="2"/>
  <c r="N523" i="2"/>
  <c r="M523" i="2"/>
  <c r="L523" i="2"/>
  <c r="K523" i="2"/>
  <c r="J523" i="2"/>
  <c r="I523" i="2"/>
  <c r="O522" i="2"/>
  <c r="N522" i="2"/>
  <c r="M522" i="2"/>
  <c r="L522" i="2"/>
  <c r="K522" i="2"/>
  <c r="J522" i="2"/>
  <c r="I522" i="2"/>
  <c r="O521" i="2"/>
  <c r="N521" i="2"/>
  <c r="M521" i="2"/>
  <c r="L521" i="2"/>
  <c r="K521" i="2"/>
  <c r="J521" i="2"/>
  <c r="I521" i="2"/>
  <c r="O520" i="2"/>
  <c r="N520" i="2"/>
  <c r="M520" i="2"/>
  <c r="L520" i="2"/>
  <c r="K520" i="2"/>
  <c r="J520" i="2"/>
  <c r="I520" i="2"/>
  <c r="O519" i="2"/>
  <c r="N519" i="2"/>
  <c r="M519" i="2"/>
  <c r="L519" i="2"/>
  <c r="K519" i="2"/>
  <c r="J519" i="2"/>
  <c r="I519" i="2"/>
  <c r="O518" i="2"/>
  <c r="N518" i="2"/>
  <c r="M518" i="2"/>
  <c r="L518" i="2"/>
  <c r="K518" i="2"/>
  <c r="J518" i="2"/>
  <c r="I518" i="2"/>
  <c r="O517" i="2"/>
  <c r="N517" i="2"/>
  <c r="M517" i="2"/>
  <c r="L517" i="2"/>
  <c r="K517" i="2"/>
  <c r="J517" i="2"/>
  <c r="I517" i="2"/>
  <c r="O516" i="2"/>
  <c r="N516" i="2"/>
  <c r="M516" i="2"/>
  <c r="L516" i="2"/>
  <c r="K516" i="2"/>
  <c r="J516" i="2"/>
  <c r="I516" i="2"/>
  <c r="O515" i="2"/>
  <c r="N515" i="2"/>
  <c r="M515" i="2"/>
  <c r="L515" i="2"/>
  <c r="K515" i="2"/>
  <c r="J515" i="2"/>
  <c r="I515" i="2"/>
  <c r="O514" i="2"/>
  <c r="N514" i="2"/>
  <c r="M514" i="2"/>
  <c r="L514" i="2"/>
  <c r="K514" i="2"/>
  <c r="J514" i="2"/>
  <c r="I514" i="2"/>
  <c r="O513" i="2"/>
  <c r="N513" i="2"/>
  <c r="M513" i="2"/>
  <c r="L513" i="2"/>
  <c r="K513" i="2"/>
  <c r="J513" i="2"/>
  <c r="I513" i="2"/>
  <c r="O512" i="2"/>
  <c r="N512" i="2"/>
  <c r="M512" i="2"/>
  <c r="L512" i="2"/>
  <c r="K512" i="2"/>
  <c r="J512" i="2"/>
  <c r="I512" i="2"/>
  <c r="O511" i="2"/>
  <c r="N511" i="2"/>
  <c r="M511" i="2"/>
  <c r="L511" i="2"/>
  <c r="K511" i="2"/>
  <c r="J511" i="2"/>
  <c r="I511" i="2"/>
  <c r="O510" i="2"/>
  <c r="N510" i="2"/>
  <c r="M510" i="2"/>
  <c r="L510" i="2"/>
  <c r="K510" i="2"/>
  <c r="J510" i="2"/>
  <c r="I510" i="2"/>
  <c r="O509" i="2"/>
  <c r="N509" i="2"/>
  <c r="M509" i="2"/>
  <c r="L509" i="2"/>
  <c r="K509" i="2"/>
  <c r="J509" i="2"/>
  <c r="I509" i="2"/>
  <c r="O508" i="2"/>
  <c r="N508" i="2"/>
  <c r="M508" i="2"/>
  <c r="L508" i="2"/>
  <c r="K508" i="2"/>
  <c r="J508" i="2"/>
  <c r="I508" i="2"/>
  <c r="O507" i="2"/>
  <c r="N507" i="2"/>
  <c r="M507" i="2"/>
  <c r="L507" i="2"/>
  <c r="K507" i="2"/>
  <c r="J507" i="2"/>
  <c r="I507" i="2"/>
  <c r="O506" i="2"/>
  <c r="N506" i="2"/>
  <c r="M506" i="2"/>
  <c r="L506" i="2"/>
  <c r="K506" i="2"/>
  <c r="J506" i="2"/>
  <c r="I506" i="2"/>
  <c r="O505" i="2"/>
  <c r="N505" i="2"/>
  <c r="M505" i="2"/>
  <c r="L505" i="2"/>
  <c r="K505" i="2"/>
  <c r="J505" i="2"/>
  <c r="I505" i="2"/>
  <c r="O504" i="2"/>
  <c r="N504" i="2"/>
  <c r="M504" i="2"/>
  <c r="L504" i="2"/>
  <c r="K504" i="2"/>
  <c r="J504" i="2"/>
  <c r="I504" i="2"/>
  <c r="O503" i="2"/>
  <c r="N503" i="2"/>
  <c r="M503" i="2"/>
  <c r="L503" i="2"/>
  <c r="K503" i="2"/>
  <c r="J503" i="2"/>
  <c r="I503" i="2"/>
  <c r="O502" i="2"/>
  <c r="N502" i="2"/>
  <c r="M502" i="2"/>
  <c r="L502" i="2"/>
  <c r="K502" i="2"/>
  <c r="J502" i="2"/>
  <c r="I502" i="2"/>
  <c r="O501" i="2"/>
  <c r="N501" i="2"/>
  <c r="M501" i="2"/>
  <c r="L501" i="2"/>
  <c r="K501" i="2"/>
  <c r="J501" i="2"/>
  <c r="I501" i="2"/>
  <c r="O500" i="2"/>
  <c r="N500" i="2"/>
  <c r="M500" i="2"/>
  <c r="L500" i="2"/>
  <c r="K500" i="2"/>
  <c r="J500" i="2"/>
  <c r="I500" i="2"/>
  <c r="O499" i="2"/>
  <c r="N499" i="2"/>
  <c r="M499" i="2"/>
  <c r="L499" i="2"/>
  <c r="K499" i="2"/>
  <c r="J499" i="2"/>
  <c r="I499" i="2"/>
  <c r="O498" i="2"/>
  <c r="N498" i="2"/>
  <c r="M498" i="2"/>
  <c r="L498" i="2"/>
  <c r="K498" i="2"/>
  <c r="J498" i="2"/>
  <c r="I498" i="2"/>
  <c r="O497" i="2"/>
  <c r="N497" i="2"/>
  <c r="M497" i="2"/>
  <c r="L497" i="2"/>
  <c r="K497" i="2"/>
  <c r="J497" i="2"/>
  <c r="I497" i="2"/>
  <c r="O496" i="2"/>
  <c r="N496" i="2"/>
  <c r="M496" i="2"/>
  <c r="L496" i="2"/>
  <c r="K496" i="2"/>
  <c r="J496" i="2"/>
  <c r="I496" i="2"/>
  <c r="O495" i="2"/>
  <c r="N495" i="2"/>
  <c r="M495" i="2"/>
  <c r="L495" i="2"/>
  <c r="K495" i="2"/>
  <c r="J495" i="2"/>
  <c r="I495" i="2"/>
  <c r="O494" i="2"/>
  <c r="N494" i="2"/>
  <c r="M494" i="2"/>
  <c r="L494" i="2"/>
  <c r="K494" i="2"/>
  <c r="J494" i="2"/>
  <c r="I494" i="2"/>
  <c r="O493" i="2"/>
  <c r="N493" i="2"/>
  <c r="M493" i="2"/>
  <c r="L493" i="2"/>
  <c r="K493" i="2"/>
  <c r="J493" i="2"/>
  <c r="I493" i="2"/>
  <c r="O492" i="2"/>
  <c r="N492" i="2"/>
  <c r="M492" i="2"/>
  <c r="L492" i="2"/>
  <c r="K492" i="2"/>
  <c r="J492" i="2"/>
  <c r="I492" i="2"/>
  <c r="O491" i="2"/>
  <c r="N491" i="2"/>
  <c r="M491" i="2"/>
  <c r="L491" i="2"/>
  <c r="K491" i="2"/>
  <c r="J491" i="2"/>
  <c r="I491" i="2"/>
  <c r="O490" i="2"/>
  <c r="N490" i="2"/>
  <c r="M490" i="2"/>
  <c r="L490" i="2"/>
  <c r="K490" i="2"/>
  <c r="J490" i="2"/>
  <c r="I490" i="2"/>
  <c r="O489" i="2"/>
  <c r="N489" i="2"/>
  <c r="M489" i="2"/>
  <c r="L489" i="2"/>
  <c r="K489" i="2"/>
  <c r="J489" i="2"/>
  <c r="I489" i="2"/>
  <c r="O488" i="2"/>
  <c r="N488" i="2"/>
  <c r="M488" i="2"/>
  <c r="L488" i="2"/>
  <c r="K488" i="2"/>
  <c r="J488" i="2"/>
  <c r="I488" i="2"/>
  <c r="O487" i="2"/>
  <c r="N487" i="2"/>
  <c r="M487" i="2"/>
  <c r="L487" i="2"/>
  <c r="K487" i="2"/>
  <c r="J487" i="2"/>
  <c r="I487" i="2"/>
  <c r="O486" i="2"/>
  <c r="N486" i="2"/>
  <c r="M486" i="2"/>
  <c r="L486" i="2"/>
  <c r="K486" i="2"/>
  <c r="J486" i="2"/>
  <c r="I486" i="2"/>
  <c r="O485" i="2"/>
  <c r="N485" i="2"/>
  <c r="M485" i="2"/>
  <c r="L485" i="2"/>
  <c r="K485" i="2"/>
  <c r="J485" i="2"/>
  <c r="I485" i="2"/>
  <c r="O484" i="2"/>
  <c r="N484" i="2"/>
  <c r="M484" i="2"/>
  <c r="L484" i="2"/>
  <c r="K484" i="2"/>
  <c r="J484" i="2"/>
  <c r="I484" i="2"/>
  <c r="O483" i="2"/>
  <c r="N483" i="2"/>
  <c r="M483" i="2"/>
  <c r="L483" i="2"/>
  <c r="K483" i="2"/>
  <c r="J483" i="2"/>
  <c r="I483" i="2"/>
  <c r="O482" i="2"/>
  <c r="N482" i="2"/>
  <c r="M482" i="2"/>
  <c r="L482" i="2"/>
  <c r="K482" i="2"/>
  <c r="J482" i="2"/>
  <c r="I482" i="2"/>
  <c r="O481" i="2"/>
  <c r="N481" i="2"/>
  <c r="M481" i="2"/>
  <c r="L481" i="2"/>
  <c r="K481" i="2"/>
  <c r="J481" i="2"/>
  <c r="I481" i="2"/>
  <c r="O480" i="2"/>
  <c r="N480" i="2"/>
  <c r="M480" i="2"/>
  <c r="L480" i="2"/>
  <c r="K480" i="2"/>
  <c r="J480" i="2"/>
  <c r="I480" i="2"/>
  <c r="O479" i="2"/>
  <c r="N479" i="2"/>
  <c r="M479" i="2"/>
  <c r="L479" i="2"/>
  <c r="K479" i="2"/>
  <c r="J479" i="2"/>
  <c r="I479" i="2"/>
  <c r="O478" i="2"/>
  <c r="N478" i="2"/>
  <c r="M478" i="2"/>
  <c r="L478" i="2"/>
  <c r="K478" i="2"/>
  <c r="J478" i="2"/>
  <c r="I478" i="2"/>
  <c r="O477" i="2"/>
  <c r="N477" i="2"/>
  <c r="M477" i="2"/>
  <c r="L477" i="2"/>
  <c r="K477" i="2"/>
  <c r="J477" i="2"/>
  <c r="I477" i="2"/>
  <c r="O476" i="2"/>
  <c r="N476" i="2"/>
  <c r="M476" i="2"/>
  <c r="L476" i="2"/>
  <c r="K476" i="2"/>
  <c r="J476" i="2"/>
  <c r="I476" i="2"/>
  <c r="O475" i="2"/>
  <c r="N475" i="2"/>
  <c r="M475" i="2"/>
  <c r="L475" i="2"/>
  <c r="K475" i="2"/>
  <c r="J475" i="2"/>
  <c r="I475" i="2"/>
  <c r="O474" i="2"/>
  <c r="N474" i="2"/>
  <c r="M474" i="2"/>
  <c r="L474" i="2"/>
  <c r="K474" i="2"/>
  <c r="J474" i="2"/>
  <c r="I474" i="2"/>
  <c r="O473" i="2"/>
  <c r="N473" i="2"/>
  <c r="M473" i="2"/>
  <c r="L473" i="2"/>
  <c r="K473" i="2"/>
  <c r="J473" i="2"/>
  <c r="I473" i="2"/>
  <c r="O472" i="2"/>
  <c r="N472" i="2"/>
  <c r="M472" i="2"/>
  <c r="L472" i="2"/>
  <c r="K472" i="2"/>
  <c r="J472" i="2"/>
  <c r="I472" i="2"/>
  <c r="O471" i="2"/>
  <c r="N471" i="2"/>
  <c r="M471" i="2"/>
  <c r="L471" i="2"/>
  <c r="K471" i="2"/>
  <c r="J471" i="2"/>
  <c r="I471" i="2"/>
  <c r="O470" i="2"/>
  <c r="N470" i="2"/>
  <c r="M470" i="2"/>
  <c r="L470" i="2"/>
  <c r="K470" i="2"/>
  <c r="J470" i="2"/>
  <c r="I470" i="2"/>
  <c r="O469" i="2"/>
  <c r="N469" i="2"/>
  <c r="M469" i="2"/>
  <c r="L469" i="2"/>
  <c r="K469" i="2"/>
  <c r="J469" i="2"/>
  <c r="I469" i="2"/>
  <c r="O468" i="2"/>
  <c r="N468" i="2"/>
  <c r="M468" i="2"/>
  <c r="L468" i="2"/>
  <c r="K468" i="2"/>
  <c r="J468" i="2"/>
  <c r="I468" i="2"/>
  <c r="O467" i="2"/>
  <c r="N467" i="2"/>
  <c r="M467" i="2"/>
  <c r="L467" i="2"/>
  <c r="K467" i="2"/>
  <c r="J467" i="2"/>
  <c r="I467" i="2"/>
  <c r="O466" i="2"/>
  <c r="N466" i="2"/>
  <c r="M466" i="2"/>
  <c r="L466" i="2"/>
  <c r="K466" i="2"/>
  <c r="J466" i="2"/>
  <c r="I466" i="2"/>
  <c r="O465" i="2"/>
  <c r="N465" i="2"/>
  <c r="M465" i="2"/>
  <c r="L465" i="2"/>
  <c r="K465" i="2"/>
  <c r="J465" i="2"/>
  <c r="I465" i="2"/>
  <c r="O464" i="2"/>
  <c r="N464" i="2"/>
  <c r="M464" i="2"/>
  <c r="L464" i="2"/>
  <c r="K464" i="2"/>
  <c r="J464" i="2"/>
  <c r="I464" i="2"/>
  <c r="O463" i="2"/>
  <c r="N463" i="2"/>
  <c r="M463" i="2"/>
  <c r="L463" i="2"/>
  <c r="K463" i="2"/>
  <c r="J463" i="2"/>
  <c r="I463" i="2"/>
  <c r="O462" i="2"/>
  <c r="N462" i="2"/>
  <c r="M462" i="2"/>
  <c r="L462" i="2"/>
  <c r="K462" i="2"/>
  <c r="J462" i="2"/>
  <c r="I462" i="2"/>
  <c r="O461" i="2"/>
  <c r="N461" i="2"/>
  <c r="M461" i="2"/>
  <c r="L461" i="2"/>
  <c r="K461" i="2"/>
  <c r="J461" i="2"/>
  <c r="I461" i="2"/>
  <c r="O460" i="2"/>
  <c r="N460" i="2"/>
  <c r="M460" i="2"/>
  <c r="L460" i="2"/>
  <c r="K460" i="2"/>
  <c r="J460" i="2"/>
  <c r="I460" i="2"/>
  <c r="O459" i="2"/>
  <c r="N459" i="2"/>
  <c r="M459" i="2"/>
  <c r="L459" i="2"/>
  <c r="K459" i="2"/>
  <c r="J459" i="2"/>
  <c r="I459" i="2"/>
  <c r="O458" i="2"/>
  <c r="N458" i="2"/>
  <c r="M458" i="2"/>
  <c r="L458" i="2"/>
  <c r="K458" i="2"/>
  <c r="J458" i="2"/>
  <c r="I458" i="2"/>
  <c r="O457" i="2"/>
  <c r="N457" i="2"/>
  <c r="M457" i="2"/>
  <c r="L457" i="2"/>
  <c r="K457" i="2"/>
  <c r="J457" i="2"/>
  <c r="I457" i="2"/>
  <c r="O456" i="2"/>
  <c r="N456" i="2"/>
  <c r="M456" i="2"/>
  <c r="L456" i="2"/>
  <c r="K456" i="2"/>
  <c r="J456" i="2"/>
  <c r="I456" i="2"/>
  <c r="O455" i="2"/>
  <c r="N455" i="2"/>
  <c r="M455" i="2"/>
  <c r="L455" i="2"/>
  <c r="K455" i="2"/>
  <c r="J455" i="2"/>
  <c r="I455" i="2"/>
  <c r="O454" i="2"/>
  <c r="N454" i="2"/>
  <c r="M454" i="2"/>
  <c r="L454" i="2"/>
  <c r="K454" i="2"/>
  <c r="J454" i="2"/>
  <c r="I454" i="2"/>
  <c r="O453" i="2"/>
  <c r="N453" i="2"/>
  <c r="M453" i="2"/>
  <c r="L453" i="2"/>
  <c r="K453" i="2"/>
  <c r="J453" i="2"/>
  <c r="I453" i="2"/>
  <c r="O452" i="2"/>
  <c r="N452" i="2"/>
  <c r="M452" i="2"/>
  <c r="L452" i="2"/>
  <c r="K452" i="2"/>
  <c r="J452" i="2"/>
  <c r="I452" i="2"/>
  <c r="O451" i="2"/>
  <c r="N451" i="2"/>
  <c r="M451" i="2"/>
  <c r="L451" i="2"/>
  <c r="K451" i="2"/>
  <c r="J451" i="2"/>
  <c r="I451" i="2"/>
  <c r="O450" i="2"/>
  <c r="N450" i="2"/>
  <c r="M450" i="2"/>
  <c r="L450" i="2"/>
  <c r="K450" i="2"/>
  <c r="J450" i="2"/>
  <c r="I450" i="2"/>
  <c r="O449" i="2"/>
  <c r="N449" i="2"/>
  <c r="M449" i="2"/>
  <c r="L449" i="2"/>
  <c r="K449" i="2"/>
  <c r="J449" i="2"/>
  <c r="I449" i="2"/>
  <c r="O448" i="2"/>
  <c r="N448" i="2"/>
  <c r="M448" i="2"/>
  <c r="L448" i="2"/>
  <c r="K448" i="2"/>
  <c r="J448" i="2"/>
  <c r="I448" i="2"/>
  <c r="O447" i="2"/>
  <c r="N447" i="2"/>
  <c r="M447" i="2"/>
  <c r="L447" i="2"/>
  <c r="K447" i="2"/>
  <c r="J447" i="2"/>
  <c r="I447" i="2"/>
  <c r="O446" i="2"/>
  <c r="N446" i="2"/>
  <c r="M446" i="2"/>
  <c r="L446" i="2"/>
  <c r="K446" i="2"/>
  <c r="J446" i="2"/>
  <c r="I446" i="2"/>
  <c r="O445" i="2"/>
  <c r="N445" i="2"/>
  <c r="M445" i="2"/>
  <c r="L445" i="2"/>
  <c r="K445" i="2"/>
  <c r="J445" i="2"/>
  <c r="I445" i="2"/>
  <c r="O444" i="2"/>
  <c r="N444" i="2"/>
  <c r="M444" i="2"/>
  <c r="L444" i="2"/>
  <c r="K444" i="2"/>
  <c r="J444" i="2"/>
  <c r="I444" i="2"/>
  <c r="O443" i="2"/>
  <c r="N443" i="2"/>
  <c r="M443" i="2"/>
  <c r="L443" i="2"/>
  <c r="K443" i="2"/>
  <c r="J443" i="2"/>
  <c r="I443" i="2"/>
  <c r="O442" i="2"/>
  <c r="N442" i="2"/>
  <c r="M442" i="2"/>
  <c r="L442" i="2"/>
  <c r="K442" i="2"/>
  <c r="J442" i="2"/>
  <c r="I442" i="2"/>
  <c r="O441" i="2"/>
  <c r="N441" i="2"/>
  <c r="M441" i="2"/>
  <c r="L441" i="2"/>
  <c r="K441" i="2"/>
  <c r="J441" i="2"/>
  <c r="I441" i="2"/>
  <c r="O440" i="2"/>
  <c r="N440" i="2"/>
  <c r="M440" i="2"/>
  <c r="L440" i="2"/>
  <c r="K440" i="2"/>
  <c r="J440" i="2"/>
  <c r="I440" i="2"/>
  <c r="O439" i="2"/>
  <c r="N439" i="2"/>
  <c r="M439" i="2"/>
  <c r="L439" i="2"/>
  <c r="K439" i="2"/>
  <c r="J439" i="2"/>
  <c r="I439" i="2"/>
  <c r="O438" i="2"/>
  <c r="N438" i="2"/>
  <c r="M438" i="2"/>
  <c r="L438" i="2"/>
  <c r="K438" i="2"/>
  <c r="J438" i="2"/>
  <c r="I438" i="2"/>
  <c r="O437" i="2"/>
  <c r="N437" i="2"/>
  <c r="M437" i="2"/>
  <c r="L437" i="2"/>
  <c r="K437" i="2"/>
  <c r="J437" i="2"/>
  <c r="I437" i="2"/>
  <c r="O436" i="2"/>
  <c r="N436" i="2"/>
  <c r="M436" i="2"/>
  <c r="L436" i="2"/>
  <c r="K436" i="2"/>
  <c r="J436" i="2"/>
  <c r="I436" i="2"/>
  <c r="O435" i="2"/>
  <c r="N435" i="2"/>
  <c r="M435" i="2"/>
  <c r="L435" i="2"/>
  <c r="K435" i="2"/>
  <c r="J435" i="2"/>
  <c r="I435" i="2"/>
  <c r="O434" i="2"/>
  <c r="N434" i="2"/>
  <c r="M434" i="2"/>
  <c r="L434" i="2"/>
  <c r="K434" i="2"/>
  <c r="J434" i="2"/>
  <c r="I434" i="2"/>
  <c r="O433" i="2"/>
  <c r="N433" i="2"/>
  <c r="M433" i="2"/>
  <c r="L433" i="2"/>
  <c r="K433" i="2"/>
  <c r="J433" i="2"/>
  <c r="I433" i="2"/>
  <c r="O432" i="2"/>
  <c r="N432" i="2"/>
  <c r="M432" i="2"/>
  <c r="L432" i="2"/>
  <c r="K432" i="2"/>
  <c r="J432" i="2"/>
  <c r="I432" i="2"/>
  <c r="O431" i="2"/>
  <c r="N431" i="2"/>
  <c r="M431" i="2"/>
  <c r="L431" i="2"/>
  <c r="K431" i="2"/>
  <c r="J431" i="2"/>
  <c r="I431" i="2"/>
  <c r="O430" i="2"/>
  <c r="N430" i="2"/>
  <c r="M430" i="2"/>
  <c r="L430" i="2"/>
  <c r="K430" i="2"/>
  <c r="J430" i="2"/>
  <c r="I430" i="2"/>
  <c r="O429" i="2"/>
  <c r="N429" i="2"/>
  <c r="M429" i="2"/>
  <c r="L429" i="2"/>
  <c r="K429" i="2"/>
  <c r="J429" i="2"/>
  <c r="I429" i="2"/>
  <c r="O428" i="2"/>
  <c r="N428" i="2"/>
  <c r="M428" i="2"/>
  <c r="L428" i="2"/>
  <c r="K428" i="2"/>
  <c r="J428" i="2"/>
  <c r="I428" i="2"/>
  <c r="O427" i="2"/>
  <c r="N427" i="2"/>
  <c r="M427" i="2"/>
  <c r="L427" i="2"/>
  <c r="K427" i="2"/>
  <c r="J427" i="2"/>
  <c r="I427" i="2"/>
  <c r="O426" i="2"/>
  <c r="N426" i="2"/>
  <c r="M426" i="2"/>
  <c r="L426" i="2"/>
  <c r="K426" i="2"/>
  <c r="J426" i="2"/>
  <c r="I426" i="2"/>
  <c r="O425" i="2"/>
  <c r="N425" i="2"/>
  <c r="M425" i="2"/>
  <c r="L425" i="2"/>
  <c r="K425" i="2"/>
  <c r="J425" i="2"/>
  <c r="I425" i="2"/>
  <c r="O424" i="2"/>
  <c r="N424" i="2"/>
  <c r="M424" i="2"/>
  <c r="L424" i="2"/>
  <c r="K424" i="2"/>
  <c r="J424" i="2"/>
  <c r="I424" i="2"/>
  <c r="O423" i="2"/>
  <c r="N423" i="2"/>
  <c r="M423" i="2"/>
  <c r="L423" i="2"/>
  <c r="K423" i="2"/>
  <c r="J423" i="2"/>
  <c r="I423" i="2"/>
  <c r="O422" i="2"/>
  <c r="N422" i="2"/>
  <c r="M422" i="2"/>
  <c r="L422" i="2"/>
  <c r="K422" i="2"/>
  <c r="J422" i="2"/>
  <c r="I422" i="2"/>
  <c r="O421" i="2"/>
  <c r="N421" i="2"/>
  <c r="M421" i="2"/>
  <c r="L421" i="2"/>
  <c r="K421" i="2"/>
  <c r="J421" i="2"/>
  <c r="I421" i="2"/>
  <c r="O420" i="2"/>
  <c r="N420" i="2"/>
  <c r="M420" i="2"/>
  <c r="L420" i="2"/>
  <c r="K420" i="2"/>
  <c r="J420" i="2"/>
  <c r="I420" i="2"/>
  <c r="O419" i="2"/>
  <c r="N419" i="2"/>
  <c r="M419" i="2"/>
  <c r="L419" i="2"/>
  <c r="K419" i="2"/>
  <c r="J419" i="2"/>
  <c r="I419" i="2"/>
  <c r="O418" i="2"/>
  <c r="N418" i="2"/>
  <c r="M418" i="2"/>
  <c r="L418" i="2"/>
  <c r="K418" i="2"/>
  <c r="J418" i="2"/>
  <c r="I418" i="2"/>
  <c r="O417" i="2"/>
  <c r="N417" i="2"/>
  <c r="M417" i="2"/>
  <c r="L417" i="2"/>
  <c r="K417" i="2"/>
  <c r="J417" i="2"/>
  <c r="I417" i="2"/>
  <c r="O416" i="2"/>
  <c r="N416" i="2"/>
  <c r="M416" i="2"/>
  <c r="L416" i="2"/>
  <c r="K416" i="2"/>
  <c r="J416" i="2"/>
  <c r="I416" i="2"/>
  <c r="O415" i="2"/>
  <c r="N415" i="2"/>
  <c r="M415" i="2"/>
  <c r="L415" i="2"/>
  <c r="K415" i="2"/>
  <c r="J415" i="2"/>
  <c r="I415" i="2"/>
  <c r="O414" i="2"/>
  <c r="N414" i="2"/>
  <c r="M414" i="2"/>
  <c r="L414" i="2"/>
  <c r="K414" i="2"/>
  <c r="J414" i="2"/>
  <c r="I414" i="2"/>
  <c r="O413" i="2"/>
  <c r="N413" i="2"/>
  <c r="M413" i="2"/>
  <c r="L413" i="2"/>
  <c r="K413" i="2"/>
  <c r="J413" i="2"/>
  <c r="I413" i="2"/>
  <c r="O412" i="2"/>
  <c r="N412" i="2"/>
  <c r="M412" i="2"/>
  <c r="L412" i="2"/>
  <c r="K412" i="2"/>
  <c r="J412" i="2"/>
  <c r="I412" i="2"/>
  <c r="O411" i="2"/>
  <c r="N411" i="2"/>
  <c r="M411" i="2"/>
  <c r="L411" i="2"/>
  <c r="K411" i="2"/>
  <c r="J411" i="2"/>
  <c r="I411" i="2"/>
  <c r="O410" i="2"/>
  <c r="N410" i="2"/>
  <c r="M410" i="2"/>
  <c r="L410" i="2"/>
  <c r="K410" i="2"/>
  <c r="J410" i="2"/>
  <c r="I410" i="2"/>
  <c r="O409" i="2"/>
  <c r="N409" i="2"/>
  <c r="M409" i="2"/>
  <c r="L409" i="2"/>
  <c r="K409" i="2"/>
  <c r="J409" i="2"/>
  <c r="I409" i="2"/>
  <c r="O408" i="2"/>
  <c r="N408" i="2"/>
  <c r="M408" i="2"/>
  <c r="L408" i="2"/>
  <c r="K408" i="2"/>
  <c r="J408" i="2"/>
  <c r="I408" i="2"/>
  <c r="O407" i="2"/>
  <c r="N407" i="2"/>
  <c r="M407" i="2"/>
  <c r="L407" i="2"/>
  <c r="K407" i="2"/>
  <c r="J407" i="2"/>
  <c r="I407" i="2"/>
  <c r="O406" i="2"/>
  <c r="N406" i="2"/>
  <c r="M406" i="2"/>
  <c r="L406" i="2"/>
  <c r="K406" i="2"/>
  <c r="J406" i="2"/>
  <c r="I406" i="2"/>
  <c r="O405" i="2"/>
  <c r="N405" i="2"/>
  <c r="M405" i="2"/>
  <c r="L405" i="2"/>
  <c r="K405" i="2"/>
  <c r="J405" i="2"/>
  <c r="I405" i="2"/>
  <c r="O404" i="2"/>
  <c r="N404" i="2"/>
  <c r="M404" i="2"/>
  <c r="L404" i="2"/>
  <c r="K404" i="2"/>
  <c r="J404" i="2"/>
  <c r="I404" i="2"/>
  <c r="O403" i="2"/>
  <c r="N403" i="2"/>
  <c r="M403" i="2"/>
  <c r="L403" i="2"/>
  <c r="K403" i="2"/>
  <c r="J403" i="2"/>
  <c r="I403" i="2"/>
  <c r="O402" i="2"/>
  <c r="N402" i="2"/>
  <c r="M402" i="2"/>
  <c r="L402" i="2"/>
  <c r="K402" i="2"/>
  <c r="J402" i="2"/>
  <c r="I402" i="2"/>
  <c r="O401" i="2"/>
  <c r="N401" i="2"/>
  <c r="M401" i="2"/>
  <c r="L401" i="2"/>
  <c r="K401" i="2"/>
  <c r="J401" i="2"/>
  <c r="I401" i="2"/>
  <c r="O400" i="2"/>
  <c r="N400" i="2"/>
  <c r="M400" i="2"/>
  <c r="L400" i="2"/>
  <c r="K400" i="2"/>
  <c r="J400" i="2"/>
  <c r="I400" i="2"/>
  <c r="O399" i="2"/>
  <c r="N399" i="2"/>
  <c r="M399" i="2"/>
  <c r="L399" i="2"/>
  <c r="K399" i="2"/>
  <c r="J399" i="2"/>
  <c r="I399" i="2"/>
  <c r="O398" i="2"/>
  <c r="N398" i="2"/>
  <c r="M398" i="2"/>
  <c r="L398" i="2"/>
  <c r="K398" i="2"/>
  <c r="J398" i="2"/>
  <c r="I398" i="2"/>
  <c r="O397" i="2"/>
  <c r="N397" i="2"/>
  <c r="M397" i="2"/>
  <c r="L397" i="2"/>
  <c r="K397" i="2"/>
  <c r="J397" i="2"/>
  <c r="I397" i="2"/>
  <c r="O396" i="2"/>
  <c r="N396" i="2"/>
  <c r="M396" i="2"/>
  <c r="L396" i="2"/>
  <c r="K396" i="2"/>
  <c r="J396" i="2"/>
  <c r="I396" i="2"/>
  <c r="O395" i="2"/>
  <c r="N395" i="2"/>
  <c r="M395" i="2"/>
  <c r="L395" i="2"/>
  <c r="K395" i="2"/>
  <c r="J395" i="2"/>
  <c r="I395" i="2"/>
  <c r="O394" i="2"/>
  <c r="N394" i="2"/>
  <c r="M394" i="2"/>
  <c r="L394" i="2"/>
  <c r="K394" i="2"/>
  <c r="J394" i="2"/>
  <c r="I394" i="2"/>
  <c r="O393" i="2"/>
  <c r="N393" i="2"/>
  <c r="M393" i="2"/>
  <c r="L393" i="2"/>
  <c r="K393" i="2"/>
  <c r="J393" i="2"/>
  <c r="I393" i="2"/>
  <c r="O392" i="2"/>
  <c r="N392" i="2"/>
  <c r="M392" i="2"/>
  <c r="L392" i="2"/>
  <c r="K392" i="2"/>
  <c r="J392" i="2"/>
  <c r="I392" i="2"/>
  <c r="O391" i="2"/>
  <c r="N391" i="2"/>
  <c r="M391" i="2"/>
  <c r="L391" i="2"/>
  <c r="K391" i="2"/>
  <c r="J391" i="2"/>
  <c r="I391" i="2"/>
  <c r="O390" i="2"/>
  <c r="N390" i="2"/>
  <c r="M390" i="2"/>
  <c r="L390" i="2"/>
  <c r="K390" i="2"/>
  <c r="J390" i="2"/>
  <c r="I390" i="2"/>
  <c r="O389" i="2"/>
  <c r="N389" i="2"/>
  <c r="M389" i="2"/>
  <c r="L389" i="2"/>
  <c r="K389" i="2"/>
  <c r="J389" i="2"/>
  <c r="I389" i="2"/>
  <c r="O388" i="2"/>
  <c r="N388" i="2"/>
  <c r="M388" i="2"/>
  <c r="L388" i="2"/>
  <c r="K388" i="2"/>
  <c r="J388" i="2"/>
  <c r="I388" i="2"/>
  <c r="O387" i="2"/>
  <c r="N387" i="2"/>
  <c r="M387" i="2"/>
  <c r="L387" i="2"/>
  <c r="K387" i="2"/>
  <c r="J387" i="2"/>
  <c r="I387" i="2"/>
  <c r="O386" i="2"/>
  <c r="N386" i="2"/>
  <c r="M386" i="2"/>
  <c r="L386" i="2"/>
  <c r="K386" i="2"/>
  <c r="J386" i="2"/>
  <c r="I386" i="2"/>
  <c r="O385" i="2"/>
  <c r="N385" i="2"/>
  <c r="M385" i="2"/>
  <c r="L385" i="2"/>
  <c r="K385" i="2"/>
  <c r="J385" i="2"/>
  <c r="I385" i="2"/>
  <c r="O384" i="2"/>
  <c r="N384" i="2"/>
  <c r="M384" i="2"/>
  <c r="L384" i="2"/>
  <c r="K384" i="2"/>
  <c r="J384" i="2"/>
  <c r="I384" i="2"/>
  <c r="O383" i="2"/>
  <c r="N383" i="2"/>
  <c r="M383" i="2"/>
  <c r="L383" i="2"/>
  <c r="K383" i="2"/>
  <c r="J383" i="2"/>
  <c r="I383" i="2"/>
  <c r="O382" i="2"/>
  <c r="N382" i="2"/>
  <c r="M382" i="2"/>
  <c r="L382" i="2"/>
  <c r="K382" i="2"/>
  <c r="J382" i="2"/>
  <c r="I382" i="2"/>
  <c r="O381" i="2"/>
  <c r="N381" i="2"/>
  <c r="M381" i="2"/>
  <c r="L381" i="2"/>
  <c r="K381" i="2"/>
  <c r="J381" i="2"/>
  <c r="I381" i="2"/>
  <c r="O380" i="2"/>
  <c r="N380" i="2"/>
  <c r="M380" i="2"/>
  <c r="L380" i="2"/>
  <c r="K380" i="2"/>
  <c r="J380" i="2"/>
  <c r="I380" i="2"/>
  <c r="O379" i="2"/>
  <c r="N379" i="2"/>
  <c r="M379" i="2"/>
  <c r="L379" i="2"/>
  <c r="K379" i="2"/>
  <c r="J379" i="2"/>
  <c r="I379" i="2"/>
  <c r="O378" i="2"/>
  <c r="N378" i="2"/>
  <c r="M378" i="2"/>
  <c r="L378" i="2"/>
  <c r="K378" i="2"/>
  <c r="J378" i="2"/>
  <c r="I378" i="2"/>
  <c r="O377" i="2"/>
  <c r="N377" i="2"/>
  <c r="M377" i="2"/>
  <c r="L377" i="2"/>
  <c r="K377" i="2"/>
  <c r="J377" i="2"/>
  <c r="I377" i="2"/>
  <c r="O376" i="2"/>
  <c r="N376" i="2"/>
  <c r="M376" i="2"/>
  <c r="L376" i="2"/>
  <c r="K376" i="2"/>
  <c r="J376" i="2"/>
  <c r="I376" i="2"/>
  <c r="O375" i="2"/>
  <c r="N375" i="2"/>
  <c r="M375" i="2"/>
  <c r="L375" i="2"/>
  <c r="K375" i="2"/>
  <c r="J375" i="2"/>
  <c r="I375" i="2"/>
  <c r="O374" i="2"/>
  <c r="N374" i="2"/>
  <c r="M374" i="2"/>
  <c r="L374" i="2"/>
  <c r="K374" i="2"/>
  <c r="J374" i="2"/>
  <c r="I374" i="2"/>
  <c r="O373" i="2"/>
  <c r="N373" i="2"/>
  <c r="M373" i="2"/>
  <c r="L373" i="2"/>
  <c r="K373" i="2"/>
  <c r="J373" i="2"/>
  <c r="I373" i="2"/>
  <c r="O372" i="2"/>
  <c r="N372" i="2"/>
  <c r="M372" i="2"/>
  <c r="L372" i="2"/>
  <c r="K372" i="2"/>
  <c r="J372" i="2"/>
  <c r="I372" i="2"/>
  <c r="O371" i="2"/>
  <c r="N371" i="2"/>
  <c r="M371" i="2"/>
  <c r="L371" i="2"/>
  <c r="K371" i="2"/>
  <c r="J371" i="2"/>
  <c r="I371" i="2"/>
  <c r="O370" i="2"/>
  <c r="N370" i="2"/>
  <c r="M370" i="2"/>
  <c r="L370" i="2"/>
  <c r="K370" i="2"/>
  <c r="J370" i="2"/>
  <c r="I370" i="2"/>
  <c r="O369" i="2"/>
  <c r="N369" i="2"/>
  <c r="M369" i="2"/>
  <c r="L369" i="2"/>
  <c r="K369" i="2"/>
  <c r="J369" i="2"/>
  <c r="I369" i="2"/>
  <c r="O368" i="2"/>
  <c r="N368" i="2"/>
  <c r="M368" i="2"/>
  <c r="L368" i="2"/>
  <c r="K368" i="2"/>
  <c r="J368" i="2"/>
  <c r="I368" i="2"/>
  <c r="O367" i="2"/>
  <c r="N367" i="2"/>
  <c r="M367" i="2"/>
  <c r="L367" i="2"/>
  <c r="K367" i="2"/>
  <c r="J367" i="2"/>
  <c r="I367" i="2"/>
  <c r="O366" i="2"/>
  <c r="N366" i="2"/>
  <c r="M366" i="2"/>
  <c r="L366" i="2"/>
  <c r="K366" i="2"/>
  <c r="J366" i="2"/>
  <c r="I366" i="2"/>
  <c r="O365" i="2"/>
  <c r="N365" i="2"/>
  <c r="M365" i="2"/>
  <c r="L365" i="2"/>
  <c r="K365" i="2"/>
  <c r="J365" i="2"/>
  <c r="I365" i="2"/>
  <c r="O364" i="2"/>
  <c r="N364" i="2"/>
  <c r="M364" i="2"/>
  <c r="L364" i="2"/>
  <c r="K364" i="2"/>
  <c r="J364" i="2"/>
  <c r="I364" i="2"/>
  <c r="O363" i="2"/>
  <c r="N363" i="2"/>
  <c r="M363" i="2"/>
  <c r="L363" i="2"/>
  <c r="K363" i="2"/>
  <c r="J363" i="2"/>
  <c r="I363" i="2"/>
  <c r="O362" i="2"/>
  <c r="N362" i="2"/>
  <c r="M362" i="2"/>
  <c r="L362" i="2"/>
  <c r="K362" i="2"/>
  <c r="J362" i="2"/>
  <c r="I362" i="2"/>
  <c r="O361" i="2"/>
  <c r="N361" i="2"/>
  <c r="M361" i="2"/>
  <c r="L361" i="2"/>
  <c r="K361" i="2"/>
  <c r="J361" i="2"/>
  <c r="I361" i="2"/>
  <c r="O360" i="2"/>
  <c r="N360" i="2"/>
  <c r="M360" i="2"/>
  <c r="L360" i="2"/>
  <c r="K360" i="2"/>
  <c r="J360" i="2"/>
  <c r="I360" i="2"/>
  <c r="O359" i="2"/>
  <c r="N359" i="2"/>
  <c r="M359" i="2"/>
  <c r="L359" i="2"/>
  <c r="K359" i="2"/>
  <c r="J359" i="2"/>
  <c r="I359" i="2"/>
  <c r="O358" i="2"/>
  <c r="N358" i="2"/>
  <c r="M358" i="2"/>
  <c r="L358" i="2"/>
  <c r="K358" i="2"/>
  <c r="J358" i="2"/>
  <c r="I358" i="2"/>
  <c r="O357" i="2"/>
  <c r="N357" i="2"/>
  <c r="M357" i="2"/>
  <c r="L357" i="2"/>
  <c r="K357" i="2"/>
  <c r="J357" i="2"/>
  <c r="I357" i="2"/>
  <c r="O356" i="2"/>
  <c r="N356" i="2"/>
  <c r="M356" i="2"/>
  <c r="L356" i="2"/>
  <c r="K356" i="2"/>
  <c r="J356" i="2"/>
  <c r="I356" i="2"/>
  <c r="O355" i="2"/>
  <c r="N355" i="2"/>
  <c r="M355" i="2"/>
  <c r="L355" i="2"/>
  <c r="K355" i="2"/>
  <c r="J355" i="2"/>
  <c r="I355" i="2"/>
  <c r="O354" i="2"/>
  <c r="N354" i="2"/>
  <c r="M354" i="2"/>
  <c r="L354" i="2"/>
  <c r="K354" i="2"/>
  <c r="J354" i="2"/>
  <c r="I354" i="2"/>
  <c r="O353" i="2"/>
  <c r="N353" i="2"/>
  <c r="M353" i="2"/>
  <c r="L353" i="2"/>
  <c r="K353" i="2"/>
  <c r="J353" i="2"/>
  <c r="I353" i="2"/>
  <c r="O352" i="2"/>
  <c r="N352" i="2"/>
  <c r="M352" i="2"/>
  <c r="L352" i="2"/>
  <c r="K352" i="2"/>
  <c r="J352" i="2"/>
  <c r="I352" i="2"/>
  <c r="O351" i="2"/>
  <c r="N351" i="2"/>
  <c r="M351" i="2"/>
  <c r="L351" i="2"/>
  <c r="K351" i="2"/>
  <c r="J351" i="2"/>
  <c r="I351" i="2"/>
  <c r="O350" i="2"/>
  <c r="N350" i="2"/>
  <c r="M350" i="2"/>
  <c r="L350" i="2"/>
  <c r="K350" i="2"/>
  <c r="J350" i="2"/>
  <c r="I350" i="2"/>
  <c r="O349" i="2"/>
  <c r="N349" i="2"/>
  <c r="M349" i="2"/>
  <c r="L349" i="2"/>
  <c r="K349" i="2"/>
  <c r="J349" i="2"/>
  <c r="I349" i="2"/>
  <c r="O348" i="2"/>
  <c r="N348" i="2"/>
  <c r="M348" i="2"/>
  <c r="L348" i="2"/>
  <c r="K348" i="2"/>
  <c r="J348" i="2"/>
  <c r="I348" i="2"/>
  <c r="O347" i="2"/>
  <c r="N347" i="2"/>
  <c r="M347" i="2"/>
  <c r="L347" i="2"/>
  <c r="K347" i="2"/>
  <c r="J347" i="2"/>
  <c r="I347" i="2"/>
  <c r="O346" i="2"/>
  <c r="N346" i="2"/>
  <c r="M346" i="2"/>
  <c r="L346" i="2"/>
  <c r="K346" i="2"/>
  <c r="J346" i="2"/>
  <c r="I346" i="2"/>
  <c r="O345" i="2"/>
  <c r="N345" i="2"/>
  <c r="M345" i="2"/>
  <c r="L345" i="2"/>
  <c r="K345" i="2"/>
  <c r="J345" i="2"/>
  <c r="I345" i="2"/>
  <c r="O344" i="2"/>
  <c r="N344" i="2"/>
  <c r="M344" i="2"/>
  <c r="L344" i="2"/>
  <c r="K344" i="2"/>
  <c r="J344" i="2"/>
  <c r="I344" i="2"/>
  <c r="O343" i="2"/>
  <c r="N343" i="2"/>
  <c r="M343" i="2"/>
  <c r="L343" i="2"/>
  <c r="K343" i="2"/>
  <c r="J343" i="2"/>
  <c r="I343" i="2"/>
  <c r="O342" i="2"/>
  <c r="N342" i="2"/>
  <c r="M342" i="2"/>
  <c r="L342" i="2"/>
  <c r="K342" i="2"/>
  <c r="J342" i="2"/>
  <c r="I342" i="2"/>
  <c r="O341" i="2"/>
  <c r="N341" i="2"/>
  <c r="M341" i="2"/>
  <c r="L341" i="2"/>
  <c r="K341" i="2"/>
  <c r="J341" i="2"/>
  <c r="I341" i="2"/>
  <c r="O340" i="2"/>
  <c r="N340" i="2"/>
  <c r="M340" i="2"/>
  <c r="L340" i="2"/>
  <c r="K340" i="2"/>
  <c r="J340" i="2"/>
  <c r="I340" i="2"/>
  <c r="O339" i="2"/>
  <c r="N339" i="2"/>
  <c r="M339" i="2"/>
  <c r="L339" i="2"/>
  <c r="K339" i="2"/>
  <c r="J339" i="2"/>
  <c r="I339" i="2"/>
  <c r="O338" i="2"/>
  <c r="N338" i="2"/>
  <c r="M338" i="2"/>
  <c r="L338" i="2"/>
  <c r="K338" i="2"/>
  <c r="J338" i="2"/>
  <c r="I338" i="2"/>
  <c r="O337" i="2"/>
  <c r="N337" i="2"/>
  <c r="M337" i="2"/>
  <c r="L337" i="2"/>
  <c r="K337" i="2"/>
  <c r="J337" i="2"/>
  <c r="I337" i="2"/>
  <c r="O336" i="2"/>
  <c r="N336" i="2"/>
  <c r="M336" i="2"/>
  <c r="L336" i="2"/>
  <c r="K336" i="2"/>
  <c r="J336" i="2"/>
  <c r="I336" i="2"/>
  <c r="O335" i="2"/>
  <c r="N335" i="2"/>
  <c r="M335" i="2"/>
  <c r="L335" i="2"/>
  <c r="K335" i="2"/>
  <c r="J335" i="2"/>
  <c r="I335" i="2"/>
  <c r="O334" i="2"/>
  <c r="N334" i="2"/>
  <c r="M334" i="2"/>
  <c r="L334" i="2"/>
  <c r="K334" i="2"/>
  <c r="J334" i="2"/>
  <c r="I334" i="2"/>
  <c r="O333" i="2"/>
  <c r="N333" i="2"/>
  <c r="M333" i="2"/>
  <c r="L333" i="2"/>
  <c r="K333" i="2"/>
  <c r="J333" i="2"/>
  <c r="I333" i="2"/>
  <c r="O332" i="2"/>
  <c r="N332" i="2"/>
  <c r="M332" i="2"/>
  <c r="L332" i="2"/>
  <c r="K332" i="2"/>
  <c r="J332" i="2"/>
  <c r="I332" i="2"/>
  <c r="O331" i="2"/>
  <c r="N331" i="2"/>
  <c r="M331" i="2"/>
  <c r="L331" i="2"/>
  <c r="K331" i="2"/>
  <c r="J331" i="2"/>
  <c r="I331" i="2"/>
  <c r="O330" i="2"/>
  <c r="N330" i="2"/>
  <c r="M330" i="2"/>
  <c r="L330" i="2"/>
  <c r="K330" i="2"/>
  <c r="J330" i="2"/>
  <c r="I330" i="2"/>
  <c r="O329" i="2"/>
  <c r="N329" i="2"/>
  <c r="M329" i="2"/>
  <c r="L329" i="2"/>
  <c r="K329" i="2"/>
  <c r="J329" i="2"/>
  <c r="I329" i="2"/>
  <c r="O328" i="2"/>
  <c r="N328" i="2"/>
  <c r="M328" i="2"/>
  <c r="L328" i="2"/>
  <c r="K328" i="2"/>
  <c r="J328" i="2"/>
  <c r="I328" i="2"/>
  <c r="O327" i="2"/>
  <c r="N327" i="2"/>
  <c r="M327" i="2"/>
  <c r="L327" i="2"/>
  <c r="K327" i="2"/>
  <c r="J327" i="2"/>
  <c r="I327" i="2"/>
  <c r="O326" i="2"/>
  <c r="N326" i="2"/>
  <c r="M326" i="2"/>
  <c r="L326" i="2"/>
  <c r="K326" i="2"/>
  <c r="J326" i="2"/>
  <c r="I326" i="2"/>
  <c r="O325" i="2"/>
  <c r="N325" i="2"/>
  <c r="M325" i="2"/>
  <c r="L325" i="2"/>
  <c r="K325" i="2"/>
  <c r="J325" i="2"/>
  <c r="I325" i="2"/>
  <c r="O324" i="2"/>
  <c r="N324" i="2"/>
  <c r="M324" i="2"/>
  <c r="L324" i="2"/>
  <c r="K324" i="2"/>
  <c r="J324" i="2"/>
  <c r="I324" i="2"/>
  <c r="O323" i="2"/>
  <c r="N323" i="2"/>
  <c r="M323" i="2"/>
  <c r="L323" i="2"/>
  <c r="K323" i="2"/>
  <c r="J323" i="2"/>
  <c r="I323" i="2"/>
  <c r="O322" i="2"/>
  <c r="N322" i="2"/>
  <c r="M322" i="2"/>
  <c r="L322" i="2"/>
  <c r="K322" i="2"/>
  <c r="J322" i="2"/>
  <c r="I322" i="2"/>
  <c r="O321" i="2"/>
  <c r="N321" i="2"/>
  <c r="M321" i="2"/>
  <c r="L321" i="2"/>
  <c r="K321" i="2"/>
  <c r="J321" i="2"/>
  <c r="I321" i="2"/>
  <c r="O320" i="2"/>
  <c r="N320" i="2"/>
  <c r="M320" i="2"/>
  <c r="L320" i="2"/>
  <c r="K320" i="2"/>
  <c r="J320" i="2"/>
  <c r="I320" i="2"/>
  <c r="O319" i="2"/>
  <c r="N319" i="2"/>
  <c r="M319" i="2"/>
  <c r="L319" i="2"/>
  <c r="K319" i="2"/>
  <c r="J319" i="2"/>
  <c r="I319" i="2"/>
  <c r="O318" i="2"/>
  <c r="N318" i="2"/>
  <c r="M318" i="2"/>
  <c r="L318" i="2"/>
  <c r="K318" i="2"/>
  <c r="J318" i="2"/>
  <c r="I318" i="2"/>
  <c r="O317" i="2"/>
  <c r="N317" i="2"/>
  <c r="M317" i="2"/>
  <c r="L317" i="2"/>
  <c r="K317" i="2"/>
  <c r="J317" i="2"/>
  <c r="I317" i="2"/>
  <c r="O316" i="2"/>
  <c r="N316" i="2"/>
  <c r="M316" i="2"/>
  <c r="L316" i="2"/>
  <c r="K316" i="2"/>
  <c r="J316" i="2"/>
  <c r="I316" i="2"/>
  <c r="O315" i="2"/>
  <c r="N315" i="2"/>
  <c r="M315" i="2"/>
  <c r="L315" i="2"/>
  <c r="K315" i="2"/>
  <c r="J315" i="2"/>
  <c r="I315" i="2"/>
  <c r="O314" i="2"/>
  <c r="N314" i="2"/>
  <c r="M314" i="2"/>
  <c r="L314" i="2"/>
  <c r="K314" i="2"/>
  <c r="J314" i="2"/>
  <c r="I314" i="2"/>
  <c r="O313" i="2"/>
  <c r="N313" i="2"/>
  <c r="M313" i="2"/>
  <c r="L313" i="2"/>
  <c r="K313" i="2"/>
  <c r="J313" i="2"/>
  <c r="I313" i="2"/>
  <c r="O312" i="2"/>
  <c r="N312" i="2"/>
  <c r="M312" i="2"/>
  <c r="L312" i="2"/>
  <c r="K312" i="2"/>
  <c r="J312" i="2"/>
  <c r="I312" i="2"/>
  <c r="O311" i="2"/>
  <c r="N311" i="2"/>
  <c r="M311" i="2"/>
  <c r="L311" i="2"/>
  <c r="K311" i="2"/>
  <c r="J311" i="2"/>
  <c r="I311" i="2"/>
  <c r="O310" i="2"/>
  <c r="N310" i="2"/>
  <c r="M310" i="2"/>
  <c r="L310" i="2"/>
  <c r="K310" i="2"/>
  <c r="J310" i="2"/>
  <c r="I310" i="2"/>
  <c r="O309" i="2"/>
  <c r="N309" i="2"/>
  <c r="M309" i="2"/>
  <c r="L309" i="2"/>
  <c r="K309" i="2"/>
  <c r="J309" i="2"/>
  <c r="I309" i="2"/>
  <c r="O308" i="2"/>
  <c r="N308" i="2"/>
  <c r="M308" i="2"/>
  <c r="L308" i="2"/>
  <c r="K308" i="2"/>
  <c r="J308" i="2"/>
  <c r="I308" i="2"/>
  <c r="O307" i="2"/>
  <c r="N307" i="2"/>
  <c r="M307" i="2"/>
  <c r="L307" i="2"/>
  <c r="K307" i="2"/>
  <c r="J307" i="2"/>
  <c r="I307" i="2"/>
  <c r="O306" i="2"/>
  <c r="N306" i="2"/>
  <c r="M306" i="2"/>
  <c r="L306" i="2"/>
  <c r="K306" i="2"/>
  <c r="J306" i="2"/>
  <c r="I306" i="2"/>
  <c r="O305" i="2"/>
  <c r="N305" i="2"/>
  <c r="M305" i="2"/>
  <c r="L305" i="2"/>
  <c r="K305" i="2"/>
  <c r="J305" i="2"/>
  <c r="I305" i="2"/>
  <c r="O304" i="2"/>
  <c r="N304" i="2"/>
  <c r="M304" i="2"/>
  <c r="L304" i="2"/>
  <c r="K304" i="2"/>
  <c r="J304" i="2"/>
  <c r="I304" i="2"/>
  <c r="O303" i="2"/>
  <c r="N303" i="2"/>
  <c r="M303" i="2"/>
  <c r="L303" i="2"/>
  <c r="K303" i="2"/>
  <c r="J303" i="2"/>
  <c r="I303" i="2"/>
  <c r="O302" i="2"/>
  <c r="N302" i="2"/>
  <c r="M302" i="2"/>
  <c r="L302" i="2"/>
  <c r="K302" i="2"/>
  <c r="J302" i="2"/>
  <c r="I302" i="2"/>
  <c r="O301" i="2"/>
  <c r="N301" i="2"/>
  <c r="M301" i="2"/>
  <c r="L301" i="2"/>
  <c r="K301" i="2"/>
  <c r="J301" i="2"/>
  <c r="I301" i="2"/>
  <c r="O300" i="2"/>
  <c r="N300" i="2"/>
  <c r="M300" i="2"/>
  <c r="L300" i="2"/>
  <c r="K300" i="2"/>
  <c r="J300" i="2"/>
  <c r="I300" i="2"/>
  <c r="O299" i="2"/>
  <c r="N299" i="2"/>
  <c r="M299" i="2"/>
  <c r="L299" i="2"/>
  <c r="K299" i="2"/>
  <c r="J299" i="2"/>
  <c r="I299" i="2"/>
  <c r="O298" i="2"/>
  <c r="N298" i="2"/>
  <c r="M298" i="2"/>
  <c r="L298" i="2"/>
  <c r="K298" i="2"/>
  <c r="J298" i="2"/>
  <c r="I298" i="2"/>
  <c r="O297" i="2"/>
  <c r="N297" i="2"/>
  <c r="M297" i="2"/>
  <c r="L297" i="2"/>
  <c r="K297" i="2"/>
  <c r="J297" i="2"/>
  <c r="I297" i="2"/>
  <c r="O296" i="2"/>
  <c r="N296" i="2"/>
  <c r="M296" i="2"/>
  <c r="L296" i="2"/>
  <c r="K296" i="2"/>
  <c r="J296" i="2"/>
  <c r="I296" i="2"/>
  <c r="O295" i="2"/>
  <c r="N295" i="2"/>
  <c r="M295" i="2"/>
  <c r="L295" i="2"/>
  <c r="K295" i="2"/>
  <c r="J295" i="2"/>
  <c r="I295" i="2"/>
  <c r="O294" i="2"/>
  <c r="N294" i="2"/>
  <c r="M294" i="2"/>
  <c r="L294" i="2"/>
  <c r="K294" i="2"/>
  <c r="J294" i="2"/>
  <c r="I294" i="2"/>
  <c r="O293" i="2"/>
  <c r="N293" i="2"/>
  <c r="M293" i="2"/>
  <c r="L293" i="2"/>
  <c r="K293" i="2"/>
  <c r="J293" i="2"/>
  <c r="I293" i="2"/>
  <c r="O292" i="2"/>
  <c r="N292" i="2"/>
  <c r="M292" i="2"/>
  <c r="L292" i="2"/>
  <c r="K292" i="2"/>
  <c r="J292" i="2"/>
  <c r="I292" i="2"/>
  <c r="O291" i="2"/>
  <c r="N291" i="2"/>
  <c r="M291" i="2"/>
  <c r="L291" i="2"/>
  <c r="K291" i="2"/>
  <c r="J291" i="2"/>
  <c r="I291" i="2"/>
  <c r="O290" i="2"/>
  <c r="N290" i="2"/>
  <c r="M290" i="2"/>
  <c r="L290" i="2"/>
  <c r="K290" i="2"/>
  <c r="J290" i="2"/>
  <c r="I290" i="2"/>
  <c r="O289" i="2"/>
  <c r="N289" i="2"/>
  <c r="M289" i="2"/>
  <c r="L289" i="2"/>
  <c r="K289" i="2"/>
  <c r="J289" i="2"/>
  <c r="I289" i="2"/>
  <c r="O288" i="2"/>
  <c r="N288" i="2"/>
  <c r="M288" i="2"/>
  <c r="L288" i="2"/>
  <c r="K288" i="2"/>
  <c r="J288" i="2"/>
  <c r="I288" i="2"/>
  <c r="O287" i="2"/>
  <c r="N287" i="2"/>
  <c r="M287" i="2"/>
  <c r="L287" i="2"/>
  <c r="K287" i="2"/>
  <c r="J287" i="2"/>
  <c r="I287" i="2"/>
  <c r="O286" i="2"/>
  <c r="N286" i="2"/>
  <c r="M286" i="2"/>
  <c r="L286" i="2"/>
  <c r="K286" i="2"/>
  <c r="J286" i="2"/>
  <c r="I286" i="2"/>
  <c r="O285" i="2"/>
  <c r="N285" i="2"/>
  <c r="M285" i="2"/>
  <c r="L285" i="2"/>
  <c r="K285" i="2"/>
  <c r="J285" i="2"/>
  <c r="I285" i="2"/>
  <c r="O284" i="2"/>
  <c r="N284" i="2"/>
  <c r="M284" i="2"/>
  <c r="L284" i="2"/>
  <c r="K284" i="2"/>
  <c r="J284" i="2"/>
  <c r="I284" i="2"/>
  <c r="O283" i="2"/>
  <c r="N283" i="2"/>
  <c r="M283" i="2"/>
  <c r="L283" i="2"/>
  <c r="K283" i="2"/>
  <c r="J283" i="2"/>
  <c r="I283" i="2"/>
  <c r="O282" i="2"/>
  <c r="N282" i="2"/>
  <c r="M282" i="2"/>
  <c r="L282" i="2"/>
  <c r="K282" i="2"/>
  <c r="J282" i="2"/>
  <c r="I282" i="2"/>
  <c r="O281" i="2"/>
  <c r="N281" i="2"/>
  <c r="M281" i="2"/>
  <c r="L281" i="2"/>
  <c r="K281" i="2"/>
  <c r="J281" i="2"/>
  <c r="I281" i="2"/>
  <c r="O280" i="2"/>
  <c r="N280" i="2"/>
  <c r="M280" i="2"/>
  <c r="L280" i="2"/>
  <c r="K280" i="2"/>
  <c r="J280" i="2"/>
  <c r="I280" i="2"/>
  <c r="O279" i="2"/>
  <c r="N279" i="2"/>
  <c r="M279" i="2"/>
  <c r="L279" i="2"/>
  <c r="K279" i="2"/>
  <c r="J279" i="2"/>
  <c r="I279" i="2"/>
  <c r="O278" i="2"/>
  <c r="N278" i="2"/>
  <c r="M278" i="2"/>
  <c r="L278" i="2"/>
  <c r="K278" i="2"/>
  <c r="J278" i="2"/>
  <c r="I278" i="2"/>
  <c r="O277" i="2"/>
  <c r="N277" i="2"/>
  <c r="M277" i="2"/>
  <c r="L277" i="2"/>
  <c r="K277" i="2"/>
  <c r="J277" i="2"/>
  <c r="I277" i="2"/>
  <c r="O276" i="2"/>
  <c r="N276" i="2"/>
  <c r="M276" i="2"/>
  <c r="L276" i="2"/>
  <c r="K276" i="2"/>
  <c r="J276" i="2"/>
  <c r="I276" i="2"/>
  <c r="O275" i="2"/>
  <c r="N275" i="2"/>
  <c r="M275" i="2"/>
  <c r="L275" i="2"/>
  <c r="K275" i="2"/>
  <c r="J275" i="2"/>
  <c r="I275" i="2"/>
  <c r="O274" i="2"/>
  <c r="N274" i="2"/>
  <c r="M274" i="2"/>
  <c r="L274" i="2"/>
  <c r="K274" i="2"/>
  <c r="J274" i="2"/>
  <c r="I274" i="2"/>
  <c r="O273" i="2"/>
  <c r="N273" i="2"/>
  <c r="M273" i="2"/>
  <c r="L273" i="2"/>
  <c r="K273" i="2"/>
  <c r="J273" i="2"/>
  <c r="I273" i="2"/>
  <c r="O272" i="2"/>
  <c r="N272" i="2"/>
  <c r="M272" i="2"/>
  <c r="L272" i="2"/>
  <c r="K272" i="2"/>
  <c r="J272" i="2"/>
  <c r="I272" i="2"/>
  <c r="O271" i="2"/>
  <c r="N271" i="2"/>
  <c r="M271" i="2"/>
  <c r="L271" i="2"/>
  <c r="K271" i="2"/>
  <c r="J271" i="2"/>
  <c r="I271" i="2"/>
  <c r="O270" i="2"/>
  <c r="N270" i="2"/>
  <c r="M270" i="2"/>
  <c r="L270" i="2"/>
  <c r="K270" i="2"/>
  <c r="J270" i="2"/>
  <c r="I270" i="2"/>
  <c r="O269" i="2"/>
  <c r="N269" i="2"/>
  <c r="M269" i="2"/>
  <c r="L269" i="2"/>
  <c r="K269" i="2"/>
  <c r="J269" i="2"/>
  <c r="I269" i="2"/>
  <c r="O268" i="2"/>
  <c r="N268" i="2"/>
  <c r="M268" i="2"/>
  <c r="L268" i="2"/>
  <c r="K268" i="2"/>
  <c r="J268" i="2"/>
  <c r="I268" i="2"/>
  <c r="O267" i="2"/>
  <c r="N267" i="2"/>
  <c r="M267" i="2"/>
  <c r="L267" i="2"/>
  <c r="K267" i="2"/>
  <c r="J267" i="2"/>
  <c r="I267" i="2"/>
  <c r="O266" i="2"/>
  <c r="N266" i="2"/>
  <c r="M266" i="2"/>
  <c r="L266" i="2"/>
  <c r="K266" i="2"/>
  <c r="J266" i="2"/>
  <c r="I266" i="2"/>
  <c r="O265" i="2"/>
  <c r="N265" i="2"/>
  <c r="M265" i="2"/>
  <c r="L265" i="2"/>
  <c r="K265" i="2"/>
  <c r="J265" i="2"/>
  <c r="I265" i="2"/>
  <c r="O264" i="2"/>
  <c r="N264" i="2"/>
  <c r="M264" i="2"/>
  <c r="L264" i="2"/>
  <c r="K264" i="2"/>
  <c r="J264" i="2"/>
  <c r="I264" i="2"/>
  <c r="O263" i="2"/>
  <c r="N263" i="2"/>
  <c r="M263" i="2"/>
  <c r="L263" i="2"/>
  <c r="K263" i="2"/>
  <c r="J263" i="2"/>
  <c r="I263" i="2"/>
  <c r="O262" i="2"/>
  <c r="N262" i="2"/>
  <c r="M262" i="2"/>
  <c r="L262" i="2"/>
  <c r="K262" i="2"/>
  <c r="J262" i="2"/>
  <c r="I262" i="2"/>
  <c r="O261" i="2"/>
  <c r="N261" i="2"/>
  <c r="M261" i="2"/>
  <c r="L261" i="2"/>
  <c r="K261" i="2"/>
  <c r="J261" i="2"/>
  <c r="I261" i="2"/>
  <c r="O260" i="2"/>
  <c r="N260" i="2"/>
  <c r="M260" i="2"/>
  <c r="L260" i="2"/>
  <c r="K260" i="2"/>
  <c r="J260" i="2"/>
  <c r="I260" i="2"/>
  <c r="O259" i="2"/>
  <c r="N259" i="2"/>
  <c r="M259" i="2"/>
  <c r="L259" i="2"/>
  <c r="K259" i="2"/>
  <c r="J259" i="2"/>
  <c r="I259" i="2"/>
  <c r="O258" i="2"/>
  <c r="N258" i="2"/>
  <c r="M258" i="2"/>
  <c r="L258" i="2"/>
  <c r="K258" i="2"/>
  <c r="J258" i="2"/>
  <c r="I258" i="2"/>
  <c r="O257" i="2"/>
  <c r="N257" i="2"/>
  <c r="M257" i="2"/>
  <c r="L257" i="2"/>
  <c r="K257" i="2"/>
  <c r="J257" i="2"/>
  <c r="I257" i="2"/>
  <c r="O256" i="2"/>
  <c r="N256" i="2"/>
  <c r="M256" i="2"/>
  <c r="L256" i="2"/>
  <c r="K256" i="2"/>
  <c r="J256" i="2"/>
  <c r="I256" i="2"/>
  <c r="O255" i="2"/>
  <c r="N255" i="2"/>
  <c r="M255" i="2"/>
  <c r="L255" i="2"/>
  <c r="K255" i="2"/>
  <c r="J255" i="2"/>
  <c r="I255" i="2"/>
  <c r="O254" i="2"/>
  <c r="N254" i="2"/>
  <c r="M254" i="2"/>
  <c r="L254" i="2"/>
  <c r="K254" i="2"/>
  <c r="J254" i="2"/>
  <c r="I254" i="2"/>
  <c r="O253" i="2"/>
  <c r="N253" i="2"/>
  <c r="M253" i="2"/>
  <c r="L253" i="2"/>
  <c r="K253" i="2"/>
  <c r="J253" i="2"/>
  <c r="I253" i="2"/>
  <c r="O252" i="2"/>
  <c r="N252" i="2"/>
  <c r="M252" i="2"/>
  <c r="L252" i="2"/>
  <c r="K252" i="2"/>
  <c r="J252" i="2"/>
  <c r="I252" i="2"/>
  <c r="O251" i="2"/>
  <c r="N251" i="2"/>
  <c r="M251" i="2"/>
  <c r="L251" i="2"/>
  <c r="K251" i="2"/>
  <c r="J251" i="2"/>
  <c r="I251" i="2"/>
  <c r="O250" i="2"/>
  <c r="N250" i="2"/>
  <c r="M250" i="2"/>
  <c r="L250" i="2"/>
  <c r="K250" i="2"/>
  <c r="J250" i="2"/>
  <c r="I250" i="2"/>
  <c r="O249" i="2"/>
  <c r="N249" i="2"/>
  <c r="M249" i="2"/>
  <c r="L249" i="2"/>
  <c r="K249" i="2"/>
  <c r="J249" i="2"/>
  <c r="I249" i="2"/>
  <c r="O248" i="2"/>
  <c r="N248" i="2"/>
  <c r="M248" i="2"/>
  <c r="L248" i="2"/>
  <c r="K248" i="2"/>
  <c r="J248" i="2"/>
  <c r="I248" i="2"/>
  <c r="O247" i="2"/>
  <c r="N247" i="2"/>
  <c r="M247" i="2"/>
  <c r="L247" i="2"/>
  <c r="K247" i="2"/>
  <c r="J247" i="2"/>
  <c r="I247" i="2"/>
  <c r="O246" i="2"/>
  <c r="N246" i="2"/>
  <c r="M246" i="2"/>
  <c r="L246" i="2"/>
  <c r="K246" i="2"/>
  <c r="J246" i="2"/>
  <c r="I246" i="2"/>
  <c r="O245" i="2"/>
  <c r="N245" i="2"/>
  <c r="M245" i="2"/>
  <c r="L245" i="2"/>
  <c r="K245" i="2"/>
  <c r="J245" i="2"/>
  <c r="I245" i="2"/>
  <c r="O244" i="2"/>
  <c r="N244" i="2"/>
  <c r="M244" i="2"/>
  <c r="L244" i="2"/>
  <c r="K244" i="2"/>
  <c r="J244" i="2"/>
  <c r="I244" i="2"/>
  <c r="O243" i="2"/>
  <c r="N243" i="2"/>
  <c r="M243" i="2"/>
  <c r="L243" i="2"/>
  <c r="K243" i="2"/>
  <c r="J243" i="2"/>
  <c r="I243" i="2"/>
  <c r="O242" i="2"/>
  <c r="N242" i="2"/>
  <c r="M242" i="2"/>
  <c r="L242" i="2"/>
  <c r="K242" i="2"/>
  <c r="J242" i="2"/>
  <c r="I242" i="2"/>
  <c r="O241" i="2"/>
  <c r="N241" i="2"/>
  <c r="M241" i="2"/>
  <c r="L241" i="2"/>
  <c r="K241" i="2"/>
  <c r="J241" i="2"/>
  <c r="I241" i="2"/>
  <c r="O240" i="2"/>
  <c r="N240" i="2"/>
  <c r="M240" i="2"/>
  <c r="L240" i="2"/>
  <c r="K240" i="2"/>
  <c r="J240" i="2"/>
  <c r="I240" i="2"/>
  <c r="O239" i="2"/>
  <c r="N239" i="2"/>
  <c r="M239" i="2"/>
  <c r="L239" i="2"/>
  <c r="K239" i="2"/>
  <c r="J239" i="2"/>
  <c r="I239" i="2"/>
  <c r="O238" i="2"/>
  <c r="N238" i="2"/>
  <c r="M238" i="2"/>
  <c r="L238" i="2"/>
  <c r="K238" i="2"/>
  <c r="J238" i="2"/>
  <c r="I238" i="2"/>
  <c r="O237" i="2"/>
  <c r="N237" i="2"/>
  <c r="M237" i="2"/>
  <c r="L237" i="2"/>
  <c r="K237" i="2"/>
  <c r="J237" i="2"/>
  <c r="I237" i="2"/>
  <c r="O236" i="2"/>
  <c r="N236" i="2"/>
  <c r="M236" i="2"/>
  <c r="L236" i="2"/>
  <c r="K236" i="2"/>
  <c r="J236" i="2"/>
  <c r="I236" i="2"/>
  <c r="O235" i="2"/>
  <c r="N235" i="2"/>
  <c r="M235" i="2"/>
  <c r="L235" i="2"/>
  <c r="K235" i="2"/>
  <c r="J235" i="2"/>
  <c r="I235" i="2"/>
  <c r="O234" i="2"/>
  <c r="N234" i="2"/>
  <c r="M234" i="2"/>
  <c r="L234" i="2"/>
  <c r="K234" i="2"/>
  <c r="J234" i="2"/>
  <c r="I234" i="2"/>
  <c r="O233" i="2"/>
  <c r="N233" i="2"/>
  <c r="M233" i="2"/>
  <c r="L233" i="2"/>
  <c r="K233" i="2"/>
  <c r="J233" i="2"/>
  <c r="I233" i="2"/>
  <c r="O232" i="2"/>
  <c r="N232" i="2"/>
  <c r="M232" i="2"/>
  <c r="L232" i="2"/>
  <c r="K232" i="2"/>
  <c r="J232" i="2"/>
  <c r="I232" i="2"/>
  <c r="O231" i="2"/>
  <c r="N231" i="2"/>
  <c r="M231" i="2"/>
  <c r="L231" i="2"/>
  <c r="K231" i="2"/>
  <c r="J231" i="2"/>
  <c r="I231" i="2"/>
  <c r="O230" i="2"/>
  <c r="N230" i="2"/>
  <c r="M230" i="2"/>
  <c r="L230" i="2"/>
  <c r="K230" i="2"/>
  <c r="J230" i="2"/>
  <c r="I230" i="2"/>
  <c r="O229" i="2"/>
  <c r="N229" i="2"/>
  <c r="M229" i="2"/>
  <c r="L229" i="2"/>
  <c r="K229" i="2"/>
  <c r="J229" i="2"/>
  <c r="I229" i="2"/>
  <c r="O228" i="2"/>
  <c r="N228" i="2"/>
  <c r="M228" i="2"/>
  <c r="L228" i="2"/>
  <c r="K228" i="2"/>
  <c r="J228" i="2"/>
  <c r="I228" i="2"/>
  <c r="O227" i="2"/>
  <c r="N227" i="2"/>
  <c r="M227" i="2"/>
  <c r="L227" i="2"/>
  <c r="K227" i="2"/>
  <c r="J227" i="2"/>
  <c r="I227" i="2"/>
  <c r="O226" i="2"/>
  <c r="N226" i="2"/>
  <c r="M226" i="2"/>
  <c r="L226" i="2"/>
  <c r="K226" i="2"/>
  <c r="J226" i="2"/>
  <c r="I226" i="2"/>
  <c r="O225" i="2"/>
  <c r="N225" i="2"/>
  <c r="M225" i="2"/>
  <c r="L225" i="2"/>
  <c r="K225" i="2"/>
  <c r="J225" i="2"/>
  <c r="I225" i="2"/>
  <c r="O224" i="2"/>
  <c r="N224" i="2"/>
  <c r="M224" i="2"/>
  <c r="L224" i="2"/>
  <c r="K224" i="2"/>
  <c r="J224" i="2"/>
  <c r="I224" i="2"/>
  <c r="O223" i="2"/>
  <c r="N223" i="2"/>
  <c r="M223" i="2"/>
  <c r="L223" i="2"/>
  <c r="K223" i="2"/>
  <c r="J223" i="2"/>
  <c r="I223" i="2"/>
  <c r="O222" i="2"/>
  <c r="N222" i="2"/>
  <c r="M222" i="2"/>
  <c r="L222" i="2"/>
  <c r="K222" i="2"/>
  <c r="J222" i="2"/>
  <c r="I222" i="2"/>
  <c r="O221" i="2"/>
  <c r="N221" i="2"/>
  <c r="M221" i="2"/>
  <c r="L221" i="2"/>
  <c r="K221" i="2"/>
  <c r="J221" i="2"/>
  <c r="I221" i="2"/>
  <c r="O220" i="2"/>
  <c r="N220" i="2"/>
  <c r="M220" i="2"/>
  <c r="L220" i="2"/>
  <c r="K220" i="2"/>
  <c r="J220" i="2"/>
  <c r="I220" i="2"/>
  <c r="O219" i="2"/>
  <c r="N219" i="2"/>
  <c r="M219" i="2"/>
  <c r="L219" i="2"/>
  <c r="K219" i="2"/>
  <c r="J219" i="2"/>
  <c r="I219" i="2"/>
  <c r="O218" i="2"/>
  <c r="N218" i="2"/>
  <c r="M218" i="2"/>
  <c r="L218" i="2"/>
  <c r="K218" i="2"/>
  <c r="J218" i="2"/>
  <c r="I218" i="2"/>
  <c r="O217" i="2"/>
  <c r="N217" i="2"/>
  <c r="M217" i="2"/>
  <c r="L217" i="2"/>
  <c r="K217" i="2"/>
  <c r="J217" i="2"/>
  <c r="I217" i="2"/>
  <c r="O216" i="2"/>
  <c r="N216" i="2"/>
  <c r="M216" i="2"/>
  <c r="L216" i="2"/>
  <c r="K216" i="2"/>
  <c r="J216" i="2"/>
  <c r="I216" i="2"/>
  <c r="O215" i="2"/>
  <c r="N215" i="2"/>
  <c r="M215" i="2"/>
  <c r="L215" i="2"/>
  <c r="K215" i="2"/>
  <c r="J215" i="2"/>
  <c r="I215" i="2"/>
  <c r="O214" i="2"/>
  <c r="N214" i="2"/>
  <c r="M214" i="2"/>
  <c r="L214" i="2"/>
  <c r="K214" i="2"/>
  <c r="J214" i="2"/>
  <c r="I214" i="2"/>
  <c r="O213" i="2"/>
  <c r="N213" i="2"/>
  <c r="M213" i="2"/>
  <c r="L213" i="2"/>
  <c r="K213" i="2"/>
  <c r="J213" i="2"/>
  <c r="I213" i="2"/>
  <c r="O212" i="2"/>
  <c r="N212" i="2"/>
  <c r="M212" i="2"/>
  <c r="L212" i="2"/>
  <c r="K212" i="2"/>
  <c r="J212" i="2"/>
  <c r="I212" i="2"/>
  <c r="O211" i="2"/>
  <c r="N211" i="2"/>
  <c r="M211" i="2"/>
  <c r="L211" i="2"/>
  <c r="K211" i="2"/>
  <c r="J211" i="2"/>
  <c r="I211" i="2"/>
  <c r="O210" i="2"/>
  <c r="N210" i="2"/>
  <c r="M210" i="2"/>
  <c r="L210" i="2"/>
  <c r="K210" i="2"/>
  <c r="J210" i="2"/>
  <c r="I210" i="2"/>
  <c r="O209" i="2"/>
  <c r="N209" i="2"/>
  <c r="M209" i="2"/>
  <c r="L209" i="2"/>
  <c r="K209" i="2"/>
  <c r="J209" i="2"/>
  <c r="I209" i="2"/>
  <c r="O208" i="2"/>
  <c r="N208" i="2"/>
  <c r="M208" i="2"/>
  <c r="L208" i="2"/>
  <c r="K208" i="2"/>
  <c r="J208" i="2"/>
  <c r="I208" i="2"/>
  <c r="O207" i="2"/>
  <c r="N207" i="2"/>
  <c r="M207" i="2"/>
  <c r="L207" i="2"/>
  <c r="K207" i="2"/>
  <c r="J207" i="2"/>
  <c r="I207" i="2"/>
  <c r="O206" i="2"/>
  <c r="N206" i="2"/>
  <c r="M206" i="2"/>
  <c r="L206" i="2"/>
  <c r="K206" i="2"/>
  <c r="J206" i="2"/>
  <c r="I206" i="2"/>
  <c r="O205" i="2"/>
  <c r="N205" i="2"/>
  <c r="M205" i="2"/>
  <c r="L205" i="2"/>
  <c r="K205" i="2"/>
  <c r="J205" i="2"/>
  <c r="I205" i="2"/>
  <c r="O204" i="2"/>
  <c r="N204" i="2"/>
  <c r="M204" i="2"/>
  <c r="L204" i="2"/>
  <c r="K204" i="2"/>
  <c r="J204" i="2"/>
  <c r="I204" i="2"/>
  <c r="O203" i="2"/>
  <c r="N203" i="2"/>
  <c r="M203" i="2"/>
  <c r="L203" i="2"/>
  <c r="K203" i="2"/>
  <c r="J203" i="2"/>
  <c r="I203" i="2"/>
  <c r="O202" i="2"/>
  <c r="N202" i="2"/>
  <c r="M202" i="2"/>
  <c r="L202" i="2"/>
  <c r="K202" i="2"/>
  <c r="J202" i="2"/>
  <c r="I202" i="2"/>
  <c r="O201" i="2"/>
  <c r="N201" i="2"/>
  <c r="M201" i="2"/>
  <c r="L201" i="2"/>
  <c r="K201" i="2"/>
  <c r="J201" i="2"/>
  <c r="I201" i="2"/>
  <c r="O200" i="2"/>
  <c r="N200" i="2"/>
  <c r="M200" i="2"/>
  <c r="L200" i="2"/>
  <c r="K200" i="2"/>
  <c r="J200" i="2"/>
  <c r="I200" i="2"/>
  <c r="O199" i="2"/>
  <c r="N199" i="2"/>
  <c r="M199" i="2"/>
  <c r="L199" i="2"/>
  <c r="K199" i="2"/>
  <c r="J199" i="2"/>
  <c r="I199" i="2"/>
  <c r="O198" i="2"/>
  <c r="N198" i="2"/>
  <c r="M198" i="2"/>
  <c r="L198" i="2"/>
  <c r="K198" i="2"/>
  <c r="J198" i="2"/>
  <c r="I198" i="2"/>
  <c r="O197" i="2"/>
  <c r="N197" i="2"/>
  <c r="M197" i="2"/>
  <c r="L197" i="2"/>
  <c r="K197" i="2"/>
  <c r="J197" i="2"/>
  <c r="I197" i="2"/>
  <c r="O196" i="2"/>
  <c r="N196" i="2"/>
  <c r="M196" i="2"/>
  <c r="L196" i="2"/>
  <c r="K196" i="2"/>
  <c r="J196" i="2"/>
  <c r="I196" i="2"/>
  <c r="O195" i="2"/>
  <c r="N195" i="2"/>
  <c r="M195" i="2"/>
  <c r="L195" i="2"/>
  <c r="K195" i="2"/>
  <c r="J195" i="2"/>
  <c r="I195" i="2"/>
  <c r="O194" i="2"/>
  <c r="N194" i="2"/>
  <c r="M194" i="2"/>
  <c r="L194" i="2"/>
  <c r="K194" i="2"/>
  <c r="J194" i="2"/>
  <c r="I194" i="2"/>
  <c r="O193" i="2"/>
  <c r="N193" i="2"/>
  <c r="M193" i="2"/>
  <c r="L193" i="2"/>
  <c r="K193" i="2"/>
  <c r="J193" i="2"/>
  <c r="I193" i="2"/>
  <c r="O192" i="2"/>
  <c r="N192" i="2"/>
  <c r="M192" i="2"/>
  <c r="L192" i="2"/>
  <c r="K192" i="2"/>
  <c r="J192" i="2"/>
  <c r="I192" i="2"/>
  <c r="O191" i="2"/>
  <c r="N191" i="2"/>
  <c r="M191" i="2"/>
  <c r="L191" i="2"/>
  <c r="K191" i="2"/>
  <c r="J191" i="2"/>
  <c r="I191" i="2"/>
  <c r="O190" i="2"/>
  <c r="N190" i="2"/>
  <c r="M190" i="2"/>
  <c r="L190" i="2"/>
  <c r="K190" i="2"/>
  <c r="J190" i="2"/>
  <c r="I190" i="2"/>
  <c r="O189" i="2"/>
  <c r="N189" i="2"/>
  <c r="M189" i="2"/>
  <c r="L189" i="2"/>
  <c r="K189" i="2"/>
  <c r="J189" i="2"/>
  <c r="I189" i="2"/>
  <c r="O188" i="2"/>
  <c r="N188" i="2"/>
  <c r="M188" i="2"/>
  <c r="L188" i="2"/>
  <c r="K188" i="2"/>
  <c r="J188" i="2"/>
  <c r="I188" i="2"/>
  <c r="O187" i="2"/>
  <c r="N187" i="2"/>
  <c r="M187" i="2"/>
  <c r="L187" i="2"/>
  <c r="K187" i="2"/>
  <c r="J187" i="2"/>
  <c r="I187" i="2"/>
  <c r="O186" i="2"/>
  <c r="N186" i="2"/>
  <c r="M186" i="2"/>
  <c r="L186" i="2"/>
  <c r="K186" i="2"/>
  <c r="J186" i="2"/>
  <c r="I186" i="2"/>
  <c r="O185" i="2"/>
  <c r="N185" i="2"/>
  <c r="M185" i="2"/>
  <c r="L185" i="2"/>
  <c r="K185" i="2"/>
  <c r="J185" i="2"/>
  <c r="I185" i="2"/>
  <c r="O184" i="2"/>
  <c r="N184" i="2"/>
  <c r="M184" i="2"/>
  <c r="L184" i="2"/>
  <c r="K184" i="2"/>
  <c r="J184" i="2"/>
  <c r="I184" i="2"/>
  <c r="O183" i="2"/>
  <c r="N183" i="2"/>
  <c r="M183" i="2"/>
  <c r="L183" i="2"/>
  <c r="K183" i="2"/>
  <c r="J183" i="2"/>
  <c r="I183" i="2"/>
  <c r="O182" i="2"/>
  <c r="N182" i="2"/>
  <c r="M182" i="2"/>
  <c r="L182" i="2"/>
  <c r="K182" i="2"/>
  <c r="J182" i="2"/>
  <c r="I182" i="2"/>
  <c r="O181" i="2"/>
  <c r="N181" i="2"/>
  <c r="M181" i="2"/>
  <c r="L181" i="2"/>
  <c r="K181" i="2"/>
  <c r="J181" i="2"/>
  <c r="I181" i="2"/>
  <c r="O180" i="2"/>
  <c r="N180" i="2"/>
  <c r="M180" i="2"/>
  <c r="L180" i="2"/>
  <c r="K180" i="2"/>
  <c r="J180" i="2"/>
  <c r="I180" i="2"/>
  <c r="O179" i="2"/>
  <c r="N179" i="2"/>
  <c r="M179" i="2"/>
  <c r="L179" i="2"/>
  <c r="K179" i="2"/>
  <c r="J179" i="2"/>
  <c r="I179" i="2"/>
  <c r="O178" i="2"/>
  <c r="N178" i="2"/>
  <c r="M178" i="2"/>
  <c r="L178" i="2"/>
  <c r="K178" i="2"/>
  <c r="J178" i="2"/>
  <c r="I178" i="2"/>
  <c r="O177" i="2"/>
  <c r="N177" i="2"/>
  <c r="M177" i="2"/>
  <c r="L177" i="2"/>
  <c r="K177" i="2"/>
  <c r="J177" i="2"/>
  <c r="I177" i="2"/>
  <c r="O176" i="2"/>
  <c r="N176" i="2"/>
  <c r="M176" i="2"/>
  <c r="L176" i="2"/>
  <c r="K176" i="2"/>
  <c r="J176" i="2"/>
  <c r="I176" i="2"/>
  <c r="O175" i="2"/>
  <c r="N175" i="2"/>
  <c r="M175" i="2"/>
  <c r="L175" i="2"/>
  <c r="K175" i="2"/>
  <c r="J175" i="2"/>
  <c r="I175" i="2"/>
  <c r="O174" i="2"/>
  <c r="N174" i="2"/>
  <c r="M174" i="2"/>
  <c r="L174" i="2"/>
  <c r="K174" i="2"/>
  <c r="J174" i="2"/>
  <c r="I174" i="2"/>
  <c r="O173" i="2"/>
  <c r="N173" i="2"/>
  <c r="M173" i="2"/>
  <c r="L173" i="2"/>
  <c r="K173" i="2"/>
  <c r="J173" i="2"/>
  <c r="I173" i="2"/>
  <c r="O172" i="2"/>
  <c r="N172" i="2"/>
  <c r="M172" i="2"/>
  <c r="L172" i="2"/>
  <c r="K172" i="2"/>
  <c r="J172" i="2"/>
  <c r="I172" i="2"/>
  <c r="O171" i="2"/>
  <c r="N171" i="2"/>
  <c r="M171" i="2"/>
  <c r="L171" i="2"/>
  <c r="K171" i="2"/>
  <c r="J171" i="2"/>
  <c r="I171" i="2"/>
  <c r="O170" i="2"/>
  <c r="N170" i="2"/>
  <c r="M170" i="2"/>
  <c r="L170" i="2"/>
  <c r="K170" i="2"/>
  <c r="J170" i="2"/>
  <c r="I170" i="2"/>
  <c r="O169" i="2"/>
  <c r="N169" i="2"/>
  <c r="M169" i="2"/>
  <c r="L169" i="2"/>
  <c r="K169" i="2"/>
  <c r="J169" i="2"/>
  <c r="I169" i="2"/>
  <c r="O168" i="2"/>
  <c r="N168" i="2"/>
  <c r="M168" i="2"/>
  <c r="L168" i="2"/>
  <c r="K168" i="2"/>
  <c r="J168" i="2"/>
  <c r="I168" i="2"/>
  <c r="O167" i="2"/>
  <c r="N167" i="2"/>
  <c r="M167" i="2"/>
  <c r="L167" i="2"/>
  <c r="K167" i="2"/>
  <c r="J167" i="2"/>
  <c r="I167" i="2"/>
  <c r="O166" i="2"/>
  <c r="N166" i="2"/>
  <c r="M166" i="2"/>
  <c r="L166" i="2"/>
  <c r="K166" i="2"/>
  <c r="J166" i="2"/>
  <c r="I166" i="2"/>
  <c r="O165" i="2"/>
  <c r="N165" i="2"/>
  <c r="M165" i="2"/>
  <c r="L165" i="2"/>
  <c r="K165" i="2"/>
  <c r="J165" i="2"/>
  <c r="I165" i="2"/>
  <c r="O164" i="2"/>
  <c r="N164" i="2"/>
  <c r="M164" i="2"/>
  <c r="L164" i="2"/>
  <c r="K164" i="2"/>
  <c r="J164" i="2"/>
  <c r="I164" i="2"/>
  <c r="O163" i="2"/>
  <c r="N163" i="2"/>
  <c r="M163" i="2"/>
  <c r="L163" i="2"/>
  <c r="K163" i="2"/>
  <c r="J163" i="2"/>
  <c r="I163" i="2"/>
  <c r="O162" i="2"/>
  <c r="N162" i="2"/>
  <c r="M162" i="2"/>
  <c r="L162" i="2"/>
  <c r="K162" i="2"/>
  <c r="J162" i="2"/>
  <c r="I162" i="2"/>
  <c r="O161" i="2"/>
  <c r="N161" i="2"/>
  <c r="M161" i="2"/>
  <c r="L161" i="2"/>
  <c r="K161" i="2"/>
  <c r="J161" i="2"/>
  <c r="I161" i="2"/>
  <c r="O160" i="2"/>
  <c r="N160" i="2"/>
  <c r="M160" i="2"/>
  <c r="L160" i="2"/>
  <c r="K160" i="2"/>
  <c r="J160" i="2"/>
  <c r="I160" i="2"/>
  <c r="O159" i="2"/>
  <c r="N159" i="2"/>
  <c r="M159" i="2"/>
  <c r="L159" i="2"/>
  <c r="K159" i="2"/>
  <c r="J159" i="2"/>
  <c r="I159" i="2"/>
  <c r="O158" i="2"/>
  <c r="N158" i="2"/>
  <c r="M158" i="2"/>
  <c r="L158" i="2"/>
  <c r="K158" i="2"/>
  <c r="J158" i="2"/>
  <c r="I158" i="2"/>
  <c r="O157" i="2"/>
  <c r="N157" i="2"/>
  <c r="M157" i="2"/>
  <c r="L157" i="2"/>
  <c r="K157" i="2"/>
  <c r="J157" i="2"/>
  <c r="I157" i="2"/>
  <c r="O156" i="2"/>
  <c r="N156" i="2"/>
  <c r="M156" i="2"/>
  <c r="L156" i="2"/>
  <c r="K156" i="2"/>
  <c r="J156" i="2"/>
  <c r="I156" i="2"/>
  <c r="O155" i="2"/>
  <c r="N155" i="2"/>
  <c r="M155" i="2"/>
  <c r="L155" i="2"/>
  <c r="K155" i="2"/>
  <c r="J155" i="2"/>
  <c r="I155" i="2"/>
  <c r="O154" i="2"/>
  <c r="N154" i="2"/>
  <c r="M154" i="2"/>
  <c r="L154" i="2"/>
  <c r="K154" i="2"/>
  <c r="J154" i="2"/>
  <c r="I154" i="2"/>
  <c r="O153" i="2"/>
  <c r="N153" i="2"/>
  <c r="M153" i="2"/>
  <c r="L153" i="2"/>
  <c r="K153" i="2"/>
  <c r="J153" i="2"/>
  <c r="I153" i="2"/>
  <c r="O152" i="2"/>
  <c r="N152" i="2"/>
  <c r="M152" i="2"/>
  <c r="L152" i="2"/>
  <c r="K152" i="2"/>
  <c r="J152" i="2"/>
  <c r="I152" i="2"/>
  <c r="O151" i="2"/>
  <c r="N151" i="2"/>
  <c r="M151" i="2"/>
  <c r="L151" i="2"/>
  <c r="K151" i="2"/>
  <c r="J151" i="2"/>
  <c r="I151" i="2"/>
  <c r="O150" i="2"/>
  <c r="N150" i="2"/>
  <c r="M150" i="2"/>
  <c r="L150" i="2"/>
  <c r="K150" i="2"/>
  <c r="J150" i="2"/>
  <c r="I150" i="2"/>
  <c r="O149" i="2"/>
  <c r="N149" i="2"/>
  <c r="M149" i="2"/>
  <c r="L149" i="2"/>
  <c r="K149" i="2"/>
  <c r="J149" i="2"/>
  <c r="I149" i="2"/>
  <c r="O148" i="2"/>
  <c r="N148" i="2"/>
  <c r="M148" i="2"/>
  <c r="L148" i="2"/>
  <c r="K148" i="2"/>
  <c r="J148" i="2"/>
  <c r="I148" i="2"/>
  <c r="O147" i="2"/>
  <c r="N147" i="2"/>
  <c r="M147" i="2"/>
  <c r="L147" i="2"/>
  <c r="K147" i="2"/>
  <c r="J147" i="2"/>
  <c r="I147" i="2"/>
  <c r="O146" i="2"/>
  <c r="N146" i="2"/>
  <c r="M146" i="2"/>
  <c r="L146" i="2"/>
  <c r="K146" i="2"/>
  <c r="J146" i="2"/>
  <c r="I146" i="2"/>
  <c r="O145" i="2"/>
  <c r="N145" i="2"/>
  <c r="M145" i="2"/>
  <c r="L145" i="2"/>
  <c r="K145" i="2"/>
  <c r="J145" i="2"/>
  <c r="I145" i="2"/>
  <c r="O144" i="2"/>
  <c r="N144" i="2"/>
  <c r="M144" i="2"/>
  <c r="L144" i="2"/>
  <c r="K144" i="2"/>
  <c r="J144" i="2"/>
  <c r="I144" i="2"/>
  <c r="O143" i="2"/>
  <c r="N143" i="2"/>
  <c r="M143" i="2"/>
  <c r="L143" i="2"/>
  <c r="K143" i="2"/>
  <c r="J143" i="2"/>
  <c r="I143" i="2"/>
  <c r="O142" i="2"/>
  <c r="N142" i="2"/>
  <c r="M142" i="2"/>
  <c r="L142" i="2"/>
  <c r="K142" i="2"/>
  <c r="J142" i="2"/>
  <c r="I142" i="2"/>
  <c r="O141" i="2"/>
  <c r="N141" i="2"/>
  <c r="M141" i="2"/>
  <c r="L141" i="2"/>
  <c r="K141" i="2"/>
  <c r="J141" i="2"/>
  <c r="I141" i="2"/>
  <c r="O140" i="2"/>
  <c r="N140" i="2"/>
  <c r="M140" i="2"/>
  <c r="L140" i="2"/>
  <c r="K140" i="2"/>
  <c r="J140" i="2"/>
  <c r="I140" i="2"/>
  <c r="O139" i="2"/>
  <c r="N139" i="2"/>
  <c r="M139" i="2"/>
  <c r="L139" i="2"/>
  <c r="K139" i="2"/>
  <c r="J139" i="2"/>
  <c r="I139" i="2"/>
  <c r="O138" i="2"/>
  <c r="N138" i="2"/>
  <c r="M138" i="2"/>
  <c r="L138" i="2"/>
  <c r="K138" i="2"/>
  <c r="J138" i="2"/>
  <c r="I138" i="2"/>
  <c r="O137" i="2"/>
  <c r="N137" i="2"/>
  <c r="M137" i="2"/>
  <c r="L137" i="2"/>
  <c r="K137" i="2"/>
  <c r="J137" i="2"/>
  <c r="I137" i="2"/>
  <c r="O136" i="2"/>
  <c r="N136" i="2"/>
  <c r="M136" i="2"/>
  <c r="L136" i="2"/>
  <c r="K136" i="2"/>
  <c r="J136" i="2"/>
  <c r="I136" i="2"/>
  <c r="O135" i="2"/>
  <c r="N135" i="2"/>
  <c r="M135" i="2"/>
  <c r="L135" i="2"/>
  <c r="K135" i="2"/>
  <c r="J135" i="2"/>
  <c r="I135" i="2"/>
  <c r="O134" i="2"/>
  <c r="N134" i="2"/>
  <c r="M134" i="2"/>
  <c r="L134" i="2"/>
  <c r="K134" i="2"/>
  <c r="J134" i="2"/>
  <c r="I134" i="2"/>
  <c r="O133" i="2"/>
  <c r="N133" i="2"/>
  <c r="M133" i="2"/>
  <c r="L133" i="2"/>
  <c r="K133" i="2"/>
  <c r="J133" i="2"/>
  <c r="I133" i="2"/>
  <c r="O132" i="2"/>
  <c r="N132" i="2"/>
  <c r="M132" i="2"/>
  <c r="L132" i="2"/>
  <c r="K132" i="2"/>
  <c r="J132" i="2"/>
  <c r="I132" i="2"/>
  <c r="O131" i="2"/>
  <c r="N131" i="2"/>
  <c r="M131" i="2"/>
  <c r="L131" i="2"/>
  <c r="K131" i="2"/>
  <c r="J131" i="2"/>
  <c r="I131" i="2"/>
  <c r="O130" i="2"/>
  <c r="N130" i="2"/>
  <c r="M130" i="2"/>
  <c r="L130" i="2"/>
  <c r="K130" i="2"/>
  <c r="J130" i="2"/>
  <c r="I130" i="2"/>
  <c r="O129" i="2"/>
  <c r="N129" i="2"/>
  <c r="M129" i="2"/>
  <c r="L129" i="2"/>
  <c r="K129" i="2"/>
  <c r="J129" i="2"/>
  <c r="I129" i="2"/>
  <c r="O128" i="2"/>
  <c r="N128" i="2"/>
  <c r="M128" i="2"/>
  <c r="L128" i="2"/>
  <c r="K128" i="2"/>
  <c r="J128" i="2"/>
  <c r="I128" i="2"/>
  <c r="O127" i="2"/>
  <c r="N127" i="2"/>
  <c r="M127" i="2"/>
  <c r="L127" i="2"/>
  <c r="K127" i="2"/>
  <c r="J127" i="2"/>
  <c r="I127" i="2"/>
  <c r="O126" i="2"/>
  <c r="N126" i="2"/>
  <c r="M126" i="2"/>
  <c r="L126" i="2"/>
  <c r="K126" i="2"/>
  <c r="J126" i="2"/>
  <c r="I126" i="2"/>
  <c r="O125" i="2"/>
  <c r="N125" i="2"/>
  <c r="M125" i="2"/>
  <c r="L125" i="2"/>
  <c r="K125" i="2"/>
  <c r="J125" i="2"/>
  <c r="I125" i="2"/>
  <c r="O124" i="2"/>
  <c r="N124" i="2"/>
  <c r="M124" i="2"/>
  <c r="L124" i="2"/>
  <c r="K124" i="2"/>
  <c r="J124" i="2"/>
  <c r="I124" i="2"/>
  <c r="O123" i="2"/>
  <c r="N123" i="2"/>
  <c r="M123" i="2"/>
  <c r="L123" i="2"/>
  <c r="K123" i="2"/>
  <c r="J123" i="2"/>
  <c r="I123" i="2"/>
  <c r="O122" i="2"/>
  <c r="N122" i="2"/>
  <c r="M122" i="2"/>
  <c r="L122" i="2"/>
  <c r="K122" i="2"/>
  <c r="J122" i="2"/>
  <c r="I122" i="2"/>
  <c r="O121" i="2"/>
  <c r="N121" i="2"/>
  <c r="M121" i="2"/>
  <c r="L121" i="2"/>
  <c r="K121" i="2"/>
  <c r="J121" i="2"/>
  <c r="I121" i="2"/>
  <c r="O120" i="2"/>
  <c r="N120" i="2"/>
  <c r="M120" i="2"/>
  <c r="L120" i="2"/>
  <c r="K120" i="2"/>
  <c r="J120" i="2"/>
  <c r="I120" i="2"/>
  <c r="O119" i="2"/>
  <c r="N119" i="2"/>
  <c r="M119" i="2"/>
  <c r="L119" i="2"/>
  <c r="K119" i="2"/>
  <c r="J119" i="2"/>
  <c r="I119" i="2"/>
  <c r="O118" i="2"/>
  <c r="N118" i="2"/>
  <c r="M118" i="2"/>
  <c r="L118" i="2"/>
  <c r="K118" i="2"/>
  <c r="J118" i="2"/>
  <c r="I118" i="2"/>
  <c r="O117" i="2"/>
  <c r="N117" i="2"/>
  <c r="M117" i="2"/>
  <c r="L117" i="2"/>
  <c r="K117" i="2"/>
  <c r="J117" i="2"/>
  <c r="I117" i="2"/>
  <c r="O116" i="2"/>
  <c r="N116" i="2"/>
  <c r="M116" i="2"/>
  <c r="L116" i="2"/>
  <c r="K116" i="2"/>
  <c r="J116" i="2"/>
  <c r="I116" i="2"/>
  <c r="O115" i="2"/>
  <c r="N115" i="2"/>
  <c r="M115" i="2"/>
  <c r="L115" i="2"/>
  <c r="K115" i="2"/>
  <c r="J115" i="2"/>
  <c r="I115" i="2"/>
  <c r="O114" i="2"/>
  <c r="N114" i="2"/>
  <c r="M114" i="2"/>
  <c r="L114" i="2"/>
  <c r="K114" i="2"/>
  <c r="J114" i="2"/>
  <c r="I114" i="2"/>
  <c r="O113" i="2"/>
  <c r="N113" i="2"/>
  <c r="M113" i="2"/>
  <c r="L113" i="2"/>
  <c r="K113" i="2"/>
  <c r="J113" i="2"/>
  <c r="I113" i="2"/>
  <c r="O112" i="2"/>
  <c r="N112" i="2"/>
  <c r="M112" i="2"/>
  <c r="L112" i="2"/>
  <c r="K112" i="2"/>
  <c r="J112" i="2"/>
  <c r="I112" i="2"/>
  <c r="O111" i="2"/>
  <c r="N111" i="2"/>
  <c r="M111" i="2"/>
  <c r="L111" i="2"/>
  <c r="K111" i="2"/>
  <c r="J111" i="2"/>
  <c r="I111" i="2"/>
  <c r="O110" i="2"/>
  <c r="N110" i="2"/>
  <c r="M110" i="2"/>
  <c r="L110" i="2"/>
  <c r="K110" i="2"/>
  <c r="J110" i="2"/>
  <c r="I110" i="2"/>
  <c r="O109" i="2"/>
  <c r="N109" i="2"/>
  <c r="M109" i="2"/>
  <c r="L109" i="2"/>
  <c r="K109" i="2"/>
  <c r="J109" i="2"/>
  <c r="I109" i="2"/>
  <c r="O108" i="2"/>
  <c r="N108" i="2"/>
  <c r="M108" i="2"/>
  <c r="L108" i="2"/>
  <c r="K108" i="2"/>
  <c r="J108" i="2"/>
  <c r="I108" i="2"/>
  <c r="O107" i="2"/>
  <c r="N107" i="2"/>
  <c r="M107" i="2"/>
  <c r="L107" i="2"/>
  <c r="K107" i="2"/>
  <c r="J107" i="2"/>
  <c r="I107" i="2"/>
  <c r="O106" i="2"/>
  <c r="N106" i="2"/>
  <c r="M106" i="2"/>
  <c r="L106" i="2"/>
  <c r="K106" i="2"/>
  <c r="J106" i="2"/>
  <c r="I106" i="2"/>
  <c r="O105" i="2"/>
  <c r="N105" i="2"/>
  <c r="M105" i="2"/>
  <c r="L105" i="2"/>
  <c r="K105" i="2"/>
  <c r="J105" i="2"/>
  <c r="I105" i="2"/>
  <c r="O104" i="2"/>
  <c r="N104" i="2"/>
  <c r="M104" i="2"/>
  <c r="L104" i="2"/>
  <c r="K104" i="2"/>
  <c r="J104" i="2"/>
  <c r="I104" i="2"/>
  <c r="O103" i="2"/>
  <c r="N103" i="2"/>
  <c r="M103" i="2"/>
  <c r="L103" i="2"/>
  <c r="K103" i="2"/>
  <c r="J103" i="2"/>
  <c r="I103" i="2"/>
  <c r="O102" i="2"/>
  <c r="N102" i="2"/>
  <c r="M102" i="2"/>
  <c r="L102" i="2"/>
  <c r="K102" i="2"/>
  <c r="J102" i="2"/>
  <c r="I102" i="2"/>
  <c r="O101" i="2"/>
  <c r="N101" i="2"/>
  <c r="M101" i="2"/>
  <c r="L101" i="2"/>
  <c r="K101" i="2"/>
  <c r="J101" i="2"/>
  <c r="I101" i="2"/>
  <c r="O100" i="2"/>
  <c r="N100" i="2"/>
  <c r="M100" i="2"/>
  <c r="L100" i="2"/>
  <c r="K100" i="2"/>
  <c r="J100" i="2"/>
  <c r="I100" i="2"/>
  <c r="O99" i="2"/>
  <c r="N99" i="2"/>
  <c r="M99" i="2"/>
  <c r="L99" i="2"/>
  <c r="K99" i="2"/>
  <c r="J99" i="2"/>
  <c r="I99" i="2"/>
  <c r="O98" i="2"/>
  <c r="N98" i="2"/>
  <c r="M98" i="2"/>
  <c r="L98" i="2"/>
  <c r="K98" i="2"/>
  <c r="J98" i="2"/>
  <c r="I98" i="2"/>
  <c r="O97" i="2"/>
  <c r="N97" i="2"/>
  <c r="M97" i="2"/>
  <c r="L97" i="2"/>
  <c r="K97" i="2"/>
  <c r="J97" i="2"/>
  <c r="I97" i="2"/>
  <c r="O96" i="2"/>
  <c r="N96" i="2"/>
  <c r="M96" i="2"/>
  <c r="L96" i="2"/>
  <c r="K96" i="2"/>
  <c r="J96" i="2"/>
  <c r="I96" i="2"/>
  <c r="O95" i="2"/>
  <c r="N95" i="2"/>
  <c r="M95" i="2"/>
  <c r="L95" i="2"/>
  <c r="K95" i="2"/>
  <c r="J95" i="2"/>
  <c r="I95" i="2"/>
  <c r="O94" i="2"/>
  <c r="N94" i="2"/>
  <c r="M94" i="2"/>
  <c r="L94" i="2"/>
  <c r="K94" i="2"/>
  <c r="J94" i="2"/>
  <c r="I94" i="2"/>
  <c r="O93" i="2"/>
  <c r="N93" i="2"/>
  <c r="M93" i="2"/>
  <c r="L93" i="2"/>
  <c r="K93" i="2"/>
  <c r="J93" i="2"/>
  <c r="I93" i="2"/>
  <c r="O92" i="2"/>
  <c r="N92" i="2"/>
  <c r="M92" i="2"/>
  <c r="L92" i="2"/>
  <c r="K92" i="2"/>
  <c r="J92" i="2"/>
  <c r="I92" i="2"/>
  <c r="O91" i="2"/>
  <c r="N91" i="2"/>
  <c r="M91" i="2"/>
  <c r="L91" i="2"/>
  <c r="K91" i="2"/>
  <c r="J91" i="2"/>
  <c r="I91" i="2"/>
  <c r="O90" i="2"/>
  <c r="N90" i="2"/>
  <c r="M90" i="2"/>
  <c r="L90" i="2"/>
  <c r="K90" i="2"/>
  <c r="J90" i="2"/>
  <c r="I90" i="2"/>
  <c r="O89" i="2"/>
  <c r="N89" i="2"/>
  <c r="M89" i="2"/>
  <c r="L89" i="2"/>
  <c r="K89" i="2"/>
  <c r="J89" i="2"/>
  <c r="I89" i="2"/>
  <c r="O88" i="2"/>
  <c r="N88" i="2"/>
  <c r="M88" i="2"/>
  <c r="L88" i="2"/>
  <c r="K88" i="2"/>
  <c r="J88" i="2"/>
  <c r="I88" i="2"/>
  <c r="O87" i="2"/>
  <c r="N87" i="2"/>
  <c r="M87" i="2"/>
  <c r="L87" i="2"/>
  <c r="K87" i="2"/>
  <c r="J87" i="2"/>
  <c r="I87" i="2"/>
  <c r="O86" i="2"/>
  <c r="N86" i="2"/>
  <c r="M86" i="2"/>
  <c r="L86" i="2"/>
  <c r="K86" i="2"/>
  <c r="J86" i="2"/>
  <c r="I86" i="2"/>
  <c r="O85" i="2"/>
  <c r="N85" i="2"/>
  <c r="M85" i="2"/>
  <c r="L85" i="2"/>
  <c r="K85" i="2"/>
  <c r="J85" i="2"/>
  <c r="I85" i="2"/>
  <c r="O84" i="2"/>
  <c r="N84" i="2"/>
  <c r="M84" i="2"/>
  <c r="L84" i="2"/>
  <c r="K84" i="2"/>
  <c r="J84" i="2"/>
  <c r="I84" i="2"/>
  <c r="O83" i="2"/>
  <c r="N83" i="2"/>
  <c r="M83" i="2"/>
  <c r="L83" i="2"/>
  <c r="K83" i="2"/>
  <c r="J83" i="2"/>
  <c r="I83" i="2"/>
  <c r="O82" i="2"/>
  <c r="N82" i="2"/>
  <c r="M82" i="2"/>
  <c r="L82" i="2"/>
  <c r="K82" i="2"/>
  <c r="J82" i="2"/>
  <c r="I82" i="2"/>
  <c r="O81" i="2"/>
  <c r="N81" i="2"/>
  <c r="M81" i="2"/>
  <c r="L81" i="2"/>
  <c r="K81" i="2"/>
  <c r="J81" i="2"/>
  <c r="I81" i="2"/>
  <c r="O80" i="2"/>
  <c r="N80" i="2"/>
  <c r="M80" i="2"/>
  <c r="L80" i="2"/>
  <c r="K80" i="2"/>
  <c r="J80" i="2"/>
  <c r="I80" i="2"/>
  <c r="O79" i="2"/>
  <c r="N79" i="2"/>
  <c r="M79" i="2"/>
  <c r="L79" i="2"/>
  <c r="K79" i="2"/>
  <c r="J79" i="2"/>
  <c r="I79" i="2"/>
  <c r="O78" i="2"/>
  <c r="N78" i="2"/>
  <c r="M78" i="2"/>
  <c r="L78" i="2"/>
  <c r="K78" i="2"/>
  <c r="J78" i="2"/>
  <c r="I78" i="2"/>
  <c r="O77" i="2"/>
  <c r="N77" i="2"/>
  <c r="M77" i="2"/>
  <c r="L77" i="2"/>
  <c r="K77" i="2"/>
  <c r="J77" i="2"/>
  <c r="I77" i="2"/>
  <c r="O76" i="2"/>
  <c r="N76" i="2"/>
  <c r="M76" i="2"/>
  <c r="L76" i="2"/>
  <c r="K76" i="2"/>
  <c r="J76" i="2"/>
  <c r="I76" i="2"/>
  <c r="O75" i="2"/>
  <c r="N75" i="2"/>
  <c r="M75" i="2"/>
  <c r="L75" i="2"/>
  <c r="K75" i="2"/>
  <c r="J75" i="2"/>
  <c r="I75" i="2"/>
  <c r="O74" i="2"/>
  <c r="N74" i="2"/>
  <c r="M74" i="2"/>
  <c r="L74" i="2"/>
  <c r="K74" i="2"/>
  <c r="J74" i="2"/>
  <c r="I74" i="2"/>
  <c r="O73" i="2"/>
  <c r="N73" i="2"/>
  <c r="M73" i="2"/>
  <c r="L73" i="2"/>
  <c r="K73" i="2"/>
  <c r="J73" i="2"/>
  <c r="I73" i="2"/>
  <c r="O72" i="2"/>
  <c r="N72" i="2"/>
  <c r="M72" i="2"/>
  <c r="L72" i="2"/>
  <c r="K72" i="2"/>
  <c r="J72" i="2"/>
  <c r="I72" i="2"/>
  <c r="O71" i="2"/>
  <c r="N71" i="2"/>
  <c r="M71" i="2"/>
  <c r="L71" i="2"/>
  <c r="K71" i="2"/>
  <c r="J71" i="2"/>
  <c r="I71" i="2"/>
  <c r="O70" i="2"/>
  <c r="N70" i="2"/>
  <c r="M70" i="2"/>
  <c r="L70" i="2"/>
  <c r="K70" i="2"/>
  <c r="J70" i="2"/>
  <c r="I70" i="2"/>
  <c r="O69" i="2"/>
  <c r="N69" i="2"/>
  <c r="M69" i="2"/>
  <c r="L69" i="2"/>
  <c r="K69" i="2"/>
  <c r="J69" i="2"/>
  <c r="I69" i="2"/>
  <c r="O68" i="2"/>
  <c r="N68" i="2"/>
  <c r="M68" i="2"/>
  <c r="L68" i="2"/>
  <c r="K68" i="2"/>
  <c r="J68" i="2"/>
  <c r="I68" i="2"/>
  <c r="O67" i="2"/>
  <c r="N67" i="2"/>
  <c r="M67" i="2"/>
  <c r="L67" i="2"/>
  <c r="K67" i="2"/>
  <c r="J67" i="2"/>
  <c r="I67" i="2"/>
  <c r="O66" i="2"/>
  <c r="N66" i="2"/>
  <c r="M66" i="2"/>
  <c r="L66" i="2"/>
  <c r="K66" i="2"/>
  <c r="J66" i="2"/>
  <c r="I66" i="2"/>
  <c r="O65" i="2"/>
  <c r="N65" i="2"/>
  <c r="M65" i="2"/>
  <c r="L65" i="2"/>
  <c r="K65" i="2"/>
  <c r="J65" i="2"/>
  <c r="I65" i="2"/>
  <c r="O64" i="2"/>
  <c r="N64" i="2"/>
  <c r="M64" i="2"/>
  <c r="L64" i="2"/>
  <c r="K64" i="2"/>
  <c r="J64" i="2"/>
  <c r="I64" i="2"/>
  <c r="O63" i="2"/>
  <c r="N63" i="2"/>
  <c r="M63" i="2"/>
  <c r="L63" i="2"/>
  <c r="K63" i="2"/>
  <c r="J63" i="2"/>
  <c r="I63" i="2"/>
  <c r="O62" i="2"/>
  <c r="N62" i="2"/>
  <c r="M62" i="2"/>
  <c r="L62" i="2"/>
  <c r="K62" i="2"/>
  <c r="J62" i="2"/>
  <c r="I62" i="2"/>
  <c r="O61" i="2"/>
  <c r="N61" i="2"/>
  <c r="M61" i="2"/>
  <c r="L61" i="2"/>
  <c r="K61" i="2"/>
  <c r="J61" i="2"/>
  <c r="I61" i="2"/>
  <c r="O60" i="2"/>
  <c r="N60" i="2"/>
  <c r="M60" i="2"/>
  <c r="L60" i="2"/>
  <c r="K60" i="2"/>
  <c r="J60" i="2"/>
  <c r="I60" i="2"/>
  <c r="O59" i="2"/>
  <c r="N59" i="2"/>
  <c r="M59" i="2"/>
  <c r="L59" i="2"/>
  <c r="K59" i="2"/>
  <c r="J59" i="2"/>
  <c r="I59" i="2"/>
  <c r="O58" i="2"/>
  <c r="N58" i="2"/>
  <c r="M58" i="2"/>
  <c r="L58" i="2"/>
  <c r="K58" i="2"/>
  <c r="J58" i="2"/>
  <c r="I58" i="2"/>
  <c r="O57" i="2"/>
  <c r="N57" i="2"/>
  <c r="M57" i="2"/>
  <c r="L57" i="2"/>
  <c r="K57" i="2"/>
  <c r="J57" i="2"/>
  <c r="I57" i="2"/>
  <c r="O56" i="2"/>
  <c r="N56" i="2"/>
  <c r="M56" i="2"/>
  <c r="L56" i="2"/>
  <c r="K56" i="2"/>
  <c r="J56" i="2"/>
  <c r="I56" i="2"/>
  <c r="O55" i="2"/>
  <c r="N55" i="2"/>
  <c r="M55" i="2"/>
  <c r="L55" i="2"/>
  <c r="K55" i="2"/>
  <c r="J55" i="2"/>
  <c r="I55" i="2"/>
  <c r="O54" i="2"/>
  <c r="N54" i="2"/>
  <c r="M54" i="2"/>
  <c r="L54" i="2"/>
  <c r="K54" i="2"/>
  <c r="J54" i="2"/>
  <c r="I54" i="2"/>
  <c r="O53" i="2"/>
  <c r="N53" i="2"/>
  <c r="M53" i="2"/>
  <c r="L53" i="2"/>
  <c r="K53" i="2"/>
  <c r="J53" i="2"/>
  <c r="I53" i="2"/>
  <c r="O52" i="2"/>
  <c r="N52" i="2"/>
  <c r="M52" i="2"/>
  <c r="L52" i="2"/>
  <c r="K52" i="2"/>
  <c r="J52" i="2"/>
  <c r="I52" i="2"/>
  <c r="O51" i="2"/>
  <c r="N51" i="2"/>
  <c r="M51" i="2"/>
  <c r="L51" i="2"/>
  <c r="K51" i="2"/>
  <c r="J51" i="2"/>
  <c r="I51" i="2"/>
  <c r="O50" i="2"/>
  <c r="N50" i="2"/>
  <c r="M50" i="2"/>
  <c r="L50" i="2"/>
  <c r="K50" i="2"/>
  <c r="J50" i="2"/>
  <c r="I50" i="2"/>
  <c r="O49" i="2"/>
  <c r="N49" i="2"/>
  <c r="M49" i="2"/>
  <c r="L49" i="2"/>
  <c r="K49" i="2"/>
  <c r="J49" i="2"/>
  <c r="I49" i="2"/>
  <c r="O48" i="2"/>
  <c r="N48" i="2"/>
  <c r="M48" i="2"/>
  <c r="L48" i="2"/>
  <c r="K48" i="2"/>
  <c r="J48" i="2"/>
  <c r="I48" i="2"/>
  <c r="O47" i="2"/>
  <c r="N47" i="2"/>
  <c r="M47" i="2"/>
  <c r="L47" i="2"/>
  <c r="K47" i="2"/>
  <c r="J47" i="2"/>
  <c r="I47" i="2"/>
  <c r="O46" i="2"/>
  <c r="N46" i="2"/>
  <c r="M46" i="2"/>
  <c r="L46" i="2"/>
  <c r="K46" i="2"/>
  <c r="J46" i="2"/>
  <c r="I46" i="2"/>
  <c r="O45" i="2"/>
  <c r="N45" i="2"/>
  <c r="M45" i="2"/>
  <c r="L45" i="2"/>
  <c r="K45" i="2"/>
  <c r="J45" i="2"/>
  <c r="I45" i="2"/>
  <c r="O44" i="2"/>
  <c r="N44" i="2"/>
  <c r="M44" i="2"/>
  <c r="L44" i="2"/>
  <c r="K44" i="2"/>
  <c r="J44" i="2"/>
  <c r="I44" i="2"/>
  <c r="O43" i="2"/>
  <c r="N43" i="2"/>
  <c r="M43" i="2"/>
  <c r="L43" i="2"/>
  <c r="K43" i="2"/>
  <c r="J43" i="2"/>
  <c r="I43" i="2"/>
  <c r="O42" i="2"/>
  <c r="N42" i="2"/>
  <c r="M42" i="2"/>
  <c r="L42" i="2"/>
  <c r="K42" i="2"/>
  <c r="J42" i="2"/>
  <c r="I42" i="2"/>
  <c r="O41" i="2"/>
  <c r="N41" i="2"/>
  <c r="M41" i="2"/>
  <c r="L41" i="2"/>
  <c r="K41" i="2"/>
  <c r="J41" i="2"/>
  <c r="I41" i="2"/>
  <c r="O40" i="2"/>
  <c r="N40" i="2"/>
  <c r="M40" i="2"/>
  <c r="L40" i="2"/>
  <c r="K40" i="2"/>
  <c r="J40" i="2"/>
  <c r="I40" i="2"/>
  <c r="O39" i="2"/>
  <c r="N39" i="2"/>
  <c r="M39" i="2"/>
  <c r="L39" i="2"/>
  <c r="K39" i="2"/>
  <c r="J39" i="2"/>
  <c r="I39" i="2"/>
  <c r="O38" i="2"/>
  <c r="N38" i="2"/>
  <c r="M38" i="2"/>
  <c r="L38" i="2"/>
  <c r="K38" i="2"/>
  <c r="J38" i="2"/>
  <c r="I38" i="2"/>
  <c r="O37" i="2"/>
  <c r="N37" i="2"/>
  <c r="M37" i="2"/>
  <c r="L37" i="2"/>
  <c r="K37" i="2"/>
  <c r="J37" i="2"/>
  <c r="I37" i="2"/>
  <c r="O36" i="2"/>
  <c r="N36" i="2"/>
  <c r="M36" i="2"/>
  <c r="L36" i="2"/>
  <c r="K36" i="2"/>
  <c r="J36" i="2"/>
  <c r="I36" i="2"/>
  <c r="O35" i="2"/>
  <c r="N35" i="2"/>
  <c r="M35" i="2"/>
  <c r="L35" i="2"/>
  <c r="K35" i="2"/>
  <c r="J35" i="2"/>
  <c r="I35" i="2"/>
  <c r="O34" i="2"/>
  <c r="N34" i="2"/>
  <c r="M34" i="2"/>
  <c r="L34" i="2"/>
  <c r="K34" i="2"/>
  <c r="J34" i="2"/>
  <c r="I34" i="2"/>
  <c r="O33" i="2"/>
  <c r="N33" i="2"/>
  <c r="M33" i="2"/>
  <c r="L33" i="2"/>
  <c r="K33" i="2"/>
  <c r="J33" i="2"/>
  <c r="I33" i="2"/>
  <c r="O32" i="2"/>
  <c r="N32" i="2"/>
  <c r="M32" i="2"/>
  <c r="L32" i="2"/>
  <c r="K32" i="2"/>
  <c r="J32" i="2"/>
  <c r="I32" i="2"/>
  <c r="O31" i="2"/>
  <c r="N31" i="2"/>
  <c r="M31" i="2"/>
  <c r="L31" i="2"/>
  <c r="K31" i="2"/>
  <c r="J31" i="2"/>
  <c r="I31" i="2"/>
  <c r="O30" i="2"/>
  <c r="N30" i="2"/>
  <c r="M30" i="2"/>
  <c r="L30" i="2"/>
  <c r="K30" i="2"/>
  <c r="J30" i="2"/>
  <c r="I30" i="2"/>
  <c r="O29" i="2"/>
  <c r="N29" i="2"/>
  <c r="M29" i="2"/>
  <c r="L29" i="2"/>
  <c r="K29" i="2"/>
  <c r="J29" i="2"/>
  <c r="I29" i="2"/>
  <c r="O28" i="2"/>
  <c r="N28" i="2"/>
  <c r="M28" i="2"/>
  <c r="L28" i="2"/>
  <c r="K28" i="2"/>
  <c r="J28" i="2"/>
  <c r="I28" i="2"/>
  <c r="O27" i="2"/>
  <c r="N27" i="2"/>
  <c r="M27" i="2"/>
  <c r="L27" i="2"/>
  <c r="K27" i="2"/>
  <c r="J27" i="2"/>
  <c r="I27" i="2"/>
  <c r="O26" i="2"/>
  <c r="N26" i="2"/>
  <c r="M26" i="2"/>
  <c r="L26" i="2"/>
  <c r="K26" i="2"/>
  <c r="J26" i="2"/>
  <c r="I26" i="2"/>
  <c r="O25" i="2"/>
  <c r="N25" i="2"/>
  <c r="M25" i="2"/>
  <c r="L25" i="2"/>
  <c r="K25" i="2"/>
  <c r="J25" i="2"/>
  <c r="I25" i="2"/>
  <c r="O24" i="2"/>
  <c r="N24" i="2"/>
  <c r="M24" i="2"/>
  <c r="L24" i="2"/>
  <c r="K24" i="2"/>
  <c r="J24" i="2"/>
  <c r="I24" i="2"/>
  <c r="O23" i="2"/>
  <c r="N23" i="2"/>
  <c r="M23" i="2"/>
  <c r="L23" i="2"/>
  <c r="K23" i="2"/>
  <c r="J23" i="2"/>
  <c r="I23" i="2"/>
  <c r="O22" i="2"/>
  <c r="N22" i="2"/>
  <c r="M22" i="2"/>
  <c r="L22" i="2"/>
  <c r="K22" i="2"/>
  <c r="J22" i="2"/>
  <c r="I22" i="2"/>
  <c r="O21" i="2"/>
  <c r="N21" i="2"/>
  <c r="M21" i="2"/>
  <c r="L21" i="2"/>
  <c r="K21" i="2"/>
  <c r="J21" i="2"/>
  <c r="I21" i="2"/>
  <c r="O20" i="2"/>
  <c r="N20" i="2"/>
  <c r="M20" i="2"/>
  <c r="L20" i="2"/>
  <c r="K20" i="2"/>
  <c r="J20" i="2"/>
  <c r="I20" i="2"/>
  <c r="AH19" i="2"/>
  <c r="AG19" i="2"/>
  <c r="AF19" i="2"/>
  <c r="AE19" i="2"/>
  <c r="AD19" i="2"/>
  <c r="AC19" i="2"/>
  <c r="O19" i="2"/>
  <c r="N19" i="2"/>
  <c r="M19" i="2"/>
  <c r="L19" i="2"/>
  <c r="K19" i="2"/>
  <c r="J19" i="2"/>
  <c r="I19" i="2"/>
  <c r="AG18" i="2"/>
  <c r="AF18" i="2"/>
  <c r="AE18" i="2"/>
  <c r="AD18" i="2"/>
  <c r="AC18" i="2"/>
  <c r="O18" i="2"/>
  <c r="N18" i="2"/>
  <c r="M18" i="2"/>
  <c r="L18" i="2"/>
  <c r="K18" i="2"/>
  <c r="J18" i="2"/>
  <c r="I18" i="2"/>
  <c r="AF17" i="2"/>
  <c r="AE17" i="2"/>
  <c r="AD17" i="2"/>
  <c r="AC17" i="2"/>
  <c r="O17" i="2"/>
  <c r="N17" i="2"/>
  <c r="M17" i="2"/>
  <c r="L17" i="2"/>
  <c r="K17" i="2"/>
  <c r="J17" i="2"/>
  <c r="I17" i="2"/>
  <c r="AE16" i="2"/>
  <c r="AD16" i="2"/>
  <c r="AC16" i="2"/>
  <c r="O16" i="2"/>
  <c r="N16" i="2"/>
  <c r="M16" i="2"/>
  <c r="L16" i="2"/>
  <c r="K16" i="2"/>
  <c r="J16" i="2"/>
  <c r="I16" i="2"/>
  <c r="AD15" i="2"/>
  <c r="AC15" i="2"/>
  <c r="O15" i="2"/>
  <c r="N15" i="2"/>
  <c r="M15" i="2"/>
  <c r="L15" i="2"/>
  <c r="K15" i="2"/>
  <c r="J15" i="2"/>
  <c r="I15" i="2"/>
  <c r="AC14" i="2"/>
  <c r="O14" i="2"/>
  <c r="N14" i="2"/>
  <c r="M14" i="2"/>
  <c r="L14" i="2"/>
  <c r="K14" i="2"/>
  <c r="J14" i="2"/>
  <c r="I14" i="2"/>
  <c r="O13" i="2"/>
  <c r="N13" i="2"/>
  <c r="M13" i="2"/>
  <c r="L13" i="2"/>
  <c r="K13" i="2"/>
  <c r="J13" i="2"/>
  <c r="I13" i="2"/>
  <c r="O12" i="2"/>
  <c r="N12" i="2"/>
  <c r="M12" i="2"/>
  <c r="L12" i="2"/>
  <c r="K12" i="2"/>
  <c r="J12" i="2"/>
  <c r="I12" i="2"/>
  <c r="O11" i="2"/>
  <c r="N11" i="2"/>
  <c r="M11" i="2"/>
  <c r="L11" i="2"/>
  <c r="K11" i="2"/>
  <c r="J11" i="2"/>
  <c r="I11" i="2"/>
  <c r="O10" i="2"/>
  <c r="N10" i="2"/>
  <c r="M10" i="2"/>
  <c r="L10" i="2"/>
  <c r="K10" i="2"/>
  <c r="J10" i="2"/>
  <c r="I10" i="2"/>
  <c r="O9" i="2"/>
  <c r="N9" i="2"/>
  <c r="M9" i="2"/>
  <c r="L9" i="2"/>
  <c r="K9" i="2"/>
  <c r="J9" i="2"/>
  <c r="I9" i="2"/>
  <c r="AS8" i="2"/>
  <c r="AI8" i="2"/>
  <c r="AI18" i="2" s="1"/>
  <c r="O8" i="2"/>
  <c r="N8" i="2"/>
  <c r="M8" i="2"/>
  <c r="L8" i="2"/>
  <c r="K8" i="2"/>
  <c r="J8" i="2"/>
  <c r="I8" i="2"/>
  <c r="AR7" i="2" a="1"/>
  <c r="AS7" i="2" s="1"/>
  <c r="AH7" i="2" a="1"/>
  <c r="AI7" i="2" s="1"/>
  <c r="AI17" i="2" s="1"/>
  <c r="O7" i="2"/>
  <c r="N7" i="2"/>
  <c r="M7" i="2"/>
  <c r="L7" i="2"/>
  <c r="K7" i="2"/>
  <c r="J7" i="2"/>
  <c r="I7" i="2"/>
  <c r="AQ6" i="2" a="1"/>
  <c r="AR6" i="2" s="1"/>
  <c r="AG6" i="2" a="1"/>
  <c r="AI6" i="2" s="1"/>
  <c r="AI16" i="2" s="1"/>
  <c r="O6" i="2"/>
  <c r="N6" i="2"/>
  <c r="M6" i="2"/>
  <c r="L6" i="2"/>
  <c r="K6" i="2"/>
  <c r="J6" i="2"/>
  <c r="I6" i="2"/>
  <c r="S3" i="2" s="1"/>
  <c r="S4" i="2" s="1"/>
  <c r="AS5" i="2"/>
  <c r="AR5" i="2"/>
  <c r="AP5" i="2"/>
  <c r="AP5" i="2" a="1"/>
  <c r="AQ5" i="2" s="1"/>
  <c r="AF5" i="2" a="1"/>
  <c r="AI5" i="2" s="1"/>
  <c r="AI15" i="2" s="1"/>
  <c r="O5" i="2"/>
  <c r="N5" i="2"/>
  <c r="M5" i="2"/>
  <c r="L5" i="2"/>
  <c r="AF6" i="2" s="1"/>
  <c r="AF16" i="2" s="1"/>
  <c r="K5" i="2"/>
  <c r="J5" i="2"/>
  <c r="I5" i="2"/>
  <c r="AO4" i="2" a="1"/>
  <c r="AS4" i="2" s="1"/>
  <c r="AI4" i="2"/>
  <c r="AI14" i="2" s="1"/>
  <c r="AH4" i="2"/>
  <c r="AH14" i="2" s="1"/>
  <c r="AG4" i="2"/>
  <c r="AG14" i="2" s="1"/>
  <c r="AE4" i="2" a="1"/>
  <c r="AF4" i="2" s="1"/>
  <c r="AF14" i="2" s="1"/>
  <c r="O4" i="2"/>
  <c r="N4" i="2"/>
  <c r="M4" i="2"/>
  <c r="L4" i="2"/>
  <c r="K4" i="2"/>
  <c r="J4" i="2"/>
  <c r="I4" i="2"/>
  <c r="S5" i="2" s="1"/>
  <c r="S6" i="2" s="1"/>
  <c r="AN3" i="2" a="1"/>
  <c r="AR3" i="2" s="1"/>
  <c r="AD3" i="2" a="1"/>
  <c r="AE3" i="2" s="1"/>
  <c r="AE13" i="2" s="1"/>
  <c r="AS8" i="1"/>
  <c r="AR7" i="1" a="1"/>
  <c r="AR7" i="1" s="1"/>
  <c r="AQ6" i="1" a="1"/>
  <c r="AQ6" i="1" s="1"/>
  <c r="AP5" i="1" a="1"/>
  <c r="AP5" i="1" s="1"/>
  <c r="AO4" i="1" a="1"/>
  <c r="AO4" i="1" s="1"/>
  <c r="AN3" i="1" a="1"/>
  <c r="AN3" i="1" s="1"/>
  <c r="AC14" i="1"/>
  <c r="AD14" i="1"/>
  <c r="AE14" i="1"/>
  <c r="AF14" i="1"/>
  <c r="AG14" i="1"/>
  <c r="AH14" i="1"/>
  <c r="AI14" i="1"/>
  <c r="AC15" i="1"/>
  <c r="AD15" i="1"/>
  <c r="AE15" i="1"/>
  <c r="AF15" i="1"/>
  <c r="AG15" i="1"/>
  <c r="AH15" i="1"/>
  <c r="AI15" i="1"/>
  <c r="AC16" i="1"/>
  <c r="AD16" i="1"/>
  <c r="AE16" i="1"/>
  <c r="AF16" i="1"/>
  <c r="AG16" i="1"/>
  <c r="AH16" i="1"/>
  <c r="AI16" i="1"/>
  <c r="AC17" i="1"/>
  <c r="AD17" i="1"/>
  <c r="AE17" i="1"/>
  <c r="AF17" i="1"/>
  <c r="AG17" i="1"/>
  <c r="AH17" i="1"/>
  <c r="AI17" i="1"/>
  <c r="AC18" i="1"/>
  <c r="AD18" i="1"/>
  <c r="AE18" i="1"/>
  <c r="AF18" i="1"/>
  <c r="AG18" i="1"/>
  <c r="AH18" i="1"/>
  <c r="AI18" i="1"/>
  <c r="AC19" i="1"/>
  <c r="AD19" i="1"/>
  <c r="AE19" i="1"/>
  <c r="AF19" i="1"/>
  <c r="AG19" i="1"/>
  <c r="AH19" i="1"/>
  <c r="AI19" i="1"/>
  <c r="AD13" i="1"/>
  <c r="AE13" i="1"/>
  <c r="AF13" i="1"/>
  <c r="AG13" i="1"/>
  <c r="AH13" i="1"/>
  <c r="AI13" i="1"/>
  <c r="AC13" i="1"/>
  <c r="AI8" i="1"/>
  <c r="AH7" i="1" a="1"/>
  <c r="AH7" i="1" s="1"/>
  <c r="AG6" i="1" a="1"/>
  <c r="AG6" i="1" s="1"/>
  <c r="AF5" i="1" a="1"/>
  <c r="AF5" i="1" s="1"/>
  <c r="AE4" i="1" a="1"/>
  <c r="AI4" i="1" s="1"/>
  <c r="AD3" i="1" a="1"/>
  <c r="AF3" i="1" s="1"/>
  <c r="AI9" i="1"/>
  <c r="AH8" i="1"/>
  <c r="AG7" i="1"/>
  <c r="AF6" i="1"/>
  <c r="AE5" i="1"/>
  <c r="AD4" i="1"/>
  <c r="AC3" i="1"/>
  <c r="V5" i="5" l="1"/>
  <c r="V6" i="5" s="1"/>
  <c r="AO4" i="5"/>
  <c r="W5" i="5"/>
  <c r="W6" i="5" s="1"/>
  <c r="AO3" i="5"/>
  <c r="AF5" i="5"/>
  <c r="AF15" i="5" s="1"/>
  <c r="AP3" i="5"/>
  <c r="AG5" i="5"/>
  <c r="AG15" i="5" s="1"/>
  <c r="AQ3" i="5"/>
  <c r="AH5" i="5"/>
  <c r="AH15" i="5" s="1"/>
  <c r="AN3" i="5"/>
  <c r="AD4" i="5"/>
  <c r="AD14" i="5" s="1"/>
  <c r="AE5" i="5"/>
  <c r="AE15" i="5" s="1"/>
  <c r="AI9" i="5"/>
  <c r="AI19" i="5" s="1"/>
  <c r="W3" i="5"/>
  <c r="W4" i="5" s="1"/>
  <c r="AR3" i="5"/>
  <c r="X3" i="5"/>
  <c r="X4" i="5" s="1"/>
  <c r="AQ6" i="5"/>
  <c r="AR6" i="5"/>
  <c r="S3" i="5"/>
  <c r="S4" i="5" s="1"/>
  <c r="AC3" i="5"/>
  <c r="AC13" i="5" s="1"/>
  <c r="AC60" i="2"/>
  <c r="W3" i="2"/>
  <c r="W4" i="2" s="1"/>
  <c r="AS6" i="2"/>
  <c r="AH8" i="2"/>
  <c r="AH18" i="2" s="1"/>
  <c r="Y3" i="2"/>
  <c r="Y4" i="2" s="1"/>
  <c r="T5" i="2"/>
  <c r="T6" i="2" s="1"/>
  <c r="AC3" i="2"/>
  <c r="AC13" i="2" s="1"/>
  <c r="AC69" i="2" s="1" a="1"/>
  <c r="AC69" i="2" s="1"/>
  <c r="AC70" i="2" s="1"/>
  <c r="V3" i="2"/>
  <c r="V4" i="2" s="1"/>
  <c r="AD4" i="2"/>
  <c r="AD14" i="2" s="1"/>
  <c r="U3" i="2"/>
  <c r="U4" i="2" s="1"/>
  <c r="AE4" i="2"/>
  <c r="AE14" i="2" s="1"/>
  <c r="AG7" i="2"/>
  <c r="AG17" i="2" s="1"/>
  <c r="AD3" i="2"/>
  <c r="AD13" i="2" s="1"/>
  <c r="U5" i="2"/>
  <c r="U6" i="2" s="1"/>
  <c r="AG6" i="2"/>
  <c r="AG16" i="2" s="1"/>
  <c r="AH7" i="2"/>
  <c r="AH17" i="2" s="1"/>
  <c r="V5" i="2"/>
  <c r="V6" i="2" s="1"/>
  <c r="AH6" i="2"/>
  <c r="AH16" i="2" s="1"/>
  <c r="AF3" i="2"/>
  <c r="AF13" i="2" s="1"/>
  <c r="W5" i="2"/>
  <c r="W6" i="2" s="1"/>
  <c r="X5" i="2"/>
  <c r="X6" i="2" s="1"/>
  <c r="AR7" i="2"/>
  <c r="AG3" i="2"/>
  <c r="AG13" i="2" s="1"/>
  <c r="AO4" i="2"/>
  <c r="AH3" i="2"/>
  <c r="AH13" i="2" s="1"/>
  <c r="AP4" i="2"/>
  <c r="AI3" i="2"/>
  <c r="AI13" i="2" s="1"/>
  <c r="AQ4" i="2"/>
  <c r="Y5" i="2"/>
  <c r="Y6" i="2" s="1"/>
  <c r="AQ6" i="2"/>
  <c r="AE5" i="2"/>
  <c r="AE15" i="2" s="1"/>
  <c r="AI9" i="2"/>
  <c r="AI19" i="2" s="1"/>
  <c r="AR4" i="2"/>
  <c r="T3" i="2"/>
  <c r="T4" i="2" s="1"/>
  <c r="AC37" i="2" s="1"/>
  <c r="AO3" i="2"/>
  <c r="AF5" i="2"/>
  <c r="AF15" i="2" s="1"/>
  <c r="AP3" i="2"/>
  <c r="AG5" i="2"/>
  <c r="AG15" i="2" s="1"/>
  <c r="AQ3" i="2"/>
  <c r="AH5" i="2"/>
  <c r="AH15" i="2" s="1"/>
  <c r="X3" i="2"/>
  <c r="X4" i="2" s="1"/>
  <c r="AS3" i="2"/>
  <c r="AN3" i="2"/>
  <c r="AS7" i="1"/>
  <c r="AS6" i="1"/>
  <c r="AR6" i="1"/>
  <c r="AS5" i="1"/>
  <c r="AR5" i="1"/>
  <c r="AQ5" i="1"/>
  <c r="AS4" i="1"/>
  <c r="AQ4" i="1"/>
  <c r="AP4" i="1"/>
  <c r="AR4" i="1"/>
  <c r="AS3" i="1"/>
  <c r="AR3" i="1"/>
  <c r="AQ3" i="1"/>
  <c r="AO3" i="1"/>
  <c r="AP3" i="1"/>
  <c r="AI7" i="1"/>
  <c r="AI6" i="1"/>
  <c r="AH6" i="1"/>
  <c r="AI5" i="1"/>
  <c r="AH5" i="1"/>
  <c r="AG5" i="1"/>
  <c r="AH4" i="1"/>
  <c r="AG4" i="1"/>
  <c r="AF4" i="1"/>
  <c r="AE4" i="1"/>
  <c r="AE3" i="1"/>
  <c r="AD3" i="1"/>
  <c r="AI3" i="1"/>
  <c r="AH3" i="1"/>
  <c r="AG3" i="1"/>
  <c r="AC49" i="5" l="1" a="1"/>
  <c r="AC49" i="5" s="1"/>
  <c r="AC50" i="5" s="1"/>
  <c r="AC35" i="5" a="1"/>
  <c r="AC35" i="5" s="1"/>
  <c r="AC36" i="5" s="1"/>
  <c r="AC69" i="5" a="1"/>
  <c r="AC69" i="5" s="1"/>
  <c r="AC70" i="5" s="1"/>
  <c r="AC57" i="5" a="1"/>
  <c r="AC57" i="5" s="1"/>
  <c r="AC58" i="5" s="1"/>
  <c r="AC27" i="5" a="1"/>
  <c r="AC27" i="5" s="1"/>
  <c r="AC28" i="5" s="1"/>
  <c r="AC51" i="5"/>
  <c r="AC71" i="5"/>
  <c r="AC59" i="5"/>
  <c r="AC37" i="5"/>
  <c r="AC29" i="5"/>
  <c r="AC30" i="5" s="1"/>
  <c r="AC71" i="2"/>
  <c r="AC72" i="2" s="1"/>
  <c r="AC29" i="2"/>
  <c r="AC35" i="2" a="1"/>
  <c r="AC35" i="2" s="1"/>
  <c r="AC36" i="2" s="1"/>
  <c r="AC38" i="2" s="1"/>
  <c r="AC27" i="2" a="1"/>
  <c r="AC27" i="2" s="1"/>
  <c r="AC28" i="2" s="1"/>
  <c r="AC38" i="5" l="1"/>
  <c r="AC60" i="5"/>
  <c r="AC72" i="5"/>
  <c r="AC52" i="5"/>
  <c r="AC30" i="2"/>
  <c r="T6" i="1"/>
  <c r="U6" i="1"/>
  <c r="V6" i="1"/>
  <c r="W6" i="1"/>
  <c r="X6" i="1"/>
  <c r="Y6" i="1"/>
  <c r="S6" i="1"/>
  <c r="T5" i="1"/>
  <c r="U5" i="1"/>
  <c r="V5" i="1"/>
  <c r="W5" i="1"/>
  <c r="X5" i="1"/>
  <c r="Y5" i="1"/>
  <c r="S5" i="1"/>
  <c r="T4" i="1"/>
  <c r="U4" i="1"/>
  <c r="V4" i="1"/>
  <c r="W4" i="1"/>
  <c r="X4" i="1"/>
  <c r="Y4" i="1"/>
  <c r="S4" i="1"/>
  <c r="T3" i="1"/>
  <c r="U3" i="1"/>
  <c r="V3" i="1"/>
  <c r="W3" i="1"/>
  <c r="X3" i="1"/>
  <c r="Y3" i="1"/>
  <c r="S3" i="1"/>
  <c r="I5" i="1"/>
  <c r="J5" i="1"/>
  <c r="K5" i="1"/>
  <c r="L5" i="1"/>
  <c r="M5" i="1"/>
  <c r="N5" i="1"/>
  <c r="O5" i="1"/>
  <c r="I6" i="1"/>
  <c r="J6" i="1"/>
  <c r="K6" i="1"/>
  <c r="L6" i="1"/>
  <c r="M6" i="1"/>
  <c r="N6" i="1"/>
  <c r="O6" i="1"/>
  <c r="I7" i="1"/>
  <c r="J7" i="1"/>
  <c r="K7" i="1"/>
  <c r="L7" i="1"/>
  <c r="M7" i="1"/>
  <c r="N7" i="1"/>
  <c r="O7" i="1"/>
  <c r="I8" i="1"/>
  <c r="J8" i="1"/>
  <c r="K8" i="1"/>
  <c r="L8" i="1"/>
  <c r="M8" i="1"/>
  <c r="N8" i="1"/>
  <c r="O8" i="1"/>
  <c r="I9" i="1"/>
  <c r="J9" i="1"/>
  <c r="K9" i="1"/>
  <c r="L9" i="1"/>
  <c r="M9" i="1"/>
  <c r="N9" i="1"/>
  <c r="O9" i="1"/>
  <c r="I10" i="1"/>
  <c r="J10" i="1"/>
  <c r="K10" i="1"/>
  <c r="L10" i="1"/>
  <c r="M10" i="1"/>
  <c r="N10" i="1"/>
  <c r="O10" i="1"/>
  <c r="I11" i="1"/>
  <c r="J11" i="1"/>
  <c r="K11" i="1"/>
  <c r="L11" i="1"/>
  <c r="M11" i="1"/>
  <c r="N11" i="1"/>
  <c r="O11" i="1"/>
  <c r="I12" i="1"/>
  <c r="J12" i="1"/>
  <c r="K12" i="1"/>
  <c r="L12" i="1"/>
  <c r="M12" i="1"/>
  <c r="N12" i="1"/>
  <c r="O12" i="1"/>
  <c r="I13" i="1"/>
  <c r="J13" i="1"/>
  <c r="K13" i="1"/>
  <c r="L13" i="1"/>
  <c r="M13" i="1"/>
  <c r="N13" i="1"/>
  <c r="O13" i="1"/>
  <c r="I14" i="1"/>
  <c r="J14" i="1"/>
  <c r="K14" i="1"/>
  <c r="L14" i="1"/>
  <c r="M14" i="1"/>
  <c r="N14" i="1"/>
  <c r="O14" i="1"/>
  <c r="I15" i="1"/>
  <c r="J15" i="1"/>
  <c r="K15" i="1"/>
  <c r="L15" i="1"/>
  <c r="M15" i="1"/>
  <c r="N15" i="1"/>
  <c r="O15" i="1"/>
  <c r="I16" i="1"/>
  <c r="J16" i="1"/>
  <c r="K16" i="1"/>
  <c r="L16" i="1"/>
  <c r="M16" i="1"/>
  <c r="N16" i="1"/>
  <c r="O16" i="1"/>
  <c r="I17" i="1"/>
  <c r="J17" i="1"/>
  <c r="K17" i="1"/>
  <c r="L17" i="1"/>
  <c r="M17" i="1"/>
  <c r="N17" i="1"/>
  <c r="O17" i="1"/>
  <c r="I18" i="1"/>
  <c r="J18" i="1"/>
  <c r="K18" i="1"/>
  <c r="L18" i="1"/>
  <c r="M18" i="1"/>
  <c r="N18" i="1"/>
  <c r="O18" i="1"/>
  <c r="I19" i="1"/>
  <c r="J19" i="1"/>
  <c r="K19" i="1"/>
  <c r="L19" i="1"/>
  <c r="M19" i="1"/>
  <c r="N19" i="1"/>
  <c r="O19" i="1"/>
  <c r="I20" i="1"/>
  <c r="J20" i="1"/>
  <c r="K20" i="1"/>
  <c r="L20" i="1"/>
  <c r="M20" i="1"/>
  <c r="N20" i="1"/>
  <c r="O20" i="1"/>
  <c r="I21" i="1"/>
  <c r="J21" i="1"/>
  <c r="K21" i="1"/>
  <c r="L21" i="1"/>
  <c r="M21" i="1"/>
  <c r="N21" i="1"/>
  <c r="O21" i="1"/>
  <c r="I22" i="1"/>
  <c r="J22" i="1"/>
  <c r="K22" i="1"/>
  <c r="L22" i="1"/>
  <c r="M22" i="1"/>
  <c r="N22" i="1"/>
  <c r="O22" i="1"/>
  <c r="I23" i="1"/>
  <c r="J23" i="1"/>
  <c r="K23" i="1"/>
  <c r="L23" i="1"/>
  <c r="M23" i="1"/>
  <c r="N23" i="1"/>
  <c r="O23" i="1"/>
  <c r="I24" i="1"/>
  <c r="J24" i="1"/>
  <c r="K24" i="1"/>
  <c r="L24" i="1"/>
  <c r="M24" i="1"/>
  <c r="N24" i="1"/>
  <c r="O24" i="1"/>
  <c r="I25" i="1"/>
  <c r="J25" i="1"/>
  <c r="K25" i="1"/>
  <c r="L25" i="1"/>
  <c r="M25" i="1"/>
  <c r="N25" i="1"/>
  <c r="O25" i="1"/>
  <c r="I26" i="1"/>
  <c r="J26" i="1"/>
  <c r="K26" i="1"/>
  <c r="L26" i="1"/>
  <c r="M26" i="1"/>
  <c r="N26" i="1"/>
  <c r="O26" i="1"/>
  <c r="I27" i="1"/>
  <c r="J27" i="1"/>
  <c r="K27" i="1"/>
  <c r="L27" i="1"/>
  <c r="M27" i="1"/>
  <c r="N27" i="1"/>
  <c r="O27" i="1"/>
  <c r="I28" i="1"/>
  <c r="J28" i="1"/>
  <c r="K28" i="1"/>
  <c r="L28" i="1"/>
  <c r="M28" i="1"/>
  <c r="N28" i="1"/>
  <c r="O28" i="1"/>
  <c r="I29" i="1"/>
  <c r="J29" i="1"/>
  <c r="K29" i="1"/>
  <c r="L29" i="1"/>
  <c r="M29" i="1"/>
  <c r="N29" i="1"/>
  <c r="O29" i="1"/>
  <c r="I30" i="1"/>
  <c r="J30" i="1"/>
  <c r="K30" i="1"/>
  <c r="L30" i="1"/>
  <c r="M30" i="1"/>
  <c r="N30" i="1"/>
  <c r="O30" i="1"/>
  <c r="I31" i="1"/>
  <c r="J31" i="1"/>
  <c r="K31" i="1"/>
  <c r="L31" i="1"/>
  <c r="M31" i="1"/>
  <c r="N31" i="1"/>
  <c r="O31" i="1"/>
  <c r="I32" i="1"/>
  <c r="J32" i="1"/>
  <c r="K32" i="1"/>
  <c r="L32" i="1"/>
  <c r="M32" i="1"/>
  <c r="N32" i="1"/>
  <c r="O32" i="1"/>
  <c r="I33" i="1"/>
  <c r="J33" i="1"/>
  <c r="K33" i="1"/>
  <c r="L33" i="1"/>
  <c r="M33" i="1"/>
  <c r="N33" i="1"/>
  <c r="O33" i="1"/>
  <c r="I34" i="1"/>
  <c r="J34" i="1"/>
  <c r="K34" i="1"/>
  <c r="L34" i="1"/>
  <c r="M34" i="1"/>
  <c r="N34" i="1"/>
  <c r="O34" i="1"/>
  <c r="I35" i="1"/>
  <c r="J35" i="1"/>
  <c r="K35" i="1"/>
  <c r="L35" i="1"/>
  <c r="M35" i="1"/>
  <c r="N35" i="1"/>
  <c r="O35" i="1"/>
  <c r="I36" i="1"/>
  <c r="J36" i="1"/>
  <c r="K36" i="1"/>
  <c r="L36" i="1"/>
  <c r="M36" i="1"/>
  <c r="N36" i="1"/>
  <c r="O36" i="1"/>
  <c r="I37" i="1"/>
  <c r="J37" i="1"/>
  <c r="K37" i="1"/>
  <c r="L37" i="1"/>
  <c r="M37" i="1"/>
  <c r="N37" i="1"/>
  <c r="O37" i="1"/>
  <c r="I38" i="1"/>
  <c r="J38" i="1"/>
  <c r="K38" i="1"/>
  <c r="L38" i="1"/>
  <c r="M38" i="1"/>
  <c r="N38" i="1"/>
  <c r="O38" i="1"/>
  <c r="I39" i="1"/>
  <c r="J39" i="1"/>
  <c r="K39" i="1"/>
  <c r="L39" i="1"/>
  <c r="M39" i="1"/>
  <c r="N39" i="1"/>
  <c r="O39" i="1"/>
  <c r="I40" i="1"/>
  <c r="J40" i="1"/>
  <c r="K40" i="1"/>
  <c r="L40" i="1"/>
  <c r="M40" i="1"/>
  <c r="N40" i="1"/>
  <c r="O40" i="1"/>
  <c r="I41" i="1"/>
  <c r="J41" i="1"/>
  <c r="K41" i="1"/>
  <c r="L41" i="1"/>
  <c r="M41" i="1"/>
  <c r="N41" i="1"/>
  <c r="O41" i="1"/>
  <c r="I42" i="1"/>
  <c r="J42" i="1"/>
  <c r="K42" i="1"/>
  <c r="L42" i="1"/>
  <c r="M42" i="1"/>
  <c r="N42" i="1"/>
  <c r="O42" i="1"/>
  <c r="I43" i="1"/>
  <c r="J43" i="1"/>
  <c r="K43" i="1"/>
  <c r="L43" i="1"/>
  <c r="M43" i="1"/>
  <c r="N43" i="1"/>
  <c r="O43" i="1"/>
  <c r="I44" i="1"/>
  <c r="J44" i="1"/>
  <c r="K44" i="1"/>
  <c r="L44" i="1"/>
  <c r="M44" i="1"/>
  <c r="N44" i="1"/>
  <c r="O44" i="1"/>
  <c r="I45" i="1"/>
  <c r="J45" i="1"/>
  <c r="K45" i="1"/>
  <c r="L45" i="1"/>
  <c r="M45" i="1"/>
  <c r="N45" i="1"/>
  <c r="O45" i="1"/>
  <c r="I46" i="1"/>
  <c r="J46" i="1"/>
  <c r="K46" i="1"/>
  <c r="L46" i="1"/>
  <c r="M46" i="1"/>
  <c r="N46" i="1"/>
  <c r="O46" i="1"/>
  <c r="I47" i="1"/>
  <c r="J47" i="1"/>
  <c r="K47" i="1"/>
  <c r="L47" i="1"/>
  <c r="M47" i="1"/>
  <c r="N47" i="1"/>
  <c r="O47" i="1"/>
  <c r="I48" i="1"/>
  <c r="J48" i="1"/>
  <c r="K48" i="1"/>
  <c r="L48" i="1"/>
  <c r="M48" i="1"/>
  <c r="N48" i="1"/>
  <c r="O48" i="1"/>
  <c r="I49" i="1"/>
  <c r="J49" i="1"/>
  <c r="K49" i="1"/>
  <c r="L49" i="1"/>
  <c r="M49" i="1"/>
  <c r="N49" i="1"/>
  <c r="O49" i="1"/>
  <c r="I50" i="1"/>
  <c r="J50" i="1"/>
  <c r="K50" i="1"/>
  <c r="L50" i="1"/>
  <c r="M50" i="1"/>
  <c r="N50" i="1"/>
  <c r="O50" i="1"/>
  <c r="I51" i="1"/>
  <c r="J51" i="1"/>
  <c r="K51" i="1"/>
  <c r="L51" i="1"/>
  <c r="M51" i="1"/>
  <c r="N51" i="1"/>
  <c r="O51" i="1"/>
  <c r="I52" i="1"/>
  <c r="J52" i="1"/>
  <c r="K52" i="1"/>
  <c r="L52" i="1"/>
  <c r="M52" i="1"/>
  <c r="N52" i="1"/>
  <c r="O52" i="1"/>
  <c r="I53" i="1"/>
  <c r="J53" i="1"/>
  <c r="K53" i="1"/>
  <c r="L53" i="1"/>
  <c r="M53" i="1"/>
  <c r="N53" i="1"/>
  <c r="O53" i="1"/>
  <c r="I54" i="1"/>
  <c r="J54" i="1"/>
  <c r="K54" i="1"/>
  <c r="L54" i="1"/>
  <c r="M54" i="1"/>
  <c r="N54" i="1"/>
  <c r="O54" i="1"/>
  <c r="I55" i="1"/>
  <c r="J55" i="1"/>
  <c r="K55" i="1"/>
  <c r="L55" i="1"/>
  <c r="M55" i="1"/>
  <c r="N55" i="1"/>
  <c r="O55" i="1"/>
  <c r="I56" i="1"/>
  <c r="J56" i="1"/>
  <c r="K56" i="1"/>
  <c r="L56" i="1"/>
  <c r="M56" i="1"/>
  <c r="N56" i="1"/>
  <c r="O56" i="1"/>
  <c r="I57" i="1"/>
  <c r="J57" i="1"/>
  <c r="K57" i="1"/>
  <c r="L57" i="1"/>
  <c r="M57" i="1"/>
  <c r="N57" i="1"/>
  <c r="O57" i="1"/>
  <c r="I58" i="1"/>
  <c r="J58" i="1"/>
  <c r="K58" i="1"/>
  <c r="L58" i="1"/>
  <c r="M58" i="1"/>
  <c r="N58" i="1"/>
  <c r="O58" i="1"/>
  <c r="I59" i="1"/>
  <c r="J59" i="1"/>
  <c r="K59" i="1"/>
  <c r="L59" i="1"/>
  <c r="M59" i="1"/>
  <c r="N59" i="1"/>
  <c r="O59" i="1"/>
  <c r="I60" i="1"/>
  <c r="J60" i="1"/>
  <c r="K60" i="1"/>
  <c r="L60" i="1"/>
  <c r="M60" i="1"/>
  <c r="N60" i="1"/>
  <c r="O60" i="1"/>
  <c r="I61" i="1"/>
  <c r="J61" i="1"/>
  <c r="K61" i="1"/>
  <c r="L61" i="1"/>
  <c r="M61" i="1"/>
  <c r="N61" i="1"/>
  <c r="O61" i="1"/>
  <c r="I62" i="1"/>
  <c r="J62" i="1"/>
  <c r="K62" i="1"/>
  <c r="L62" i="1"/>
  <c r="M62" i="1"/>
  <c r="N62" i="1"/>
  <c r="O62" i="1"/>
  <c r="I63" i="1"/>
  <c r="J63" i="1"/>
  <c r="K63" i="1"/>
  <c r="L63" i="1"/>
  <c r="M63" i="1"/>
  <c r="N63" i="1"/>
  <c r="O63" i="1"/>
  <c r="I64" i="1"/>
  <c r="J64" i="1"/>
  <c r="K64" i="1"/>
  <c r="L64" i="1"/>
  <c r="M64" i="1"/>
  <c r="N64" i="1"/>
  <c r="O64" i="1"/>
  <c r="I65" i="1"/>
  <c r="J65" i="1"/>
  <c r="K65" i="1"/>
  <c r="L65" i="1"/>
  <c r="M65" i="1"/>
  <c r="N65" i="1"/>
  <c r="O65" i="1"/>
  <c r="I66" i="1"/>
  <c r="J66" i="1"/>
  <c r="K66" i="1"/>
  <c r="L66" i="1"/>
  <c r="M66" i="1"/>
  <c r="N66" i="1"/>
  <c r="O66" i="1"/>
  <c r="I67" i="1"/>
  <c r="J67" i="1"/>
  <c r="K67" i="1"/>
  <c r="L67" i="1"/>
  <c r="M67" i="1"/>
  <c r="N67" i="1"/>
  <c r="O67" i="1"/>
  <c r="I68" i="1"/>
  <c r="J68" i="1"/>
  <c r="K68" i="1"/>
  <c r="L68" i="1"/>
  <c r="M68" i="1"/>
  <c r="N68" i="1"/>
  <c r="O68" i="1"/>
  <c r="I69" i="1"/>
  <c r="J69" i="1"/>
  <c r="K69" i="1"/>
  <c r="L69" i="1"/>
  <c r="M69" i="1"/>
  <c r="N69" i="1"/>
  <c r="O69" i="1"/>
  <c r="I70" i="1"/>
  <c r="J70" i="1"/>
  <c r="K70" i="1"/>
  <c r="L70" i="1"/>
  <c r="M70" i="1"/>
  <c r="N70" i="1"/>
  <c r="O70" i="1"/>
  <c r="I71" i="1"/>
  <c r="J71" i="1"/>
  <c r="K71" i="1"/>
  <c r="L71" i="1"/>
  <c r="M71" i="1"/>
  <c r="N71" i="1"/>
  <c r="O71" i="1"/>
  <c r="I72" i="1"/>
  <c r="J72" i="1"/>
  <c r="K72" i="1"/>
  <c r="L72" i="1"/>
  <c r="M72" i="1"/>
  <c r="N72" i="1"/>
  <c r="O72" i="1"/>
  <c r="I73" i="1"/>
  <c r="J73" i="1"/>
  <c r="K73" i="1"/>
  <c r="L73" i="1"/>
  <c r="M73" i="1"/>
  <c r="N73" i="1"/>
  <c r="O73" i="1"/>
  <c r="I74" i="1"/>
  <c r="J74" i="1"/>
  <c r="K74" i="1"/>
  <c r="L74" i="1"/>
  <c r="M74" i="1"/>
  <c r="N74" i="1"/>
  <c r="O74" i="1"/>
  <c r="I75" i="1"/>
  <c r="J75" i="1"/>
  <c r="K75" i="1"/>
  <c r="L75" i="1"/>
  <c r="M75" i="1"/>
  <c r="N75" i="1"/>
  <c r="O75" i="1"/>
  <c r="I76" i="1"/>
  <c r="J76" i="1"/>
  <c r="K76" i="1"/>
  <c r="L76" i="1"/>
  <c r="M76" i="1"/>
  <c r="N76" i="1"/>
  <c r="O76" i="1"/>
  <c r="I77" i="1"/>
  <c r="J77" i="1"/>
  <c r="K77" i="1"/>
  <c r="L77" i="1"/>
  <c r="M77" i="1"/>
  <c r="N77" i="1"/>
  <c r="O77" i="1"/>
  <c r="I78" i="1"/>
  <c r="J78" i="1"/>
  <c r="K78" i="1"/>
  <c r="L78" i="1"/>
  <c r="M78" i="1"/>
  <c r="N78" i="1"/>
  <c r="O78" i="1"/>
  <c r="I79" i="1"/>
  <c r="J79" i="1"/>
  <c r="K79" i="1"/>
  <c r="L79" i="1"/>
  <c r="M79" i="1"/>
  <c r="N79" i="1"/>
  <c r="O79" i="1"/>
  <c r="I80" i="1"/>
  <c r="J80" i="1"/>
  <c r="K80" i="1"/>
  <c r="L80" i="1"/>
  <c r="M80" i="1"/>
  <c r="N80" i="1"/>
  <c r="O80" i="1"/>
  <c r="I81" i="1"/>
  <c r="J81" i="1"/>
  <c r="K81" i="1"/>
  <c r="L81" i="1"/>
  <c r="M81" i="1"/>
  <c r="N81" i="1"/>
  <c r="O81" i="1"/>
  <c r="I82" i="1"/>
  <c r="J82" i="1"/>
  <c r="K82" i="1"/>
  <c r="L82" i="1"/>
  <c r="M82" i="1"/>
  <c r="N82" i="1"/>
  <c r="O82" i="1"/>
  <c r="I83" i="1"/>
  <c r="J83" i="1"/>
  <c r="K83" i="1"/>
  <c r="L83" i="1"/>
  <c r="M83" i="1"/>
  <c r="N83" i="1"/>
  <c r="O83" i="1"/>
  <c r="I84" i="1"/>
  <c r="J84" i="1"/>
  <c r="K84" i="1"/>
  <c r="L84" i="1"/>
  <c r="M84" i="1"/>
  <c r="N84" i="1"/>
  <c r="O84" i="1"/>
  <c r="I85" i="1"/>
  <c r="J85" i="1"/>
  <c r="K85" i="1"/>
  <c r="L85" i="1"/>
  <c r="M85" i="1"/>
  <c r="N85" i="1"/>
  <c r="O85" i="1"/>
  <c r="I86" i="1"/>
  <c r="J86" i="1"/>
  <c r="K86" i="1"/>
  <c r="L86" i="1"/>
  <c r="M86" i="1"/>
  <c r="N86" i="1"/>
  <c r="O86" i="1"/>
  <c r="I87" i="1"/>
  <c r="J87" i="1"/>
  <c r="K87" i="1"/>
  <c r="L87" i="1"/>
  <c r="M87" i="1"/>
  <c r="N87" i="1"/>
  <c r="O87" i="1"/>
  <c r="I88" i="1"/>
  <c r="J88" i="1"/>
  <c r="K88" i="1"/>
  <c r="L88" i="1"/>
  <c r="M88" i="1"/>
  <c r="N88" i="1"/>
  <c r="O88" i="1"/>
  <c r="I89" i="1"/>
  <c r="J89" i="1"/>
  <c r="K89" i="1"/>
  <c r="L89" i="1"/>
  <c r="M89" i="1"/>
  <c r="N89" i="1"/>
  <c r="O89" i="1"/>
  <c r="I90" i="1"/>
  <c r="J90" i="1"/>
  <c r="K90" i="1"/>
  <c r="L90" i="1"/>
  <c r="M90" i="1"/>
  <c r="N90" i="1"/>
  <c r="O90" i="1"/>
  <c r="I91" i="1"/>
  <c r="J91" i="1"/>
  <c r="K91" i="1"/>
  <c r="L91" i="1"/>
  <c r="M91" i="1"/>
  <c r="N91" i="1"/>
  <c r="O91" i="1"/>
  <c r="I92" i="1"/>
  <c r="J92" i="1"/>
  <c r="K92" i="1"/>
  <c r="L92" i="1"/>
  <c r="M92" i="1"/>
  <c r="N92" i="1"/>
  <c r="O92" i="1"/>
  <c r="I93" i="1"/>
  <c r="J93" i="1"/>
  <c r="K93" i="1"/>
  <c r="L93" i="1"/>
  <c r="M93" i="1"/>
  <c r="N93" i="1"/>
  <c r="O93" i="1"/>
  <c r="I94" i="1"/>
  <c r="J94" i="1"/>
  <c r="K94" i="1"/>
  <c r="L94" i="1"/>
  <c r="M94" i="1"/>
  <c r="N94" i="1"/>
  <c r="O94" i="1"/>
  <c r="I95" i="1"/>
  <c r="J95" i="1"/>
  <c r="K95" i="1"/>
  <c r="L95" i="1"/>
  <c r="M95" i="1"/>
  <c r="N95" i="1"/>
  <c r="O95" i="1"/>
  <c r="I96" i="1"/>
  <c r="J96" i="1"/>
  <c r="K96" i="1"/>
  <c r="L96" i="1"/>
  <c r="M96" i="1"/>
  <c r="N96" i="1"/>
  <c r="O96" i="1"/>
  <c r="I97" i="1"/>
  <c r="J97" i="1"/>
  <c r="K97" i="1"/>
  <c r="L97" i="1"/>
  <c r="M97" i="1"/>
  <c r="N97" i="1"/>
  <c r="O97" i="1"/>
  <c r="I98" i="1"/>
  <c r="J98" i="1"/>
  <c r="K98" i="1"/>
  <c r="L98" i="1"/>
  <c r="M98" i="1"/>
  <c r="N98" i="1"/>
  <c r="O98" i="1"/>
  <c r="I99" i="1"/>
  <c r="J99" i="1"/>
  <c r="K99" i="1"/>
  <c r="L99" i="1"/>
  <c r="M99" i="1"/>
  <c r="N99" i="1"/>
  <c r="O99" i="1"/>
  <c r="I100" i="1"/>
  <c r="J100" i="1"/>
  <c r="K100" i="1"/>
  <c r="L100" i="1"/>
  <c r="M100" i="1"/>
  <c r="N100" i="1"/>
  <c r="O100" i="1"/>
  <c r="I101" i="1"/>
  <c r="J101" i="1"/>
  <c r="K101" i="1"/>
  <c r="L101" i="1"/>
  <c r="M101" i="1"/>
  <c r="N101" i="1"/>
  <c r="O101" i="1"/>
  <c r="I102" i="1"/>
  <c r="J102" i="1"/>
  <c r="K102" i="1"/>
  <c r="L102" i="1"/>
  <c r="M102" i="1"/>
  <c r="N102" i="1"/>
  <c r="O102" i="1"/>
  <c r="I103" i="1"/>
  <c r="J103" i="1"/>
  <c r="K103" i="1"/>
  <c r="L103" i="1"/>
  <c r="M103" i="1"/>
  <c r="N103" i="1"/>
  <c r="O103" i="1"/>
  <c r="I104" i="1"/>
  <c r="J104" i="1"/>
  <c r="K104" i="1"/>
  <c r="L104" i="1"/>
  <c r="M104" i="1"/>
  <c r="N104" i="1"/>
  <c r="O104" i="1"/>
  <c r="I105" i="1"/>
  <c r="J105" i="1"/>
  <c r="K105" i="1"/>
  <c r="L105" i="1"/>
  <c r="M105" i="1"/>
  <c r="N105" i="1"/>
  <c r="O105" i="1"/>
  <c r="I106" i="1"/>
  <c r="J106" i="1"/>
  <c r="K106" i="1"/>
  <c r="L106" i="1"/>
  <c r="M106" i="1"/>
  <c r="N106" i="1"/>
  <c r="O106" i="1"/>
  <c r="I107" i="1"/>
  <c r="J107" i="1"/>
  <c r="K107" i="1"/>
  <c r="L107" i="1"/>
  <c r="M107" i="1"/>
  <c r="N107" i="1"/>
  <c r="O107" i="1"/>
  <c r="I108" i="1"/>
  <c r="J108" i="1"/>
  <c r="K108" i="1"/>
  <c r="L108" i="1"/>
  <c r="M108" i="1"/>
  <c r="N108" i="1"/>
  <c r="O108" i="1"/>
  <c r="I109" i="1"/>
  <c r="J109" i="1"/>
  <c r="K109" i="1"/>
  <c r="L109" i="1"/>
  <c r="M109" i="1"/>
  <c r="N109" i="1"/>
  <c r="O109" i="1"/>
  <c r="I110" i="1"/>
  <c r="J110" i="1"/>
  <c r="K110" i="1"/>
  <c r="L110" i="1"/>
  <c r="M110" i="1"/>
  <c r="N110" i="1"/>
  <c r="O110" i="1"/>
  <c r="I111" i="1"/>
  <c r="J111" i="1"/>
  <c r="K111" i="1"/>
  <c r="L111" i="1"/>
  <c r="M111" i="1"/>
  <c r="N111" i="1"/>
  <c r="O111" i="1"/>
  <c r="I112" i="1"/>
  <c r="J112" i="1"/>
  <c r="K112" i="1"/>
  <c r="L112" i="1"/>
  <c r="M112" i="1"/>
  <c r="N112" i="1"/>
  <c r="O112" i="1"/>
  <c r="I113" i="1"/>
  <c r="J113" i="1"/>
  <c r="K113" i="1"/>
  <c r="L113" i="1"/>
  <c r="M113" i="1"/>
  <c r="N113" i="1"/>
  <c r="O113" i="1"/>
  <c r="I114" i="1"/>
  <c r="J114" i="1"/>
  <c r="K114" i="1"/>
  <c r="L114" i="1"/>
  <c r="M114" i="1"/>
  <c r="N114" i="1"/>
  <c r="O114" i="1"/>
  <c r="I115" i="1"/>
  <c r="J115" i="1"/>
  <c r="K115" i="1"/>
  <c r="L115" i="1"/>
  <c r="M115" i="1"/>
  <c r="N115" i="1"/>
  <c r="O115" i="1"/>
  <c r="I116" i="1"/>
  <c r="J116" i="1"/>
  <c r="K116" i="1"/>
  <c r="L116" i="1"/>
  <c r="M116" i="1"/>
  <c r="N116" i="1"/>
  <c r="O116" i="1"/>
  <c r="I117" i="1"/>
  <c r="J117" i="1"/>
  <c r="K117" i="1"/>
  <c r="L117" i="1"/>
  <c r="M117" i="1"/>
  <c r="N117" i="1"/>
  <c r="O117" i="1"/>
  <c r="I118" i="1"/>
  <c r="J118" i="1"/>
  <c r="K118" i="1"/>
  <c r="L118" i="1"/>
  <c r="M118" i="1"/>
  <c r="N118" i="1"/>
  <c r="O118" i="1"/>
  <c r="I119" i="1"/>
  <c r="J119" i="1"/>
  <c r="K119" i="1"/>
  <c r="L119" i="1"/>
  <c r="M119" i="1"/>
  <c r="N119" i="1"/>
  <c r="O119" i="1"/>
  <c r="I120" i="1"/>
  <c r="J120" i="1"/>
  <c r="K120" i="1"/>
  <c r="L120" i="1"/>
  <c r="M120" i="1"/>
  <c r="N120" i="1"/>
  <c r="O120" i="1"/>
  <c r="I121" i="1"/>
  <c r="J121" i="1"/>
  <c r="K121" i="1"/>
  <c r="L121" i="1"/>
  <c r="M121" i="1"/>
  <c r="N121" i="1"/>
  <c r="O121" i="1"/>
  <c r="I122" i="1"/>
  <c r="J122" i="1"/>
  <c r="K122" i="1"/>
  <c r="L122" i="1"/>
  <c r="M122" i="1"/>
  <c r="N122" i="1"/>
  <c r="O122" i="1"/>
  <c r="I123" i="1"/>
  <c r="J123" i="1"/>
  <c r="K123" i="1"/>
  <c r="L123" i="1"/>
  <c r="M123" i="1"/>
  <c r="N123" i="1"/>
  <c r="O123" i="1"/>
  <c r="I124" i="1"/>
  <c r="J124" i="1"/>
  <c r="K124" i="1"/>
  <c r="L124" i="1"/>
  <c r="M124" i="1"/>
  <c r="N124" i="1"/>
  <c r="O124" i="1"/>
  <c r="I125" i="1"/>
  <c r="J125" i="1"/>
  <c r="K125" i="1"/>
  <c r="L125" i="1"/>
  <c r="M125" i="1"/>
  <c r="N125" i="1"/>
  <c r="O125" i="1"/>
  <c r="I126" i="1"/>
  <c r="J126" i="1"/>
  <c r="K126" i="1"/>
  <c r="L126" i="1"/>
  <c r="M126" i="1"/>
  <c r="N126" i="1"/>
  <c r="O126" i="1"/>
  <c r="I127" i="1"/>
  <c r="J127" i="1"/>
  <c r="K127" i="1"/>
  <c r="L127" i="1"/>
  <c r="M127" i="1"/>
  <c r="N127" i="1"/>
  <c r="O127" i="1"/>
  <c r="I128" i="1"/>
  <c r="J128" i="1"/>
  <c r="K128" i="1"/>
  <c r="L128" i="1"/>
  <c r="M128" i="1"/>
  <c r="N128" i="1"/>
  <c r="O128" i="1"/>
  <c r="I129" i="1"/>
  <c r="J129" i="1"/>
  <c r="K129" i="1"/>
  <c r="L129" i="1"/>
  <c r="M129" i="1"/>
  <c r="N129" i="1"/>
  <c r="O129" i="1"/>
  <c r="I130" i="1"/>
  <c r="J130" i="1"/>
  <c r="K130" i="1"/>
  <c r="L130" i="1"/>
  <c r="M130" i="1"/>
  <c r="N130" i="1"/>
  <c r="O130" i="1"/>
  <c r="I131" i="1"/>
  <c r="J131" i="1"/>
  <c r="K131" i="1"/>
  <c r="L131" i="1"/>
  <c r="M131" i="1"/>
  <c r="N131" i="1"/>
  <c r="O131" i="1"/>
  <c r="I132" i="1"/>
  <c r="J132" i="1"/>
  <c r="K132" i="1"/>
  <c r="L132" i="1"/>
  <c r="M132" i="1"/>
  <c r="N132" i="1"/>
  <c r="O132" i="1"/>
  <c r="I133" i="1"/>
  <c r="J133" i="1"/>
  <c r="K133" i="1"/>
  <c r="L133" i="1"/>
  <c r="M133" i="1"/>
  <c r="N133" i="1"/>
  <c r="O133" i="1"/>
  <c r="I134" i="1"/>
  <c r="J134" i="1"/>
  <c r="K134" i="1"/>
  <c r="L134" i="1"/>
  <c r="M134" i="1"/>
  <c r="N134" i="1"/>
  <c r="O134" i="1"/>
  <c r="I135" i="1"/>
  <c r="J135" i="1"/>
  <c r="K135" i="1"/>
  <c r="L135" i="1"/>
  <c r="M135" i="1"/>
  <c r="N135" i="1"/>
  <c r="O135" i="1"/>
  <c r="I136" i="1"/>
  <c r="J136" i="1"/>
  <c r="K136" i="1"/>
  <c r="L136" i="1"/>
  <c r="M136" i="1"/>
  <c r="N136" i="1"/>
  <c r="O136" i="1"/>
  <c r="I137" i="1"/>
  <c r="J137" i="1"/>
  <c r="K137" i="1"/>
  <c r="L137" i="1"/>
  <c r="M137" i="1"/>
  <c r="N137" i="1"/>
  <c r="O137" i="1"/>
  <c r="I138" i="1"/>
  <c r="J138" i="1"/>
  <c r="K138" i="1"/>
  <c r="L138" i="1"/>
  <c r="M138" i="1"/>
  <c r="N138" i="1"/>
  <c r="O138" i="1"/>
  <c r="I139" i="1"/>
  <c r="J139" i="1"/>
  <c r="K139" i="1"/>
  <c r="L139" i="1"/>
  <c r="M139" i="1"/>
  <c r="N139" i="1"/>
  <c r="O139" i="1"/>
  <c r="I140" i="1"/>
  <c r="J140" i="1"/>
  <c r="K140" i="1"/>
  <c r="L140" i="1"/>
  <c r="M140" i="1"/>
  <c r="N140" i="1"/>
  <c r="O140" i="1"/>
  <c r="I141" i="1"/>
  <c r="J141" i="1"/>
  <c r="K141" i="1"/>
  <c r="L141" i="1"/>
  <c r="M141" i="1"/>
  <c r="N141" i="1"/>
  <c r="O141" i="1"/>
  <c r="I142" i="1"/>
  <c r="J142" i="1"/>
  <c r="K142" i="1"/>
  <c r="L142" i="1"/>
  <c r="M142" i="1"/>
  <c r="N142" i="1"/>
  <c r="O142" i="1"/>
  <c r="I143" i="1"/>
  <c r="J143" i="1"/>
  <c r="K143" i="1"/>
  <c r="L143" i="1"/>
  <c r="M143" i="1"/>
  <c r="N143" i="1"/>
  <c r="O143" i="1"/>
  <c r="I144" i="1"/>
  <c r="J144" i="1"/>
  <c r="K144" i="1"/>
  <c r="L144" i="1"/>
  <c r="M144" i="1"/>
  <c r="N144" i="1"/>
  <c r="O144" i="1"/>
  <c r="I145" i="1"/>
  <c r="J145" i="1"/>
  <c r="K145" i="1"/>
  <c r="L145" i="1"/>
  <c r="M145" i="1"/>
  <c r="N145" i="1"/>
  <c r="O145" i="1"/>
  <c r="I146" i="1"/>
  <c r="J146" i="1"/>
  <c r="K146" i="1"/>
  <c r="L146" i="1"/>
  <c r="M146" i="1"/>
  <c r="N146" i="1"/>
  <c r="O146" i="1"/>
  <c r="I147" i="1"/>
  <c r="J147" i="1"/>
  <c r="K147" i="1"/>
  <c r="L147" i="1"/>
  <c r="M147" i="1"/>
  <c r="N147" i="1"/>
  <c r="O147" i="1"/>
  <c r="I148" i="1"/>
  <c r="J148" i="1"/>
  <c r="K148" i="1"/>
  <c r="L148" i="1"/>
  <c r="M148" i="1"/>
  <c r="N148" i="1"/>
  <c r="O148" i="1"/>
  <c r="I149" i="1"/>
  <c r="J149" i="1"/>
  <c r="K149" i="1"/>
  <c r="L149" i="1"/>
  <c r="M149" i="1"/>
  <c r="N149" i="1"/>
  <c r="O149" i="1"/>
  <c r="I150" i="1"/>
  <c r="J150" i="1"/>
  <c r="K150" i="1"/>
  <c r="L150" i="1"/>
  <c r="M150" i="1"/>
  <c r="N150" i="1"/>
  <c r="O150" i="1"/>
  <c r="I151" i="1"/>
  <c r="J151" i="1"/>
  <c r="K151" i="1"/>
  <c r="L151" i="1"/>
  <c r="M151" i="1"/>
  <c r="N151" i="1"/>
  <c r="O151" i="1"/>
  <c r="I152" i="1"/>
  <c r="J152" i="1"/>
  <c r="K152" i="1"/>
  <c r="L152" i="1"/>
  <c r="M152" i="1"/>
  <c r="N152" i="1"/>
  <c r="O152" i="1"/>
  <c r="I153" i="1"/>
  <c r="J153" i="1"/>
  <c r="K153" i="1"/>
  <c r="L153" i="1"/>
  <c r="M153" i="1"/>
  <c r="N153" i="1"/>
  <c r="O153" i="1"/>
  <c r="I154" i="1"/>
  <c r="J154" i="1"/>
  <c r="K154" i="1"/>
  <c r="L154" i="1"/>
  <c r="M154" i="1"/>
  <c r="N154" i="1"/>
  <c r="O154" i="1"/>
  <c r="I155" i="1"/>
  <c r="J155" i="1"/>
  <c r="K155" i="1"/>
  <c r="L155" i="1"/>
  <c r="M155" i="1"/>
  <c r="N155" i="1"/>
  <c r="O155" i="1"/>
  <c r="I156" i="1"/>
  <c r="J156" i="1"/>
  <c r="K156" i="1"/>
  <c r="L156" i="1"/>
  <c r="M156" i="1"/>
  <c r="N156" i="1"/>
  <c r="O156" i="1"/>
  <c r="I157" i="1"/>
  <c r="J157" i="1"/>
  <c r="K157" i="1"/>
  <c r="L157" i="1"/>
  <c r="M157" i="1"/>
  <c r="N157" i="1"/>
  <c r="O157" i="1"/>
  <c r="I158" i="1"/>
  <c r="J158" i="1"/>
  <c r="K158" i="1"/>
  <c r="L158" i="1"/>
  <c r="M158" i="1"/>
  <c r="N158" i="1"/>
  <c r="O158" i="1"/>
  <c r="I159" i="1"/>
  <c r="J159" i="1"/>
  <c r="K159" i="1"/>
  <c r="L159" i="1"/>
  <c r="M159" i="1"/>
  <c r="N159" i="1"/>
  <c r="O159" i="1"/>
  <c r="I160" i="1"/>
  <c r="J160" i="1"/>
  <c r="K160" i="1"/>
  <c r="L160" i="1"/>
  <c r="M160" i="1"/>
  <c r="N160" i="1"/>
  <c r="O160" i="1"/>
  <c r="I161" i="1"/>
  <c r="J161" i="1"/>
  <c r="K161" i="1"/>
  <c r="L161" i="1"/>
  <c r="M161" i="1"/>
  <c r="N161" i="1"/>
  <c r="O161" i="1"/>
  <c r="I162" i="1"/>
  <c r="J162" i="1"/>
  <c r="K162" i="1"/>
  <c r="L162" i="1"/>
  <c r="M162" i="1"/>
  <c r="N162" i="1"/>
  <c r="O162" i="1"/>
  <c r="I163" i="1"/>
  <c r="J163" i="1"/>
  <c r="K163" i="1"/>
  <c r="L163" i="1"/>
  <c r="M163" i="1"/>
  <c r="N163" i="1"/>
  <c r="O163" i="1"/>
  <c r="I164" i="1"/>
  <c r="J164" i="1"/>
  <c r="K164" i="1"/>
  <c r="L164" i="1"/>
  <c r="M164" i="1"/>
  <c r="N164" i="1"/>
  <c r="O164" i="1"/>
  <c r="I165" i="1"/>
  <c r="J165" i="1"/>
  <c r="K165" i="1"/>
  <c r="L165" i="1"/>
  <c r="M165" i="1"/>
  <c r="N165" i="1"/>
  <c r="O165" i="1"/>
  <c r="I166" i="1"/>
  <c r="J166" i="1"/>
  <c r="K166" i="1"/>
  <c r="L166" i="1"/>
  <c r="M166" i="1"/>
  <c r="N166" i="1"/>
  <c r="O166" i="1"/>
  <c r="I167" i="1"/>
  <c r="J167" i="1"/>
  <c r="K167" i="1"/>
  <c r="L167" i="1"/>
  <c r="M167" i="1"/>
  <c r="N167" i="1"/>
  <c r="O167" i="1"/>
  <c r="I168" i="1"/>
  <c r="J168" i="1"/>
  <c r="K168" i="1"/>
  <c r="L168" i="1"/>
  <c r="M168" i="1"/>
  <c r="N168" i="1"/>
  <c r="O168" i="1"/>
  <c r="I169" i="1"/>
  <c r="J169" i="1"/>
  <c r="K169" i="1"/>
  <c r="L169" i="1"/>
  <c r="M169" i="1"/>
  <c r="N169" i="1"/>
  <c r="O169" i="1"/>
  <c r="I170" i="1"/>
  <c r="J170" i="1"/>
  <c r="K170" i="1"/>
  <c r="L170" i="1"/>
  <c r="M170" i="1"/>
  <c r="N170" i="1"/>
  <c r="O170" i="1"/>
  <c r="I171" i="1"/>
  <c r="J171" i="1"/>
  <c r="K171" i="1"/>
  <c r="L171" i="1"/>
  <c r="M171" i="1"/>
  <c r="N171" i="1"/>
  <c r="O171" i="1"/>
  <c r="I172" i="1"/>
  <c r="J172" i="1"/>
  <c r="K172" i="1"/>
  <c r="L172" i="1"/>
  <c r="M172" i="1"/>
  <c r="N172" i="1"/>
  <c r="O172" i="1"/>
  <c r="I173" i="1"/>
  <c r="J173" i="1"/>
  <c r="K173" i="1"/>
  <c r="L173" i="1"/>
  <c r="M173" i="1"/>
  <c r="N173" i="1"/>
  <c r="O173" i="1"/>
  <c r="I174" i="1"/>
  <c r="J174" i="1"/>
  <c r="K174" i="1"/>
  <c r="L174" i="1"/>
  <c r="M174" i="1"/>
  <c r="N174" i="1"/>
  <c r="O174" i="1"/>
  <c r="I175" i="1"/>
  <c r="J175" i="1"/>
  <c r="K175" i="1"/>
  <c r="L175" i="1"/>
  <c r="M175" i="1"/>
  <c r="N175" i="1"/>
  <c r="O175" i="1"/>
  <c r="I176" i="1"/>
  <c r="J176" i="1"/>
  <c r="K176" i="1"/>
  <c r="L176" i="1"/>
  <c r="M176" i="1"/>
  <c r="N176" i="1"/>
  <c r="O176" i="1"/>
  <c r="I177" i="1"/>
  <c r="J177" i="1"/>
  <c r="K177" i="1"/>
  <c r="L177" i="1"/>
  <c r="M177" i="1"/>
  <c r="N177" i="1"/>
  <c r="O177" i="1"/>
  <c r="I178" i="1"/>
  <c r="J178" i="1"/>
  <c r="K178" i="1"/>
  <c r="L178" i="1"/>
  <c r="M178" i="1"/>
  <c r="N178" i="1"/>
  <c r="O178" i="1"/>
  <c r="I179" i="1"/>
  <c r="J179" i="1"/>
  <c r="K179" i="1"/>
  <c r="L179" i="1"/>
  <c r="M179" i="1"/>
  <c r="N179" i="1"/>
  <c r="O179" i="1"/>
  <c r="I180" i="1"/>
  <c r="J180" i="1"/>
  <c r="K180" i="1"/>
  <c r="L180" i="1"/>
  <c r="M180" i="1"/>
  <c r="N180" i="1"/>
  <c r="O180" i="1"/>
  <c r="I181" i="1"/>
  <c r="J181" i="1"/>
  <c r="K181" i="1"/>
  <c r="L181" i="1"/>
  <c r="M181" i="1"/>
  <c r="N181" i="1"/>
  <c r="O181" i="1"/>
  <c r="I182" i="1"/>
  <c r="J182" i="1"/>
  <c r="K182" i="1"/>
  <c r="L182" i="1"/>
  <c r="M182" i="1"/>
  <c r="N182" i="1"/>
  <c r="O182" i="1"/>
  <c r="I183" i="1"/>
  <c r="J183" i="1"/>
  <c r="K183" i="1"/>
  <c r="L183" i="1"/>
  <c r="M183" i="1"/>
  <c r="N183" i="1"/>
  <c r="O183" i="1"/>
  <c r="I184" i="1"/>
  <c r="J184" i="1"/>
  <c r="K184" i="1"/>
  <c r="L184" i="1"/>
  <c r="M184" i="1"/>
  <c r="N184" i="1"/>
  <c r="O184" i="1"/>
  <c r="I185" i="1"/>
  <c r="J185" i="1"/>
  <c r="K185" i="1"/>
  <c r="L185" i="1"/>
  <c r="M185" i="1"/>
  <c r="N185" i="1"/>
  <c r="O185" i="1"/>
  <c r="I186" i="1"/>
  <c r="J186" i="1"/>
  <c r="K186" i="1"/>
  <c r="L186" i="1"/>
  <c r="M186" i="1"/>
  <c r="N186" i="1"/>
  <c r="O186" i="1"/>
  <c r="I187" i="1"/>
  <c r="J187" i="1"/>
  <c r="K187" i="1"/>
  <c r="L187" i="1"/>
  <c r="M187" i="1"/>
  <c r="N187" i="1"/>
  <c r="O187" i="1"/>
  <c r="I188" i="1"/>
  <c r="J188" i="1"/>
  <c r="K188" i="1"/>
  <c r="L188" i="1"/>
  <c r="M188" i="1"/>
  <c r="N188" i="1"/>
  <c r="O188" i="1"/>
  <c r="I189" i="1"/>
  <c r="J189" i="1"/>
  <c r="K189" i="1"/>
  <c r="L189" i="1"/>
  <c r="M189" i="1"/>
  <c r="N189" i="1"/>
  <c r="O189" i="1"/>
  <c r="I190" i="1"/>
  <c r="J190" i="1"/>
  <c r="K190" i="1"/>
  <c r="L190" i="1"/>
  <c r="M190" i="1"/>
  <c r="N190" i="1"/>
  <c r="O190" i="1"/>
  <c r="I191" i="1"/>
  <c r="J191" i="1"/>
  <c r="K191" i="1"/>
  <c r="L191" i="1"/>
  <c r="M191" i="1"/>
  <c r="N191" i="1"/>
  <c r="O191" i="1"/>
  <c r="I192" i="1"/>
  <c r="J192" i="1"/>
  <c r="K192" i="1"/>
  <c r="L192" i="1"/>
  <c r="M192" i="1"/>
  <c r="N192" i="1"/>
  <c r="O192" i="1"/>
  <c r="I193" i="1"/>
  <c r="J193" i="1"/>
  <c r="K193" i="1"/>
  <c r="L193" i="1"/>
  <c r="M193" i="1"/>
  <c r="N193" i="1"/>
  <c r="O193" i="1"/>
  <c r="I194" i="1"/>
  <c r="J194" i="1"/>
  <c r="K194" i="1"/>
  <c r="L194" i="1"/>
  <c r="M194" i="1"/>
  <c r="N194" i="1"/>
  <c r="O194" i="1"/>
  <c r="I195" i="1"/>
  <c r="J195" i="1"/>
  <c r="K195" i="1"/>
  <c r="L195" i="1"/>
  <c r="M195" i="1"/>
  <c r="N195" i="1"/>
  <c r="O195" i="1"/>
  <c r="I196" i="1"/>
  <c r="J196" i="1"/>
  <c r="K196" i="1"/>
  <c r="L196" i="1"/>
  <c r="M196" i="1"/>
  <c r="N196" i="1"/>
  <c r="O196" i="1"/>
  <c r="I197" i="1"/>
  <c r="J197" i="1"/>
  <c r="K197" i="1"/>
  <c r="L197" i="1"/>
  <c r="M197" i="1"/>
  <c r="N197" i="1"/>
  <c r="O197" i="1"/>
  <c r="I198" i="1"/>
  <c r="J198" i="1"/>
  <c r="K198" i="1"/>
  <c r="L198" i="1"/>
  <c r="M198" i="1"/>
  <c r="N198" i="1"/>
  <c r="O198" i="1"/>
  <c r="I199" i="1"/>
  <c r="J199" i="1"/>
  <c r="K199" i="1"/>
  <c r="L199" i="1"/>
  <c r="M199" i="1"/>
  <c r="N199" i="1"/>
  <c r="O199" i="1"/>
  <c r="I200" i="1"/>
  <c r="J200" i="1"/>
  <c r="K200" i="1"/>
  <c r="L200" i="1"/>
  <c r="M200" i="1"/>
  <c r="N200" i="1"/>
  <c r="O200" i="1"/>
  <c r="I201" i="1"/>
  <c r="J201" i="1"/>
  <c r="K201" i="1"/>
  <c r="L201" i="1"/>
  <c r="M201" i="1"/>
  <c r="N201" i="1"/>
  <c r="O201" i="1"/>
  <c r="I202" i="1"/>
  <c r="J202" i="1"/>
  <c r="K202" i="1"/>
  <c r="L202" i="1"/>
  <c r="M202" i="1"/>
  <c r="N202" i="1"/>
  <c r="O202" i="1"/>
  <c r="I203" i="1"/>
  <c r="J203" i="1"/>
  <c r="K203" i="1"/>
  <c r="L203" i="1"/>
  <c r="M203" i="1"/>
  <c r="N203" i="1"/>
  <c r="O203" i="1"/>
  <c r="I204" i="1"/>
  <c r="J204" i="1"/>
  <c r="K204" i="1"/>
  <c r="L204" i="1"/>
  <c r="M204" i="1"/>
  <c r="N204" i="1"/>
  <c r="O204" i="1"/>
  <c r="I205" i="1"/>
  <c r="J205" i="1"/>
  <c r="K205" i="1"/>
  <c r="L205" i="1"/>
  <c r="M205" i="1"/>
  <c r="N205" i="1"/>
  <c r="O205" i="1"/>
  <c r="I206" i="1"/>
  <c r="J206" i="1"/>
  <c r="K206" i="1"/>
  <c r="L206" i="1"/>
  <c r="M206" i="1"/>
  <c r="N206" i="1"/>
  <c r="O206" i="1"/>
  <c r="I207" i="1"/>
  <c r="J207" i="1"/>
  <c r="K207" i="1"/>
  <c r="L207" i="1"/>
  <c r="M207" i="1"/>
  <c r="N207" i="1"/>
  <c r="O207" i="1"/>
  <c r="I208" i="1"/>
  <c r="J208" i="1"/>
  <c r="K208" i="1"/>
  <c r="L208" i="1"/>
  <c r="M208" i="1"/>
  <c r="N208" i="1"/>
  <c r="O208" i="1"/>
  <c r="I209" i="1"/>
  <c r="J209" i="1"/>
  <c r="K209" i="1"/>
  <c r="L209" i="1"/>
  <c r="M209" i="1"/>
  <c r="N209" i="1"/>
  <c r="O209" i="1"/>
  <c r="I210" i="1"/>
  <c r="J210" i="1"/>
  <c r="K210" i="1"/>
  <c r="L210" i="1"/>
  <c r="M210" i="1"/>
  <c r="N210" i="1"/>
  <c r="O210" i="1"/>
  <c r="I211" i="1"/>
  <c r="J211" i="1"/>
  <c r="K211" i="1"/>
  <c r="L211" i="1"/>
  <c r="M211" i="1"/>
  <c r="N211" i="1"/>
  <c r="O211" i="1"/>
  <c r="I212" i="1"/>
  <c r="J212" i="1"/>
  <c r="K212" i="1"/>
  <c r="L212" i="1"/>
  <c r="M212" i="1"/>
  <c r="N212" i="1"/>
  <c r="O212" i="1"/>
  <c r="I213" i="1"/>
  <c r="J213" i="1"/>
  <c r="K213" i="1"/>
  <c r="L213" i="1"/>
  <c r="M213" i="1"/>
  <c r="N213" i="1"/>
  <c r="O213" i="1"/>
  <c r="I214" i="1"/>
  <c r="J214" i="1"/>
  <c r="K214" i="1"/>
  <c r="L214" i="1"/>
  <c r="M214" i="1"/>
  <c r="N214" i="1"/>
  <c r="O214" i="1"/>
  <c r="I215" i="1"/>
  <c r="J215" i="1"/>
  <c r="K215" i="1"/>
  <c r="L215" i="1"/>
  <c r="M215" i="1"/>
  <c r="N215" i="1"/>
  <c r="O215" i="1"/>
  <c r="I216" i="1"/>
  <c r="J216" i="1"/>
  <c r="K216" i="1"/>
  <c r="L216" i="1"/>
  <c r="M216" i="1"/>
  <c r="N216" i="1"/>
  <c r="O216" i="1"/>
  <c r="I217" i="1"/>
  <c r="J217" i="1"/>
  <c r="K217" i="1"/>
  <c r="L217" i="1"/>
  <c r="M217" i="1"/>
  <c r="N217" i="1"/>
  <c r="O217" i="1"/>
  <c r="I218" i="1"/>
  <c r="J218" i="1"/>
  <c r="K218" i="1"/>
  <c r="L218" i="1"/>
  <c r="M218" i="1"/>
  <c r="N218" i="1"/>
  <c r="O218" i="1"/>
  <c r="I219" i="1"/>
  <c r="J219" i="1"/>
  <c r="K219" i="1"/>
  <c r="L219" i="1"/>
  <c r="M219" i="1"/>
  <c r="N219" i="1"/>
  <c r="O219" i="1"/>
  <c r="I220" i="1"/>
  <c r="J220" i="1"/>
  <c r="K220" i="1"/>
  <c r="L220" i="1"/>
  <c r="M220" i="1"/>
  <c r="N220" i="1"/>
  <c r="O220" i="1"/>
  <c r="I221" i="1"/>
  <c r="J221" i="1"/>
  <c r="K221" i="1"/>
  <c r="L221" i="1"/>
  <c r="M221" i="1"/>
  <c r="N221" i="1"/>
  <c r="O221" i="1"/>
  <c r="I222" i="1"/>
  <c r="J222" i="1"/>
  <c r="K222" i="1"/>
  <c r="L222" i="1"/>
  <c r="M222" i="1"/>
  <c r="N222" i="1"/>
  <c r="O222" i="1"/>
  <c r="I223" i="1"/>
  <c r="J223" i="1"/>
  <c r="K223" i="1"/>
  <c r="L223" i="1"/>
  <c r="M223" i="1"/>
  <c r="N223" i="1"/>
  <c r="O223" i="1"/>
  <c r="I224" i="1"/>
  <c r="J224" i="1"/>
  <c r="K224" i="1"/>
  <c r="L224" i="1"/>
  <c r="M224" i="1"/>
  <c r="N224" i="1"/>
  <c r="O224" i="1"/>
  <c r="I225" i="1"/>
  <c r="J225" i="1"/>
  <c r="K225" i="1"/>
  <c r="L225" i="1"/>
  <c r="M225" i="1"/>
  <c r="N225" i="1"/>
  <c r="O225" i="1"/>
  <c r="I226" i="1"/>
  <c r="J226" i="1"/>
  <c r="K226" i="1"/>
  <c r="L226" i="1"/>
  <c r="M226" i="1"/>
  <c r="N226" i="1"/>
  <c r="O226" i="1"/>
  <c r="I227" i="1"/>
  <c r="J227" i="1"/>
  <c r="K227" i="1"/>
  <c r="L227" i="1"/>
  <c r="M227" i="1"/>
  <c r="N227" i="1"/>
  <c r="O227" i="1"/>
  <c r="I228" i="1"/>
  <c r="J228" i="1"/>
  <c r="K228" i="1"/>
  <c r="L228" i="1"/>
  <c r="M228" i="1"/>
  <c r="N228" i="1"/>
  <c r="O228" i="1"/>
  <c r="I229" i="1"/>
  <c r="J229" i="1"/>
  <c r="K229" i="1"/>
  <c r="L229" i="1"/>
  <c r="M229" i="1"/>
  <c r="N229" i="1"/>
  <c r="O229" i="1"/>
  <c r="I230" i="1"/>
  <c r="J230" i="1"/>
  <c r="K230" i="1"/>
  <c r="L230" i="1"/>
  <c r="M230" i="1"/>
  <c r="N230" i="1"/>
  <c r="O230" i="1"/>
  <c r="I231" i="1"/>
  <c r="J231" i="1"/>
  <c r="K231" i="1"/>
  <c r="L231" i="1"/>
  <c r="M231" i="1"/>
  <c r="N231" i="1"/>
  <c r="O231" i="1"/>
  <c r="I232" i="1"/>
  <c r="J232" i="1"/>
  <c r="K232" i="1"/>
  <c r="L232" i="1"/>
  <c r="M232" i="1"/>
  <c r="N232" i="1"/>
  <c r="O232" i="1"/>
  <c r="I233" i="1"/>
  <c r="J233" i="1"/>
  <c r="K233" i="1"/>
  <c r="L233" i="1"/>
  <c r="M233" i="1"/>
  <c r="N233" i="1"/>
  <c r="O233" i="1"/>
  <c r="I234" i="1"/>
  <c r="J234" i="1"/>
  <c r="K234" i="1"/>
  <c r="L234" i="1"/>
  <c r="M234" i="1"/>
  <c r="N234" i="1"/>
  <c r="O234" i="1"/>
  <c r="I235" i="1"/>
  <c r="J235" i="1"/>
  <c r="K235" i="1"/>
  <c r="L235" i="1"/>
  <c r="M235" i="1"/>
  <c r="N235" i="1"/>
  <c r="O235" i="1"/>
  <c r="I236" i="1"/>
  <c r="J236" i="1"/>
  <c r="K236" i="1"/>
  <c r="L236" i="1"/>
  <c r="M236" i="1"/>
  <c r="N236" i="1"/>
  <c r="O236" i="1"/>
  <c r="I237" i="1"/>
  <c r="J237" i="1"/>
  <c r="K237" i="1"/>
  <c r="L237" i="1"/>
  <c r="M237" i="1"/>
  <c r="N237" i="1"/>
  <c r="O237" i="1"/>
  <c r="I238" i="1"/>
  <c r="J238" i="1"/>
  <c r="K238" i="1"/>
  <c r="L238" i="1"/>
  <c r="M238" i="1"/>
  <c r="N238" i="1"/>
  <c r="O238" i="1"/>
  <c r="I239" i="1"/>
  <c r="J239" i="1"/>
  <c r="K239" i="1"/>
  <c r="L239" i="1"/>
  <c r="M239" i="1"/>
  <c r="N239" i="1"/>
  <c r="O239" i="1"/>
  <c r="I240" i="1"/>
  <c r="J240" i="1"/>
  <c r="K240" i="1"/>
  <c r="L240" i="1"/>
  <c r="M240" i="1"/>
  <c r="N240" i="1"/>
  <c r="O240" i="1"/>
  <c r="I241" i="1"/>
  <c r="J241" i="1"/>
  <c r="K241" i="1"/>
  <c r="L241" i="1"/>
  <c r="M241" i="1"/>
  <c r="N241" i="1"/>
  <c r="O241" i="1"/>
  <c r="I242" i="1"/>
  <c r="J242" i="1"/>
  <c r="K242" i="1"/>
  <c r="L242" i="1"/>
  <c r="M242" i="1"/>
  <c r="N242" i="1"/>
  <c r="O242" i="1"/>
  <c r="I243" i="1"/>
  <c r="J243" i="1"/>
  <c r="K243" i="1"/>
  <c r="L243" i="1"/>
  <c r="M243" i="1"/>
  <c r="N243" i="1"/>
  <c r="O243" i="1"/>
  <c r="I244" i="1"/>
  <c r="J244" i="1"/>
  <c r="K244" i="1"/>
  <c r="L244" i="1"/>
  <c r="M244" i="1"/>
  <c r="N244" i="1"/>
  <c r="O244" i="1"/>
  <c r="I245" i="1"/>
  <c r="J245" i="1"/>
  <c r="K245" i="1"/>
  <c r="L245" i="1"/>
  <c r="M245" i="1"/>
  <c r="N245" i="1"/>
  <c r="O245" i="1"/>
  <c r="I246" i="1"/>
  <c r="J246" i="1"/>
  <c r="K246" i="1"/>
  <c r="L246" i="1"/>
  <c r="M246" i="1"/>
  <c r="N246" i="1"/>
  <c r="O246" i="1"/>
  <c r="I247" i="1"/>
  <c r="J247" i="1"/>
  <c r="K247" i="1"/>
  <c r="L247" i="1"/>
  <c r="M247" i="1"/>
  <c r="N247" i="1"/>
  <c r="O247" i="1"/>
  <c r="I248" i="1"/>
  <c r="J248" i="1"/>
  <c r="K248" i="1"/>
  <c r="L248" i="1"/>
  <c r="M248" i="1"/>
  <c r="N248" i="1"/>
  <c r="O248" i="1"/>
  <c r="I249" i="1"/>
  <c r="J249" i="1"/>
  <c r="K249" i="1"/>
  <c r="L249" i="1"/>
  <c r="M249" i="1"/>
  <c r="N249" i="1"/>
  <c r="O249" i="1"/>
  <c r="I250" i="1"/>
  <c r="J250" i="1"/>
  <c r="K250" i="1"/>
  <c r="L250" i="1"/>
  <c r="M250" i="1"/>
  <c r="N250" i="1"/>
  <c r="O250" i="1"/>
  <c r="I251" i="1"/>
  <c r="J251" i="1"/>
  <c r="K251" i="1"/>
  <c r="L251" i="1"/>
  <c r="M251" i="1"/>
  <c r="N251" i="1"/>
  <c r="O251" i="1"/>
  <c r="I252" i="1"/>
  <c r="J252" i="1"/>
  <c r="K252" i="1"/>
  <c r="L252" i="1"/>
  <c r="M252" i="1"/>
  <c r="N252" i="1"/>
  <c r="O252" i="1"/>
  <c r="I253" i="1"/>
  <c r="J253" i="1"/>
  <c r="K253" i="1"/>
  <c r="L253" i="1"/>
  <c r="M253" i="1"/>
  <c r="N253" i="1"/>
  <c r="O253" i="1"/>
  <c r="I254" i="1"/>
  <c r="J254" i="1"/>
  <c r="K254" i="1"/>
  <c r="L254" i="1"/>
  <c r="M254" i="1"/>
  <c r="N254" i="1"/>
  <c r="O254" i="1"/>
  <c r="I255" i="1"/>
  <c r="J255" i="1"/>
  <c r="K255" i="1"/>
  <c r="L255" i="1"/>
  <c r="M255" i="1"/>
  <c r="N255" i="1"/>
  <c r="O255" i="1"/>
  <c r="I256" i="1"/>
  <c r="J256" i="1"/>
  <c r="K256" i="1"/>
  <c r="L256" i="1"/>
  <c r="M256" i="1"/>
  <c r="N256" i="1"/>
  <c r="O256" i="1"/>
  <c r="I257" i="1"/>
  <c r="J257" i="1"/>
  <c r="K257" i="1"/>
  <c r="L257" i="1"/>
  <c r="M257" i="1"/>
  <c r="N257" i="1"/>
  <c r="O257" i="1"/>
  <c r="I258" i="1"/>
  <c r="J258" i="1"/>
  <c r="K258" i="1"/>
  <c r="L258" i="1"/>
  <c r="M258" i="1"/>
  <c r="N258" i="1"/>
  <c r="O258" i="1"/>
  <c r="I259" i="1"/>
  <c r="J259" i="1"/>
  <c r="K259" i="1"/>
  <c r="L259" i="1"/>
  <c r="M259" i="1"/>
  <c r="N259" i="1"/>
  <c r="O259" i="1"/>
  <c r="I260" i="1"/>
  <c r="J260" i="1"/>
  <c r="K260" i="1"/>
  <c r="L260" i="1"/>
  <c r="M260" i="1"/>
  <c r="N260" i="1"/>
  <c r="O260" i="1"/>
  <c r="I261" i="1"/>
  <c r="J261" i="1"/>
  <c r="K261" i="1"/>
  <c r="L261" i="1"/>
  <c r="M261" i="1"/>
  <c r="N261" i="1"/>
  <c r="O261" i="1"/>
  <c r="I262" i="1"/>
  <c r="J262" i="1"/>
  <c r="K262" i="1"/>
  <c r="L262" i="1"/>
  <c r="M262" i="1"/>
  <c r="N262" i="1"/>
  <c r="O262" i="1"/>
  <c r="I263" i="1"/>
  <c r="J263" i="1"/>
  <c r="K263" i="1"/>
  <c r="L263" i="1"/>
  <c r="M263" i="1"/>
  <c r="N263" i="1"/>
  <c r="O263" i="1"/>
  <c r="I264" i="1"/>
  <c r="J264" i="1"/>
  <c r="K264" i="1"/>
  <c r="L264" i="1"/>
  <c r="M264" i="1"/>
  <c r="N264" i="1"/>
  <c r="O264" i="1"/>
  <c r="I265" i="1"/>
  <c r="J265" i="1"/>
  <c r="K265" i="1"/>
  <c r="L265" i="1"/>
  <c r="M265" i="1"/>
  <c r="N265" i="1"/>
  <c r="O265" i="1"/>
  <c r="I266" i="1"/>
  <c r="J266" i="1"/>
  <c r="K266" i="1"/>
  <c r="L266" i="1"/>
  <c r="M266" i="1"/>
  <c r="N266" i="1"/>
  <c r="O266" i="1"/>
  <c r="I267" i="1"/>
  <c r="J267" i="1"/>
  <c r="K267" i="1"/>
  <c r="L267" i="1"/>
  <c r="M267" i="1"/>
  <c r="N267" i="1"/>
  <c r="O267" i="1"/>
  <c r="I268" i="1"/>
  <c r="J268" i="1"/>
  <c r="K268" i="1"/>
  <c r="L268" i="1"/>
  <c r="M268" i="1"/>
  <c r="N268" i="1"/>
  <c r="O268" i="1"/>
  <c r="I269" i="1"/>
  <c r="J269" i="1"/>
  <c r="K269" i="1"/>
  <c r="L269" i="1"/>
  <c r="M269" i="1"/>
  <c r="N269" i="1"/>
  <c r="O269" i="1"/>
  <c r="I270" i="1"/>
  <c r="J270" i="1"/>
  <c r="K270" i="1"/>
  <c r="L270" i="1"/>
  <c r="M270" i="1"/>
  <c r="N270" i="1"/>
  <c r="O270" i="1"/>
  <c r="I271" i="1"/>
  <c r="J271" i="1"/>
  <c r="K271" i="1"/>
  <c r="L271" i="1"/>
  <c r="M271" i="1"/>
  <c r="N271" i="1"/>
  <c r="O271" i="1"/>
  <c r="I272" i="1"/>
  <c r="J272" i="1"/>
  <c r="K272" i="1"/>
  <c r="L272" i="1"/>
  <c r="M272" i="1"/>
  <c r="N272" i="1"/>
  <c r="O272" i="1"/>
  <c r="I273" i="1"/>
  <c r="J273" i="1"/>
  <c r="K273" i="1"/>
  <c r="L273" i="1"/>
  <c r="M273" i="1"/>
  <c r="N273" i="1"/>
  <c r="O273" i="1"/>
  <c r="I274" i="1"/>
  <c r="J274" i="1"/>
  <c r="K274" i="1"/>
  <c r="L274" i="1"/>
  <c r="M274" i="1"/>
  <c r="N274" i="1"/>
  <c r="O274" i="1"/>
  <c r="I275" i="1"/>
  <c r="J275" i="1"/>
  <c r="K275" i="1"/>
  <c r="L275" i="1"/>
  <c r="M275" i="1"/>
  <c r="N275" i="1"/>
  <c r="O275" i="1"/>
  <c r="I276" i="1"/>
  <c r="J276" i="1"/>
  <c r="K276" i="1"/>
  <c r="L276" i="1"/>
  <c r="M276" i="1"/>
  <c r="N276" i="1"/>
  <c r="O276" i="1"/>
  <c r="I277" i="1"/>
  <c r="J277" i="1"/>
  <c r="K277" i="1"/>
  <c r="L277" i="1"/>
  <c r="M277" i="1"/>
  <c r="N277" i="1"/>
  <c r="O277" i="1"/>
  <c r="I278" i="1"/>
  <c r="J278" i="1"/>
  <c r="K278" i="1"/>
  <c r="L278" i="1"/>
  <c r="M278" i="1"/>
  <c r="N278" i="1"/>
  <c r="O278" i="1"/>
  <c r="I279" i="1"/>
  <c r="J279" i="1"/>
  <c r="K279" i="1"/>
  <c r="L279" i="1"/>
  <c r="M279" i="1"/>
  <c r="N279" i="1"/>
  <c r="O279" i="1"/>
  <c r="I280" i="1"/>
  <c r="J280" i="1"/>
  <c r="K280" i="1"/>
  <c r="L280" i="1"/>
  <c r="M280" i="1"/>
  <c r="N280" i="1"/>
  <c r="O280" i="1"/>
  <c r="I281" i="1"/>
  <c r="J281" i="1"/>
  <c r="K281" i="1"/>
  <c r="L281" i="1"/>
  <c r="M281" i="1"/>
  <c r="N281" i="1"/>
  <c r="O281" i="1"/>
  <c r="I282" i="1"/>
  <c r="J282" i="1"/>
  <c r="K282" i="1"/>
  <c r="L282" i="1"/>
  <c r="M282" i="1"/>
  <c r="N282" i="1"/>
  <c r="O282" i="1"/>
  <c r="I283" i="1"/>
  <c r="J283" i="1"/>
  <c r="K283" i="1"/>
  <c r="L283" i="1"/>
  <c r="M283" i="1"/>
  <c r="N283" i="1"/>
  <c r="O283" i="1"/>
  <c r="I284" i="1"/>
  <c r="J284" i="1"/>
  <c r="K284" i="1"/>
  <c r="L284" i="1"/>
  <c r="M284" i="1"/>
  <c r="N284" i="1"/>
  <c r="O284" i="1"/>
  <c r="I285" i="1"/>
  <c r="J285" i="1"/>
  <c r="K285" i="1"/>
  <c r="L285" i="1"/>
  <c r="M285" i="1"/>
  <c r="N285" i="1"/>
  <c r="O285" i="1"/>
  <c r="I286" i="1"/>
  <c r="J286" i="1"/>
  <c r="K286" i="1"/>
  <c r="L286" i="1"/>
  <c r="M286" i="1"/>
  <c r="N286" i="1"/>
  <c r="O286" i="1"/>
  <c r="I287" i="1"/>
  <c r="J287" i="1"/>
  <c r="K287" i="1"/>
  <c r="L287" i="1"/>
  <c r="M287" i="1"/>
  <c r="N287" i="1"/>
  <c r="O287" i="1"/>
  <c r="I288" i="1"/>
  <c r="J288" i="1"/>
  <c r="K288" i="1"/>
  <c r="L288" i="1"/>
  <c r="M288" i="1"/>
  <c r="N288" i="1"/>
  <c r="O288" i="1"/>
  <c r="I289" i="1"/>
  <c r="J289" i="1"/>
  <c r="K289" i="1"/>
  <c r="L289" i="1"/>
  <c r="M289" i="1"/>
  <c r="N289" i="1"/>
  <c r="O289" i="1"/>
  <c r="I290" i="1"/>
  <c r="J290" i="1"/>
  <c r="K290" i="1"/>
  <c r="L290" i="1"/>
  <c r="M290" i="1"/>
  <c r="N290" i="1"/>
  <c r="O290" i="1"/>
  <c r="I291" i="1"/>
  <c r="J291" i="1"/>
  <c r="K291" i="1"/>
  <c r="L291" i="1"/>
  <c r="M291" i="1"/>
  <c r="N291" i="1"/>
  <c r="O291" i="1"/>
  <c r="I292" i="1"/>
  <c r="J292" i="1"/>
  <c r="K292" i="1"/>
  <c r="L292" i="1"/>
  <c r="M292" i="1"/>
  <c r="N292" i="1"/>
  <c r="O292" i="1"/>
  <c r="I293" i="1"/>
  <c r="J293" i="1"/>
  <c r="K293" i="1"/>
  <c r="L293" i="1"/>
  <c r="M293" i="1"/>
  <c r="N293" i="1"/>
  <c r="O293" i="1"/>
  <c r="I294" i="1"/>
  <c r="J294" i="1"/>
  <c r="K294" i="1"/>
  <c r="L294" i="1"/>
  <c r="M294" i="1"/>
  <c r="N294" i="1"/>
  <c r="O294" i="1"/>
  <c r="I295" i="1"/>
  <c r="J295" i="1"/>
  <c r="K295" i="1"/>
  <c r="L295" i="1"/>
  <c r="M295" i="1"/>
  <c r="N295" i="1"/>
  <c r="O295" i="1"/>
  <c r="I296" i="1"/>
  <c r="J296" i="1"/>
  <c r="K296" i="1"/>
  <c r="L296" i="1"/>
  <c r="M296" i="1"/>
  <c r="N296" i="1"/>
  <c r="O296" i="1"/>
  <c r="I297" i="1"/>
  <c r="J297" i="1"/>
  <c r="K297" i="1"/>
  <c r="L297" i="1"/>
  <c r="M297" i="1"/>
  <c r="N297" i="1"/>
  <c r="O297" i="1"/>
  <c r="I298" i="1"/>
  <c r="J298" i="1"/>
  <c r="K298" i="1"/>
  <c r="L298" i="1"/>
  <c r="M298" i="1"/>
  <c r="N298" i="1"/>
  <c r="O298" i="1"/>
  <c r="I299" i="1"/>
  <c r="J299" i="1"/>
  <c r="K299" i="1"/>
  <c r="L299" i="1"/>
  <c r="M299" i="1"/>
  <c r="N299" i="1"/>
  <c r="O299" i="1"/>
  <c r="I300" i="1"/>
  <c r="J300" i="1"/>
  <c r="K300" i="1"/>
  <c r="L300" i="1"/>
  <c r="M300" i="1"/>
  <c r="N300" i="1"/>
  <c r="O300" i="1"/>
  <c r="I301" i="1"/>
  <c r="J301" i="1"/>
  <c r="K301" i="1"/>
  <c r="L301" i="1"/>
  <c r="M301" i="1"/>
  <c r="N301" i="1"/>
  <c r="O301" i="1"/>
  <c r="I302" i="1"/>
  <c r="J302" i="1"/>
  <c r="K302" i="1"/>
  <c r="L302" i="1"/>
  <c r="M302" i="1"/>
  <c r="N302" i="1"/>
  <c r="O302" i="1"/>
  <c r="I303" i="1"/>
  <c r="J303" i="1"/>
  <c r="K303" i="1"/>
  <c r="L303" i="1"/>
  <c r="M303" i="1"/>
  <c r="N303" i="1"/>
  <c r="O303" i="1"/>
  <c r="I304" i="1"/>
  <c r="J304" i="1"/>
  <c r="K304" i="1"/>
  <c r="L304" i="1"/>
  <c r="M304" i="1"/>
  <c r="N304" i="1"/>
  <c r="O304" i="1"/>
  <c r="I305" i="1"/>
  <c r="J305" i="1"/>
  <c r="K305" i="1"/>
  <c r="L305" i="1"/>
  <c r="M305" i="1"/>
  <c r="N305" i="1"/>
  <c r="O305" i="1"/>
  <c r="I306" i="1"/>
  <c r="J306" i="1"/>
  <c r="K306" i="1"/>
  <c r="L306" i="1"/>
  <c r="M306" i="1"/>
  <c r="N306" i="1"/>
  <c r="O306" i="1"/>
  <c r="I307" i="1"/>
  <c r="J307" i="1"/>
  <c r="K307" i="1"/>
  <c r="L307" i="1"/>
  <c r="M307" i="1"/>
  <c r="N307" i="1"/>
  <c r="O307" i="1"/>
  <c r="I308" i="1"/>
  <c r="J308" i="1"/>
  <c r="K308" i="1"/>
  <c r="L308" i="1"/>
  <c r="M308" i="1"/>
  <c r="N308" i="1"/>
  <c r="O308" i="1"/>
  <c r="I309" i="1"/>
  <c r="J309" i="1"/>
  <c r="K309" i="1"/>
  <c r="L309" i="1"/>
  <c r="M309" i="1"/>
  <c r="N309" i="1"/>
  <c r="O309" i="1"/>
  <c r="I310" i="1"/>
  <c r="J310" i="1"/>
  <c r="K310" i="1"/>
  <c r="L310" i="1"/>
  <c r="M310" i="1"/>
  <c r="N310" i="1"/>
  <c r="O310" i="1"/>
  <c r="I311" i="1"/>
  <c r="J311" i="1"/>
  <c r="K311" i="1"/>
  <c r="L311" i="1"/>
  <c r="M311" i="1"/>
  <c r="N311" i="1"/>
  <c r="O311" i="1"/>
  <c r="I312" i="1"/>
  <c r="J312" i="1"/>
  <c r="K312" i="1"/>
  <c r="L312" i="1"/>
  <c r="M312" i="1"/>
  <c r="N312" i="1"/>
  <c r="O312" i="1"/>
  <c r="I313" i="1"/>
  <c r="J313" i="1"/>
  <c r="K313" i="1"/>
  <c r="L313" i="1"/>
  <c r="M313" i="1"/>
  <c r="N313" i="1"/>
  <c r="O313" i="1"/>
  <c r="I314" i="1"/>
  <c r="J314" i="1"/>
  <c r="K314" i="1"/>
  <c r="L314" i="1"/>
  <c r="M314" i="1"/>
  <c r="N314" i="1"/>
  <c r="O314" i="1"/>
  <c r="I315" i="1"/>
  <c r="J315" i="1"/>
  <c r="K315" i="1"/>
  <c r="L315" i="1"/>
  <c r="M315" i="1"/>
  <c r="N315" i="1"/>
  <c r="O315" i="1"/>
  <c r="I316" i="1"/>
  <c r="J316" i="1"/>
  <c r="K316" i="1"/>
  <c r="L316" i="1"/>
  <c r="M316" i="1"/>
  <c r="N316" i="1"/>
  <c r="O316" i="1"/>
  <c r="I317" i="1"/>
  <c r="J317" i="1"/>
  <c r="K317" i="1"/>
  <c r="L317" i="1"/>
  <c r="M317" i="1"/>
  <c r="N317" i="1"/>
  <c r="O317" i="1"/>
  <c r="I318" i="1"/>
  <c r="J318" i="1"/>
  <c r="K318" i="1"/>
  <c r="L318" i="1"/>
  <c r="M318" i="1"/>
  <c r="N318" i="1"/>
  <c r="O318" i="1"/>
  <c r="I319" i="1"/>
  <c r="J319" i="1"/>
  <c r="K319" i="1"/>
  <c r="L319" i="1"/>
  <c r="M319" i="1"/>
  <c r="N319" i="1"/>
  <c r="O319" i="1"/>
  <c r="I320" i="1"/>
  <c r="J320" i="1"/>
  <c r="K320" i="1"/>
  <c r="L320" i="1"/>
  <c r="M320" i="1"/>
  <c r="N320" i="1"/>
  <c r="O320" i="1"/>
  <c r="I321" i="1"/>
  <c r="J321" i="1"/>
  <c r="K321" i="1"/>
  <c r="L321" i="1"/>
  <c r="M321" i="1"/>
  <c r="N321" i="1"/>
  <c r="O321" i="1"/>
  <c r="I322" i="1"/>
  <c r="J322" i="1"/>
  <c r="K322" i="1"/>
  <c r="L322" i="1"/>
  <c r="M322" i="1"/>
  <c r="N322" i="1"/>
  <c r="O322" i="1"/>
  <c r="I323" i="1"/>
  <c r="J323" i="1"/>
  <c r="K323" i="1"/>
  <c r="L323" i="1"/>
  <c r="M323" i="1"/>
  <c r="N323" i="1"/>
  <c r="O323" i="1"/>
  <c r="I324" i="1"/>
  <c r="J324" i="1"/>
  <c r="K324" i="1"/>
  <c r="L324" i="1"/>
  <c r="M324" i="1"/>
  <c r="N324" i="1"/>
  <c r="O324" i="1"/>
  <c r="I325" i="1"/>
  <c r="J325" i="1"/>
  <c r="K325" i="1"/>
  <c r="L325" i="1"/>
  <c r="M325" i="1"/>
  <c r="N325" i="1"/>
  <c r="O325" i="1"/>
  <c r="I326" i="1"/>
  <c r="J326" i="1"/>
  <c r="K326" i="1"/>
  <c r="L326" i="1"/>
  <c r="M326" i="1"/>
  <c r="N326" i="1"/>
  <c r="O326" i="1"/>
  <c r="I327" i="1"/>
  <c r="J327" i="1"/>
  <c r="K327" i="1"/>
  <c r="L327" i="1"/>
  <c r="M327" i="1"/>
  <c r="N327" i="1"/>
  <c r="O327" i="1"/>
  <c r="I328" i="1"/>
  <c r="J328" i="1"/>
  <c r="K328" i="1"/>
  <c r="L328" i="1"/>
  <c r="M328" i="1"/>
  <c r="N328" i="1"/>
  <c r="O328" i="1"/>
  <c r="I329" i="1"/>
  <c r="J329" i="1"/>
  <c r="K329" i="1"/>
  <c r="L329" i="1"/>
  <c r="M329" i="1"/>
  <c r="N329" i="1"/>
  <c r="O329" i="1"/>
  <c r="I330" i="1"/>
  <c r="J330" i="1"/>
  <c r="K330" i="1"/>
  <c r="L330" i="1"/>
  <c r="M330" i="1"/>
  <c r="N330" i="1"/>
  <c r="O330" i="1"/>
  <c r="I331" i="1"/>
  <c r="J331" i="1"/>
  <c r="K331" i="1"/>
  <c r="L331" i="1"/>
  <c r="M331" i="1"/>
  <c r="N331" i="1"/>
  <c r="O331" i="1"/>
  <c r="I332" i="1"/>
  <c r="J332" i="1"/>
  <c r="K332" i="1"/>
  <c r="L332" i="1"/>
  <c r="M332" i="1"/>
  <c r="N332" i="1"/>
  <c r="O332" i="1"/>
  <c r="I333" i="1"/>
  <c r="J333" i="1"/>
  <c r="K333" i="1"/>
  <c r="L333" i="1"/>
  <c r="M333" i="1"/>
  <c r="N333" i="1"/>
  <c r="O333" i="1"/>
  <c r="I334" i="1"/>
  <c r="J334" i="1"/>
  <c r="K334" i="1"/>
  <c r="L334" i="1"/>
  <c r="M334" i="1"/>
  <c r="N334" i="1"/>
  <c r="O334" i="1"/>
  <c r="I335" i="1"/>
  <c r="J335" i="1"/>
  <c r="K335" i="1"/>
  <c r="L335" i="1"/>
  <c r="M335" i="1"/>
  <c r="N335" i="1"/>
  <c r="O335" i="1"/>
  <c r="I336" i="1"/>
  <c r="J336" i="1"/>
  <c r="K336" i="1"/>
  <c r="L336" i="1"/>
  <c r="M336" i="1"/>
  <c r="N336" i="1"/>
  <c r="O336" i="1"/>
  <c r="I337" i="1"/>
  <c r="J337" i="1"/>
  <c r="K337" i="1"/>
  <c r="L337" i="1"/>
  <c r="M337" i="1"/>
  <c r="N337" i="1"/>
  <c r="O337" i="1"/>
  <c r="I338" i="1"/>
  <c r="J338" i="1"/>
  <c r="K338" i="1"/>
  <c r="L338" i="1"/>
  <c r="M338" i="1"/>
  <c r="N338" i="1"/>
  <c r="O338" i="1"/>
  <c r="I339" i="1"/>
  <c r="J339" i="1"/>
  <c r="K339" i="1"/>
  <c r="L339" i="1"/>
  <c r="M339" i="1"/>
  <c r="N339" i="1"/>
  <c r="O339" i="1"/>
  <c r="I340" i="1"/>
  <c r="J340" i="1"/>
  <c r="K340" i="1"/>
  <c r="L340" i="1"/>
  <c r="M340" i="1"/>
  <c r="N340" i="1"/>
  <c r="O340" i="1"/>
  <c r="I341" i="1"/>
  <c r="J341" i="1"/>
  <c r="K341" i="1"/>
  <c r="L341" i="1"/>
  <c r="M341" i="1"/>
  <c r="N341" i="1"/>
  <c r="O341" i="1"/>
  <c r="I342" i="1"/>
  <c r="J342" i="1"/>
  <c r="K342" i="1"/>
  <c r="L342" i="1"/>
  <c r="M342" i="1"/>
  <c r="N342" i="1"/>
  <c r="O342" i="1"/>
  <c r="I343" i="1"/>
  <c r="J343" i="1"/>
  <c r="K343" i="1"/>
  <c r="L343" i="1"/>
  <c r="M343" i="1"/>
  <c r="N343" i="1"/>
  <c r="O343" i="1"/>
  <c r="I344" i="1"/>
  <c r="J344" i="1"/>
  <c r="K344" i="1"/>
  <c r="L344" i="1"/>
  <c r="M344" i="1"/>
  <c r="N344" i="1"/>
  <c r="O344" i="1"/>
  <c r="I345" i="1"/>
  <c r="J345" i="1"/>
  <c r="K345" i="1"/>
  <c r="L345" i="1"/>
  <c r="M345" i="1"/>
  <c r="N345" i="1"/>
  <c r="O345" i="1"/>
  <c r="I346" i="1"/>
  <c r="J346" i="1"/>
  <c r="K346" i="1"/>
  <c r="L346" i="1"/>
  <c r="M346" i="1"/>
  <c r="N346" i="1"/>
  <c r="O346" i="1"/>
  <c r="I347" i="1"/>
  <c r="J347" i="1"/>
  <c r="K347" i="1"/>
  <c r="L347" i="1"/>
  <c r="M347" i="1"/>
  <c r="N347" i="1"/>
  <c r="O347" i="1"/>
  <c r="I348" i="1"/>
  <c r="J348" i="1"/>
  <c r="K348" i="1"/>
  <c r="L348" i="1"/>
  <c r="M348" i="1"/>
  <c r="N348" i="1"/>
  <c r="O348" i="1"/>
  <c r="I349" i="1"/>
  <c r="J349" i="1"/>
  <c r="K349" i="1"/>
  <c r="L349" i="1"/>
  <c r="M349" i="1"/>
  <c r="N349" i="1"/>
  <c r="O349" i="1"/>
  <c r="I350" i="1"/>
  <c r="J350" i="1"/>
  <c r="K350" i="1"/>
  <c r="L350" i="1"/>
  <c r="M350" i="1"/>
  <c r="N350" i="1"/>
  <c r="O350" i="1"/>
  <c r="I351" i="1"/>
  <c r="J351" i="1"/>
  <c r="K351" i="1"/>
  <c r="L351" i="1"/>
  <c r="M351" i="1"/>
  <c r="N351" i="1"/>
  <c r="O351" i="1"/>
  <c r="I352" i="1"/>
  <c r="J352" i="1"/>
  <c r="K352" i="1"/>
  <c r="L352" i="1"/>
  <c r="M352" i="1"/>
  <c r="N352" i="1"/>
  <c r="O352" i="1"/>
  <c r="I353" i="1"/>
  <c r="J353" i="1"/>
  <c r="K353" i="1"/>
  <c r="L353" i="1"/>
  <c r="M353" i="1"/>
  <c r="N353" i="1"/>
  <c r="O353" i="1"/>
  <c r="I354" i="1"/>
  <c r="J354" i="1"/>
  <c r="K354" i="1"/>
  <c r="L354" i="1"/>
  <c r="M354" i="1"/>
  <c r="N354" i="1"/>
  <c r="O354" i="1"/>
  <c r="I355" i="1"/>
  <c r="J355" i="1"/>
  <c r="K355" i="1"/>
  <c r="L355" i="1"/>
  <c r="M355" i="1"/>
  <c r="N355" i="1"/>
  <c r="O355" i="1"/>
  <c r="I356" i="1"/>
  <c r="J356" i="1"/>
  <c r="K356" i="1"/>
  <c r="L356" i="1"/>
  <c r="M356" i="1"/>
  <c r="N356" i="1"/>
  <c r="O356" i="1"/>
  <c r="I357" i="1"/>
  <c r="J357" i="1"/>
  <c r="K357" i="1"/>
  <c r="L357" i="1"/>
  <c r="M357" i="1"/>
  <c r="N357" i="1"/>
  <c r="O357" i="1"/>
  <c r="I358" i="1"/>
  <c r="J358" i="1"/>
  <c r="K358" i="1"/>
  <c r="L358" i="1"/>
  <c r="M358" i="1"/>
  <c r="N358" i="1"/>
  <c r="O358" i="1"/>
  <c r="I359" i="1"/>
  <c r="J359" i="1"/>
  <c r="K359" i="1"/>
  <c r="L359" i="1"/>
  <c r="M359" i="1"/>
  <c r="N359" i="1"/>
  <c r="O359" i="1"/>
  <c r="I360" i="1"/>
  <c r="J360" i="1"/>
  <c r="K360" i="1"/>
  <c r="L360" i="1"/>
  <c r="M360" i="1"/>
  <c r="N360" i="1"/>
  <c r="O360" i="1"/>
  <c r="I361" i="1"/>
  <c r="J361" i="1"/>
  <c r="K361" i="1"/>
  <c r="L361" i="1"/>
  <c r="M361" i="1"/>
  <c r="N361" i="1"/>
  <c r="O361" i="1"/>
  <c r="I362" i="1"/>
  <c r="J362" i="1"/>
  <c r="K362" i="1"/>
  <c r="L362" i="1"/>
  <c r="M362" i="1"/>
  <c r="N362" i="1"/>
  <c r="O362" i="1"/>
  <c r="I363" i="1"/>
  <c r="J363" i="1"/>
  <c r="K363" i="1"/>
  <c r="L363" i="1"/>
  <c r="M363" i="1"/>
  <c r="N363" i="1"/>
  <c r="O363" i="1"/>
  <c r="I364" i="1"/>
  <c r="J364" i="1"/>
  <c r="K364" i="1"/>
  <c r="L364" i="1"/>
  <c r="M364" i="1"/>
  <c r="N364" i="1"/>
  <c r="O364" i="1"/>
  <c r="I365" i="1"/>
  <c r="J365" i="1"/>
  <c r="K365" i="1"/>
  <c r="L365" i="1"/>
  <c r="M365" i="1"/>
  <c r="N365" i="1"/>
  <c r="O365" i="1"/>
  <c r="I366" i="1"/>
  <c r="J366" i="1"/>
  <c r="K366" i="1"/>
  <c r="L366" i="1"/>
  <c r="M366" i="1"/>
  <c r="N366" i="1"/>
  <c r="O366" i="1"/>
  <c r="I367" i="1"/>
  <c r="J367" i="1"/>
  <c r="K367" i="1"/>
  <c r="L367" i="1"/>
  <c r="M367" i="1"/>
  <c r="N367" i="1"/>
  <c r="O367" i="1"/>
  <c r="I368" i="1"/>
  <c r="J368" i="1"/>
  <c r="K368" i="1"/>
  <c r="L368" i="1"/>
  <c r="M368" i="1"/>
  <c r="N368" i="1"/>
  <c r="O368" i="1"/>
  <c r="I369" i="1"/>
  <c r="J369" i="1"/>
  <c r="K369" i="1"/>
  <c r="L369" i="1"/>
  <c r="M369" i="1"/>
  <c r="N369" i="1"/>
  <c r="O369" i="1"/>
  <c r="I370" i="1"/>
  <c r="J370" i="1"/>
  <c r="K370" i="1"/>
  <c r="L370" i="1"/>
  <c r="M370" i="1"/>
  <c r="N370" i="1"/>
  <c r="O370" i="1"/>
  <c r="I371" i="1"/>
  <c r="J371" i="1"/>
  <c r="K371" i="1"/>
  <c r="L371" i="1"/>
  <c r="M371" i="1"/>
  <c r="N371" i="1"/>
  <c r="O371" i="1"/>
  <c r="I372" i="1"/>
  <c r="J372" i="1"/>
  <c r="K372" i="1"/>
  <c r="L372" i="1"/>
  <c r="M372" i="1"/>
  <c r="N372" i="1"/>
  <c r="O372" i="1"/>
  <c r="I373" i="1"/>
  <c r="J373" i="1"/>
  <c r="K373" i="1"/>
  <c r="L373" i="1"/>
  <c r="M373" i="1"/>
  <c r="N373" i="1"/>
  <c r="O373" i="1"/>
  <c r="I374" i="1"/>
  <c r="J374" i="1"/>
  <c r="K374" i="1"/>
  <c r="L374" i="1"/>
  <c r="M374" i="1"/>
  <c r="N374" i="1"/>
  <c r="O374" i="1"/>
  <c r="I375" i="1"/>
  <c r="J375" i="1"/>
  <c r="K375" i="1"/>
  <c r="L375" i="1"/>
  <c r="M375" i="1"/>
  <c r="N375" i="1"/>
  <c r="O375" i="1"/>
  <c r="I376" i="1"/>
  <c r="J376" i="1"/>
  <c r="K376" i="1"/>
  <c r="L376" i="1"/>
  <c r="M376" i="1"/>
  <c r="N376" i="1"/>
  <c r="O376" i="1"/>
  <c r="I377" i="1"/>
  <c r="J377" i="1"/>
  <c r="K377" i="1"/>
  <c r="L377" i="1"/>
  <c r="M377" i="1"/>
  <c r="N377" i="1"/>
  <c r="O377" i="1"/>
  <c r="I378" i="1"/>
  <c r="J378" i="1"/>
  <c r="K378" i="1"/>
  <c r="L378" i="1"/>
  <c r="M378" i="1"/>
  <c r="N378" i="1"/>
  <c r="O378" i="1"/>
  <c r="I379" i="1"/>
  <c r="J379" i="1"/>
  <c r="K379" i="1"/>
  <c r="L379" i="1"/>
  <c r="M379" i="1"/>
  <c r="N379" i="1"/>
  <c r="O379" i="1"/>
  <c r="I380" i="1"/>
  <c r="J380" i="1"/>
  <c r="K380" i="1"/>
  <c r="L380" i="1"/>
  <c r="M380" i="1"/>
  <c r="N380" i="1"/>
  <c r="O380" i="1"/>
  <c r="I381" i="1"/>
  <c r="J381" i="1"/>
  <c r="K381" i="1"/>
  <c r="L381" i="1"/>
  <c r="M381" i="1"/>
  <c r="N381" i="1"/>
  <c r="O381" i="1"/>
  <c r="I382" i="1"/>
  <c r="J382" i="1"/>
  <c r="K382" i="1"/>
  <c r="L382" i="1"/>
  <c r="M382" i="1"/>
  <c r="N382" i="1"/>
  <c r="O382" i="1"/>
  <c r="I383" i="1"/>
  <c r="J383" i="1"/>
  <c r="K383" i="1"/>
  <c r="L383" i="1"/>
  <c r="M383" i="1"/>
  <c r="N383" i="1"/>
  <c r="O383" i="1"/>
  <c r="I384" i="1"/>
  <c r="J384" i="1"/>
  <c r="K384" i="1"/>
  <c r="L384" i="1"/>
  <c r="M384" i="1"/>
  <c r="N384" i="1"/>
  <c r="O384" i="1"/>
  <c r="I385" i="1"/>
  <c r="J385" i="1"/>
  <c r="K385" i="1"/>
  <c r="L385" i="1"/>
  <c r="M385" i="1"/>
  <c r="N385" i="1"/>
  <c r="O385" i="1"/>
  <c r="I386" i="1"/>
  <c r="J386" i="1"/>
  <c r="K386" i="1"/>
  <c r="L386" i="1"/>
  <c r="M386" i="1"/>
  <c r="N386" i="1"/>
  <c r="O386" i="1"/>
  <c r="I387" i="1"/>
  <c r="J387" i="1"/>
  <c r="K387" i="1"/>
  <c r="L387" i="1"/>
  <c r="M387" i="1"/>
  <c r="N387" i="1"/>
  <c r="O387" i="1"/>
  <c r="I388" i="1"/>
  <c r="J388" i="1"/>
  <c r="K388" i="1"/>
  <c r="L388" i="1"/>
  <c r="M388" i="1"/>
  <c r="N388" i="1"/>
  <c r="O388" i="1"/>
  <c r="I389" i="1"/>
  <c r="J389" i="1"/>
  <c r="K389" i="1"/>
  <c r="L389" i="1"/>
  <c r="M389" i="1"/>
  <c r="N389" i="1"/>
  <c r="O389" i="1"/>
  <c r="I390" i="1"/>
  <c r="J390" i="1"/>
  <c r="K390" i="1"/>
  <c r="L390" i="1"/>
  <c r="M390" i="1"/>
  <c r="N390" i="1"/>
  <c r="O390" i="1"/>
  <c r="I391" i="1"/>
  <c r="J391" i="1"/>
  <c r="K391" i="1"/>
  <c r="L391" i="1"/>
  <c r="M391" i="1"/>
  <c r="N391" i="1"/>
  <c r="O391" i="1"/>
  <c r="I392" i="1"/>
  <c r="J392" i="1"/>
  <c r="K392" i="1"/>
  <c r="L392" i="1"/>
  <c r="M392" i="1"/>
  <c r="N392" i="1"/>
  <c r="O392" i="1"/>
  <c r="I393" i="1"/>
  <c r="J393" i="1"/>
  <c r="K393" i="1"/>
  <c r="L393" i="1"/>
  <c r="M393" i="1"/>
  <c r="N393" i="1"/>
  <c r="O393" i="1"/>
  <c r="I394" i="1"/>
  <c r="J394" i="1"/>
  <c r="K394" i="1"/>
  <c r="L394" i="1"/>
  <c r="M394" i="1"/>
  <c r="N394" i="1"/>
  <c r="O394" i="1"/>
  <c r="I395" i="1"/>
  <c r="J395" i="1"/>
  <c r="K395" i="1"/>
  <c r="L395" i="1"/>
  <c r="M395" i="1"/>
  <c r="N395" i="1"/>
  <c r="O395" i="1"/>
  <c r="I396" i="1"/>
  <c r="J396" i="1"/>
  <c r="K396" i="1"/>
  <c r="L396" i="1"/>
  <c r="M396" i="1"/>
  <c r="N396" i="1"/>
  <c r="O396" i="1"/>
  <c r="I397" i="1"/>
  <c r="J397" i="1"/>
  <c r="K397" i="1"/>
  <c r="L397" i="1"/>
  <c r="M397" i="1"/>
  <c r="N397" i="1"/>
  <c r="O397" i="1"/>
  <c r="I398" i="1"/>
  <c r="J398" i="1"/>
  <c r="K398" i="1"/>
  <c r="L398" i="1"/>
  <c r="M398" i="1"/>
  <c r="N398" i="1"/>
  <c r="O398" i="1"/>
  <c r="I399" i="1"/>
  <c r="J399" i="1"/>
  <c r="K399" i="1"/>
  <c r="L399" i="1"/>
  <c r="M399" i="1"/>
  <c r="N399" i="1"/>
  <c r="O399" i="1"/>
  <c r="I400" i="1"/>
  <c r="J400" i="1"/>
  <c r="K400" i="1"/>
  <c r="L400" i="1"/>
  <c r="M400" i="1"/>
  <c r="N400" i="1"/>
  <c r="O400" i="1"/>
  <c r="I401" i="1"/>
  <c r="J401" i="1"/>
  <c r="K401" i="1"/>
  <c r="L401" i="1"/>
  <c r="M401" i="1"/>
  <c r="N401" i="1"/>
  <c r="O401" i="1"/>
  <c r="I402" i="1"/>
  <c r="J402" i="1"/>
  <c r="K402" i="1"/>
  <c r="L402" i="1"/>
  <c r="M402" i="1"/>
  <c r="N402" i="1"/>
  <c r="O402" i="1"/>
  <c r="I403" i="1"/>
  <c r="J403" i="1"/>
  <c r="K403" i="1"/>
  <c r="L403" i="1"/>
  <c r="M403" i="1"/>
  <c r="N403" i="1"/>
  <c r="O403" i="1"/>
  <c r="I404" i="1"/>
  <c r="J404" i="1"/>
  <c r="K404" i="1"/>
  <c r="L404" i="1"/>
  <c r="M404" i="1"/>
  <c r="N404" i="1"/>
  <c r="O404" i="1"/>
  <c r="I405" i="1"/>
  <c r="J405" i="1"/>
  <c r="K405" i="1"/>
  <c r="L405" i="1"/>
  <c r="M405" i="1"/>
  <c r="N405" i="1"/>
  <c r="O405" i="1"/>
  <c r="I406" i="1"/>
  <c r="J406" i="1"/>
  <c r="K406" i="1"/>
  <c r="L406" i="1"/>
  <c r="M406" i="1"/>
  <c r="N406" i="1"/>
  <c r="O406" i="1"/>
  <c r="I407" i="1"/>
  <c r="J407" i="1"/>
  <c r="K407" i="1"/>
  <c r="L407" i="1"/>
  <c r="M407" i="1"/>
  <c r="N407" i="1"/>
  <c r="O407" i="1"/>
  <c r="I408" i="1"/>
  <c r="J408" i="1"/>
  <c r="K408" i="1"/>
  <c r="L408" i="1"/>
  <c r="M408" i="1"/>
  <c r="N408" i="1"/>
  <c r="O408" i="1"/>
  <c r="I409" i="1"/>
  <c r="J409" i="1"/>
  <c r="K409" i="1"/>
  <c r="L409" i="1"/>
  <c r="M409" i="1"/>
  <c r="N409" i="1"/>
  <c r="O409" i="1"/>
  <c r="I410" i="1"/>
  <c r="J410" i="1"/>
  <c r="K410" i="1"/>
  <c r="L410" i="1"/>
  <c r="M410" i="1"/>
  <c r="N410" i="1"/>
  <c r="O410" i="1"/>
  <c r="I411" i="1"/>
  <c r="J411" i="1"/>
  <c r="K411" i="1"/>
  <c r="L411" i="1"/>
  <c r="M411" i="1"/>
  <c r="N411" i="1"/>
  <c r="O411" i="1"/>
  <c r="I412" i="1"/>
  <c r="J412" i="1"/>
  <c r="K412" i="1"/>
  <c r="L412" i="1"/>
  <c r="M412" i="1"/>
  <c r="N412" i="1"/>
  <c r="O412" i="1"/>
  <c r="I413" i="1"/>
  <c r="J413" i="1"/>
  <c r="K413" i="1"/>
  <c r="L413" i="1"/>
  <c r="M413" i="1"/>
  <c r="N413" i="1"/>
  <c r="O413" i="1"/>
  <c r="I414" i="1"/>
  <c r="J414" i="1"/>
  <c r="K414" i="1"/>
  <c r="L414" i="1"/>
  <c r="M414" i="1"/>
  <c r="N414" i="1"/>
  <c r="O414" i="1"/>
  <c r="I415" i="1"/>
  <c r="J415" i="1"/>
  <c r="K415" i="1"/>
  <c r="L415" i="1"/>
  <c r="M415" i="1"/>
  <c r="N415" i="1"/>
  <c r="O415" i="1"/>
  <c r="I416" i="1"/>
  <c r="J416" i="1"/>
  <c r="K416" i="1"/>
  <c r="L416" i="1"/>
  <c r="M416" i="1"/>
  <c r="N416" i="1"/>
  <c r="O416" i="1"/>
  <c r="I417" i="1"/>
  <c r="J417" i="1"/>
  <c r="K417" i="1"/>
  <c r="L417" i="1"/>
  <c r="M417" i="1"/>
  <c r="N417" i="1"/>
  <c r="O417" i="1"/>
  <c r="I418" i="1"/>
  <c r="J418" i="1"/>
  <c r="K418" i="1"/>
  <c r="L418" i="1"/>
  <c r="M418" i="1"/>
  <c r="N418" i="1"/>
  <c r="O418" i="1"/>
  <c r="I419" i="1"/>
  <c r="J419" i="1"/>
  <c r="K419" i="1"/>
  <c r="L419" i="1"/>
  <c r="M419" i="1"/>
  <c r="N419" i="1"/>
  <c r="O419" i="1"/>
  <c r="I420" i="1"/>
  <c r="J420" i="1"/>
  <c r="K420" i="1"/>
  <c r="L420" i="1"/>
  <c r="M420" i="1"/>
  <c r="N420" i="1"/>
  <c r="O420" i="1"/>
  <c r="I421" i="1"/>
  <c r="J421" i="1"/>
  <c r="K421" i="1"/>
  <c r="L421" i="1"/>
  <c r="M421" i="1"/>
  <c r="N421" i="1"/>
  <c r="O421" i="1"/>
  <c r="I422" i="1"/>
  <c r="J422" i="1"/>
  <c r="K422" i="1"/>
  <c r="L422" i="1"/>
  <c r="M422" i="1"/>
  <c r="N422" i="1"/>
  <c r="O422" i="1"/>
  <c r="I423" i="1"/>
  <c r="J423" i="1"/>
  <c r="K423" i="1"/>
  <c r="L423" i="1"/>
  <c r="M423" i="1"/>
  <c r="N423" i="1"/>
  <c r="O423" i="1"/>
  <c r="I424" i="1"/>
  <c r="J424" i="1"/>
  <c r="K424" i="1"/>
  <c r="L424" i="1"/>
  <c r="M424" i="1"/>
  <c r="N424" i="1"/>
  <c r="O424" i="1"/>
  <c r="I425" i="1"/>
  <c r="J425" i="1"/>
  <c r="K425" i="1"/>
  <c r="L425" i="1"/>
  <c r="M425" i="1"/>
  <c r="N425" i="1"/>
  <c r="O425" i="1"/>
  <c r="I426" i="1"/>
  <c r="J426" i="1"/>
  <c r="K426" i="1"/>
  <c r="L426" i="1"/>
  <c r="M426" i="1"/>
  <c r="N426" i="1"/>
  <c r="O426" i="1"/>
  <c r="I427" i="1"/>
  <c r="J427" i="1"/>
  <c r="K427" i="1"/>
  <c r="L427" i="1"/>
  <c r="M427" i="1"/>
  <c r="N427" i="1"/>
  <c r="O427" i="1"/>
  <c r="I428" i="1"/>
  <c r="J428" i="1"/>
  <c r="K428" i="1"/>
  <c r="L428" i="1"/>
  <c r="M428" i="1"/>
  <c r="N428" i="1"/>
  <c r="O428" i="1"/>
  <c r="I429" i="1"/>
  <c r="J429" i="1"/>
  <c r="K429" i="1"/>
  <c r="L429" i="1"/>
  <c r="M429" i="1"/>
  <c r="N429" i="1"/>
  <c r="O429" i="1"/>
  <c r="I430" i="1"/>
  <c r="J430" i="1"/>
  <c r="K430" i="1"/>
  <c r="L430" i="1"/>
  <c r="M430" i="1"/>
  <c r="N430" i="1"/>
  <c r="O430" i="1"/>
  <c r="I431" i="1"/>
  <c r="J431" i="1"/>
  <c r="K431" i="1"/>
  <c r="L431" i="1"/>
  <c r="M431" i="1"/>
  <c r="N431" i="1"/>
  <c r="O431" i="1"/>
  <c r="I432" i="1"/>
  <c r="J432" i="1"/>
  <c r="K432" i="1"/>
  <c r="L432" i="1"/>
  <c r="M432" i="1"/>
  <c r="N432" i="1"/>
  <c r="O432" i="1"/>
  <c r="I433" i="1"/>
  <c r="J433" i="1"/>
  <c r="K433" i="1"/>
  <c r="L433" i="1"/>
  <c r="M433" i="1"/>
  <c r="N433" i="1"/>
  <c r="O433" i="1"/>
  <c r="I434" i="1"/>
  <c r="J434" i="1"/>
  <c r="K434" i="1"/>
  <c r="L434" i="1"/>
  <c r="M434" i="1"/>
  <c r="N434" i="1"/>
  <c r="O434" i="1"/>
  <c r="I435" i="1"/>
  <c r="J435" i="1"/>
  <c r="K435" i="1"/>
  <c r="L435" i="1"/>
  <c r="M435" i="1"/>
  <c r="N435" i="1"/>
  <c r="O435" i="1"/>
  <c r="I436" i="1"/>
  <c r="J436" i="1"/>
  <c r="K436" i="1"/>
  <c r="L436" i="1"/>
  <c r="M436" i="1"/>
  <c r="N436" i="1"/>
  <c r="O436" i="1"/>
  <c r="I437" i="1"/>
  <c r="J437" i="1"/>
  <c r="K437" i="1"/>
  <c r="L437" i="1"/>
  <c r="M437" i="1"/>
  <c r="N437" i="1"/>
  <c r="O437" i="1"/>
  <c r="I438" i="1"/>
  <c r="J438" i="1"/>
  <c r="K438" i="1"/>
  <c r="L438" i="1"/>
  <c r="M438" i="1"/>
  <c r="N438" i="1"/>
  <c r="O438" i="1"/>
  <c r="I439" i="1"/>
  <c r="J439" i="1"/>
  <c r="K439" i="1"/>
  <c r="L439" i="1"/>
  <c r="M439" i="1"/>
  <c r="N439" i="1"/>
  <c r="O439" i="1"/>
  <c r="I440" i="1"/>
  <c r="J440" i="1"/>
  <c r="K440" i="1"/>
  <c r="L440" i="1"/>
  <c r="M440" i="1"/>
  <c r="N440" i="1"/>
  <c r="O440" i="1"/>
  <c r="I441" i="1"/>
  <c r="J441" i="1"/>
  <c r="K441" i="1"/>
  <c r="L441" i="1"/>
  <c r="M441" i="1"/>
  <c r="N441" i="1"/>
  <c r="O441" i="1"/>
  <c r="I442" i="1"/>
  <c r="J442" i="1"/>
  <c r="K442" i="1"/>
  <c r="L442" i="1"/>
  <c r="M442" i="1"/>
  <c r="N442" i="1"/>
  <c r="O442" i="1"/>
  <c r="I443" i="1"/>
  <c r="J443" i="1"/>
  <c r="K443" i="1"/>
  <c r="L443" i="1"/>
  <c r="M443" i="1"/>
  <c r="N443" i="1"/>
  <c r="O443" i="1"/>
  <c r="I444" i="1"/>
  <c r="J444" i="1"/>
  <c r="K444" i="1"/>
  <c r="L444" i="1"/>
  <c r="M444" i="1"/>
  <c r="N444" i="1"/>
  <c r="O444" i="1"/>
  <c r="I445" i="1"/>
  <c r="J445" i="1"/>
  <c r="K445" i="1"/>
  <c r="L445" i="1"/>
  <c r="M445" i="1"/>
  <c r="N445" i="1"/>
  <c r="O445" i="1"/>
  <c r="I446" i="1"/>
  <c r="J446" i="1"/>
  <c r="K446" i="1"/>
  <c r="L446" i="1"/>
  <c r="M446" i="1"/>
  <c r="N446" i="1"/>
  <c r="O446" i="1"/>
  <c r="I447" i="1"/>
  <c r="J447" i="1"/>
  <c r="K447" i="1"/>
  <c r="L447" i="1"/>
  <c r="M447" i="1"/>
  <c r="N447" i="1"/>
  <c r="O447" i="1"/>
  <c r="I448" i="1"/>
  <c r="J448" i="1"/>
  <c r="K448" i="1"/>
  <c r="L448" i="1"/>
  <c r="M448" i="1"/>
  <c r="N448" i="1"/>
  <c r="O448" i="1"/>
  <c r="I449" i="1"/>
  <c r="J449" i="1"/>
  <c r="K449" i="1"/>
  <c r="L449" i="1"/>
  <c r="M449" i="1"/>
  <c r="N449" i="1"/>
  <c r="O449" i="1"/>
  <c r="I450" i="1"/>
  <c r="J450" i="1"/>
  <c r="K450" i="1"/>
  <c r="L450" i="1"/>
  <c r="M450" i="1"/>
  <c r="N450" i="1"/>
  <c r="O450" i="1"/>
  <c r="I451" i="1"/>
  <c r="J451" i="1"/>
  <c r="K451" i="1"/>
  <c r="L451" i="1"/>
  <c r="M451" i="1"/>
  <c r="N451" i="1"/>
  <c r="O451" i="1"/>
  <c r="I452" i="1"/>
  <c r="J452" i="1"/>
  <c r="K452" i="1"/>
  <c r="L452" i="1"/>
  <c r="M452" i="1"/>
  <c r="N452" i="1"/>
  <c r="O452" i="1"/>
  <c r="I453" i="1"/>
  <c r="J453" i="1"/>
  <c r="K453" i="1"/>
  <c r="L453" i="1"/>
  <c r="M453" i="1"/>
  <c r="N453" i="1"/>
  <c r="O453" i="1"/>
  <c r="I454" i="1"/>
  <c r="J454" i="1"/>
  <c r="K454" i="1"/>
  <c r="L454" i="1"/>
  <c r="M454" i="1"/>
  <c r="N454" i="1"/>
  <c r="O454" i="1"/>
  <c r="I455" i="1"/>
  <c r="J455" i="1"/>
  <c r="K455" i="1"/>
  <c r="L455" i="1"/>
  <c r="M455" i="1"/>
  <c r="N455" i="1"/>
  <c r="O455" i="1"/>
  <c r="I456" i="1"/>
  <c r="J456" i="1"/>
  <c r="K456" i="1"/>
  <c r="L456" i="1"/>
  <c r="M456" i="1"/>
  <c r="N456" i="1"/>
  <c r="O456" i="1"/>
  <c r="I457" i="1"/>
  <c r="J457" i="1"/>
  <c r="K457" i="1"/>
  <c r="L457" i="1"/>
  <c r="M457" i="1"/>
  <c r="N457" i="1"/>
  <c r="O457" i="1"/>
  <c r="I458" i="1"/>
  <c r="J458" i="1"/>
  <c r="K458" i="1"/>
  <c r="L458" i="1"/>
  <c r="M458" i="1"/>
  <c r="N458" i="1"/>
  <c r="O458" i="1"/>
  <c r="I459" i="1"/>
  <c r="J459" i="1"/>
  <c r="K459" i="1"/>
  <c r="L459" i="1"/>
  <c r="M459" i="1"/>
  <c r="N459" i="1"/>
  <c r="O459" i="1"/>
  <c r="I460" i="1"/>
  <c r="J460" i="1"/>
  <c r="K460" i="1"/>
  <c r="L460" i="1"/>
  <c r="M460" i="1"/>
  <c r="N460" i="1"/>
  <c r="O460" i="1"/>
  <c r="I461" i="1"/>
  <c r="J461" i="1"/>
  <c r="K461" i="1"/>
  <c r="L461" i="1"/>
  <c r="M461" i="1"/>
  <c r="N461" i="1"/>
  <c r="O461" i="1"/>
  <c r="I462" i="1"/>
  <c r="J462" i="1"/>
  <c r="K462" i="1"/>
  <c r="L462" i="1"/>
  <c r="M462" i="1"/>
  <c r="N462" i="1"/>
  <c r="O462" i="1"/>
  <c r="I463" i="1"/>
  <c r="J463" i="1"/>
  <c r="K463" i="1"/>
  <c r="L463" i="1"/>
  <c r="M463" i="1"/>
  <c r="N463" i="1"/>
  <c r="O463" i="1"/>
  <c r="I464" i="1"/>
  <c r="J464" i="1"/>
  <c r="K464" i="1"/>
  <c r="L464" i="1"/>
  <c r="M464" i="1"/>
  <c r="N464" i="1"/>
  <c r="O464" i="1"/>
  <c r="I465" i="1"/>
  <c r="J465" i="1"/>
  <c r="K465" i="1"/>
  <c r="L465" i="1"/>
  <c r="M465" i="1"/>
  <c r="N465" i="1"/>
  <c r="O465" i="1"/>
  <c r="I466" i="1"/>
  <c r="J466" i="1"/>
  <c r="K466" i="1"/>
  <c r="L466" i="1"/>
  <c r="M466" i="1"/>
  <c r="N466" i="1"/>
  <c r="O466" i="1"/>
  <c r="I467" i="1"/>
  <c r="J467" i="1"/>
  <c r="K467" i="1"/>
  <c r="L467" i="1"/>
  <c r="M467" i="1"/>
  <c r="N467" i="1"/>
  <c r="O467" i="1"/>
  <c r="I468" i="1"/>
  <c r="J468" i="1"/>
  <c r="K468" i="1"/>
  <c r="L468" i="1"/>
  <c r="M468" i="1"/>
  <c r="N468" i="1"/>
  <c r="O468" i="1"/>
  <c r="I469" i="1"/>
  <c r="J469" i="1"/>
  <c r="K469" i="1"/>
  <c r="L469" i="1"/>
  <c r="M469" i="1"/>
  <c r="N469" i="1"/>
  <c r="O469" i="1"/>
  <c r="I470" i="1"/>
  <c r="J470" i="1"/>
  <c r="K470" i="1"/>
  <c r="L470" i="1"/>
  <c r="M470" i="1"/>
  <c r="N470" i="1"/>
  <c r="O470" i="1"/>
  <c r="I471" i="1"/>
  <c r="J471" i="1"/>
  <c r="K471" i="1"/>
  <c r="L471" i="1"/>
  <c r="M471" i="1"/>
  <c r="N471" i="1"/>
  <c r="O471" i="1"/>
  <c r="I472" i="1"/>
  <c r="J472" i="1"/>
  <c r="K472" i="1"/>
  <c r="L472" i="1"/>
  <c r="M472" i="1"/>
  <c r="N472" i="1"/>
  <c r="O472" i="1"/>
  <c r="I473" i="1"/>
  <c r="J473" i="1"/>
  <c r="K473" i="1"/>
  <c r="L473" i="1"/>
  <c r="M473" i="1"/>
  <c r="N473" i="1"/>
  <c r="O473" i="1"/>
  <c r="I474" i="1"/>
  <c r="J474" i="1"/>
  <c r="K474" i="1"/>
  <c r="L474" i="1"/>
  <c r="M474" i="1"/>
  <c r="N474" i="1"/>
  <c r="O474" i="1"/>
  <c r="I475" i="1"/>
  <c r="J475" i="1"/>
  <c r="K475" i="1"/>
  <c r="L475" i="1"/>
  <c r="M475" i="1"/>
  <c r="N475" i="1"/>
  <c r="O475" i="1"/>
  <c r="I476" i="1"/>
  <c r="J476" i="1"/>
  <c r="K476" i="1"/>
  <c r="L476" i="1"/>
  <c r="M476" i="1"/>
  <c r="N476" i="1"/>
  <c r="O476" i="1"/>
  <c r="I477" i="1"/>
  <c r="J477" i="1"/>
  <c r="K477" i="1"/>
  <c r="L477" i="1"/>
  <c r="M477" i="1"/>
  <c r="N477" i="1"/>
  <c r="O477" i="1"/>
  <c r="I478" i="1"/>
  <c r="J478" i="1"/>
  <c r="K478" i="1"/>
  <c r="L478" i="1"/>
  <c r="M478" i="1"/>
  <c r="N478" i="1"/>
  <c r="O478" i="1"/>
  <c r="I479" i="1"/>
  <c r="J479" i="1"/>
  <c r="K479" i="1"/>
  <c r="L479" i="1"/>
  <c r="M479" i="1"/>
  <c r="N479" i="1"/>
  <c r="O479" i="1"/>
  <c r="I480" i="1"/>
  <c r="J480" i="1"/>
  <c r="K480" i="1"/>
  <c r="L480" i="1"/>
  <c r="M480" i="1"/>
  <c r="N480" i="1"/>
  <c r="O480" i="1"/>
  <c r="I481" i="1"/>
  <c r="J481" i="1"/>
  <c r="K481" i="1"/>
  <c r="L481" i="1"/>
  <c r="M481" i="1"/>
  <c r="N481" i="1"/>
  <c r="O481" i="1"/>
  <c r="I482" i="1"/>
  <c r="J482" i="1"/>
  <c r="K482" i="1"/>
  <c r="L482" i="1"/>
  <c r="M482" i="1"/>
  <c r="N482" i="1"/>
  <c r="O482" i="1"/>
  <c r="I483" i="1"/>
  <c r="J483" i="1"/>
  <c r="K483" i="1"/>
  <c r="L483" i="1"/>
  <c r="M483" i="1"/>
  <c r="N483" i="1"/>
  <c r="O483" i="1"/>
  <c r="I484" i="1"/>
  <c r="J484" i="1"/>
  <c r="K484" i="1"/>
  <c r="L484" i="1"/>
  <c r="M484" i="1"/>
  <c r="N484" i="1"/>
  <c r="O484" i="1"/>
  <c r="I485" i="1"/>
  <c r="J485" i="1"/>
  <c r="K485" i="1"/>
  <c r="L485" i="1"/>
  <c r="M485" i="1"/>
  <c r="N485" i="1"/>
  <c r="O485" i="1"/>
  <c r="I486" i="1"/>
  <c r="J486" i="1"/>
  <c r="K486" i="1"/>
  <c r="L486" i="1"/>
  <c r="M486" i="1"/>
  <c r="N486" i="1"/>
  <c r="O486" i="1"/>
  <c r="I487" i="1"/>
  <c r="J487" i="1"/>
  <c r="K487" i="1"/>
  <c r="L487" i="1"/>
  <c r="M487" i="1"/>
  <c r="N487" i="1"/>
  <c r="O487" i="1"/>
  <c r="I488" i="1"/>
  <c r="J488" i="1"/>
  <c r="K488" i="1"/>
  <c r="L488" i="1"/>
  <c r="M488" i="1"/>
  <c r="N488" i="1"/>
  <c r="O488" i="1"/>
  <c r="I489" i="1"/>
  <c r="J489" i="1"/>
  <c r="K489" i="1"/>
  <c r="L489" i="1"/>
  <c r="M489" i="1"/>
  <c r="N489" i="1"/>
  <c r="O489" i="1"/>
  <c r="I490" i="1"/>
  <c r="J490" i="1"/>
  <c r="K490" i="1"/>
  <c r="L490" i="1"/>
  <c r="M490" i="1"/>
  <c r="N490" i="1"/>
  <c r="O490" i="1"/>
  <c r="I491" i="1"/>
  <c r="J491" i="1"/>
  <c r="K491" i="1"/>
  <c r="L491" i="1"/>
  <c r="M491" i="1"/>
  <c r="N491" i="1"/>
  <c r="O491" i="1"/>
  <c r="I492" i="1"/>
  <c r="J492" i="1"/>
  <c r="K492" i="1"/>
  <c r="L492" i="1"/>
  <c r="M492" i="1"/>
  <c r="N492" i="1"/>
  <c r="O492" i="1"/>
  <c r="I493" i="1"/>
  <c r="J493" i="1"/>
  <c r="K493" i="1"/>
  <c r="L493" i="1"/>
  <c r="M493" i="1"/>
  <c r="N493" i="1"/>
  <c r="O493" i="1"/>
  <c r="I494" i="1"/>
  <c r="J494" i="1"/>
  <c r="K494" i="1"/>
  <c r="L494" i="1"/>
  <c r="M494" i="1"/>
  <c r="N494" i="1"/>
  <c r="O494" i="1"/>
  <c r="I495" i="1"/>
  <c r="J495" i="1"/>
  <c r="K495" i="1"/>
  <c r="L495" i="1"/>
  <c r="M495" i="1"/>
  <c r="N495" i="1"/>
  <c r="O495" i="1"/>
  <c r="I496" i="1"/>
  <c r="J496" i="1"/>
  <c r="K496" i="1"/>
  <c r="L496" i="1"/>
  <c r="M496" i="1"/>
  <c r="N496" i="1"/>
  <c r="O496" i="1"/>
  <c r="I497" i="1"/>
  <c r="J497" i="1"/>
  <c r="K497" i="1"/>
  <c r="L497" i="1"/>
  <c r="M497" i="1"/>
  <c r="N497" i="1"/>
  <c r="O497" i="1"/>
  <c r="I498" i="1"/>
  <c r="J498" i="1"/>
  <c r="K498" i="1"/>
  <c r="L498" i="1"/>
  <c r="M498" i="1"/>
  <c r="N498" i="1"/>
  <c r="O498" i="1"/>
  <c r="I499" i="1"/>
  <c r="J499" i="1"/>
  <c r="K499" i="1"/>
  <c r="L499" i="1"/>
  <c r="M499" i="1"/>
  <c r="N499" i="1"/>
  <c r="O499" i="1"/>
  <c r="I500" i="1"/>
  <c r="J500" i="1"/>
  <c r="K500" i="1"/>
  <c r="L500" i="1"/>
  <c r="M500" i="1"/>
  <c r="N500" i="1"/>
  <c r="O500" i="1"/>
  <c r="I501" i="1"/>
  <c r="J501" i="1"/>
  <c r="K501" i="1"/>
  <c r="L501" i="1"/>
  <c r="M501" i="1"/>
  <c r="N501" i="1"/>
  <c r="O501" i="1"/>
  <c r="I502" i="1"/>
  <c r="J502" i="1"/>
  <c r="K502" i="1"/>
  <c r="L502" i="1"/>
  <c r="M502" i="1"/>
  <c r="N502" i="1"/>
  <c r="O502" i="1"/>
  <c r="I503" i="1"/>
  <c r="J503" i="1"/>
  <c r="K503" i="1"/>
  <c r="L503" i="1"/>
  <c r="M503" i="1"/>
  <c r="N503" i="1"/>
  <c r="O503" i="1"/>
  <c r="I504" i="1"/>
  <c r="J504" i="1"/>
  <c r="K504" i="1"/>
  <c r="L504" i="1"/>
  <c r="M504" i="1"/>
  <c r="N504" i="1"/>
  <c r="O504" i="1"/>
  <c r="I505" i="1"/>
  <c r="J505" i="1"/>
  <c r="K505" i="1"/>
  <c r="L505" i="1"/>
  <c r="M505" i="1"/>
  <c r="N505" i="1"/>
  <c r="O505" i="1"/>
  <c r="I506" i="1"/>
  <c r="J506" i="1"/>
  <c r="K506" i="1"/>
  <c r="L506" i="1"/>
  <c r="M506" i="1"/>
  <c r="N506" i="1"/>
  <c r="O506" i="1"/>
  <c r="I507" i="1"/>
  <c r="J507" i="1"/>
  <c r="K507" i="1"/>
  <c r="L507" i="1"/>
  <c r="M507" i="1"/>
  <c r="N507" i="1"/>
  <c r="O507" i="1"/>
  <c r="I508" i="1"/>
  <c r="J508" i="1"/>
  <c r="K508" i="1"/>
  <c r="L508" i="1"/>
  <c r="M508" i="1"/>
  <c r="N508" i="1"/>
  <c r="O508" i="1"/>
  <c r="I509" i="1"/>
  <c r="J509" i="1"/>
  <c r="K509" i="1"/>
  <c r="L509" i="1"/>
  <c r="M509" i="1"/>
  <c r="N509" i="1"/>
  <c r="O509" i="1"/>
  <c r="I510" i="1"/>
  <c r="J510" i="1"/>
  <c r="K510" i="1"/>
  <c r="L510" i="1"/>
  <c r="M510" i="1"/>
  <c r="N510" i="1"/>
  <c r="O510" i="1"/>
  <c r="I511" i="1"/>
  <c r="J511" i="1"/>
  <c r="K511" i="1"/>
  <c r="L511" i="1"/>
  <c r="M511" i="1"/>
  <c r="N511" i="1"/>
  <c r="O511" i="1"/>
  <c r="I512" i="1"/>
  <c r="J512" i="1"/>
  <c r="K512" i="1"/>
  <c r="L512" i="1"/>
  <c r="M512" i="1"/>
  <c r="N512" i="1"/>
  <c r="O512" i="1"/>
  <c r="I513" i="1"/>
  <c r="J513" i="1"/>
  <c r="K513" i="1"/>
  <c r="L513" i="1"/>
  <c r="M513" i="1"/>
  <c r="N513" i="1"/>
  <c r="O513" i="1"/>
  <c r="I514" i="1"/>
  <c r="J514" i="1"/>
  <c r="K514" i="1"/>
  <c r="L514" i="1"/>
  <c r="M514" i="1"/>
  <c r="N514" i="1"/>
  <c r="O514" i="1"/>
  <c r="I515" i="1"/>
  <c r="J515" i="1"/>
  <c r="K515" i="1"/>
  <c r="L515" i="1"/>
  <c r="M515" i="1"/>
  <c r="N515" i="1"/>
  <c r="O515" i="1"/>
  <c r="I516" i="1"/>
  <c r="J516" i="1"/>
  <c r="K516" i="1"/>
  <c r="L516" i="1"/>
  <c r="M516" i="1"/>
  <c r="N516" i="1"/>
  <c r="O516" i="1"/>
  <c r="I517" i="1"/>
  <c r="J517" i="1"/>
  <c r="K517" i="1"/>
  <c r="L517" i="1"/>
  <c r="M517" i="1"/>
  <c r="N517" i="1"/>
  <c r="O517" i="1"/>
  <c r="I518" i="1"/>
  <c r="J518" i="1"/>
  <c r="K518" i="1"/>
  <c r="L518" i="1"/>
  <c r="M518" i="1"/>
  <c r="N518" i="1"/>
  <c r="O518" i="1"/>
  <c r="I519" i="1"/>
  <c r="J519" i="1"/>
  <c r="K519" i="1"/>
  <c r="L519" i="1"/>
  <c r="M519" i="1"/>
  <c r="N519" i="1"/>
  <c r="O519" i="1"/>
  <c r="I520" i="1"/>
  <c r="J520" i="1"/>
  <c r="K520" i="1"/>
  <c r="L520" i="1"/>
  <c r="M520" i="1"/>
  <c r="N520" i="1"/>
  <c r="O520" i="1"/>
  <c r="I521" i="1"/>
  <c r="J521" i="1"/>
  <c r="K521" i="1"/>
  <c r="L521" i="1"/>
  <c r="M521" i="1"/>
  <c r="N521" i="1"/>
  <c r="O521" i="1"/>
  <c r="I522" i="1"/>
  <c r="J522" i="1"/>
  <c r="K522" i="1"/>
  <c r="L522" i="1"/>
  <c r="M522" i="1"/>
  <c r="N522" i="1"/>
  <c r="O522" i="1"/>
  <c r="I523" i="1"/>
  <c r="J523" i="1"/>
  <c r="K523" i="1"/>
  <c r="L523" i="1"/>
  <c r="M523" i="1"/>
  <c r="N523" i="1"/>
  <c r="O523" i="1"/>
  <c r="I524" i="1"/>
  <c r="J524" i="1"/>
  <c r="K524" i="1"/>
  <c r="L524" i="1"/>
  <c r="M524" i="1"/>
  <c r="N524" i="1"/>
  <c r="O524" i="1"/>
  <c r="I525" i="1"/>
  <c r="J525" i="1"/>
  <c r="K525" i="1"/>
  <c r="L525" i="1"/>
  <c r="M525" i="1"/>
  <c r="N525" i="1"/>
  <c r="O525" i="1"/>
  <c r="I526" i="1"/>
  <c r="J526" i="1"/>
  <c r="K526" i="1"/>
  <c r="L526" i="1"/>
  <c r="M526" i="1"/>
  <c r="N526" i="1"/>
  <c r="O526" i="1"/>
  <c r="I527" i="1"/>
  <c r="J527" i="1"/>
  <c r="K527" i="1"/>
  <c r="L527" i="1"/>
  <c r="M527" i="1"/>
  <c r="N527" i="1"/>
  <c r="O527" i="1"/>
  <c r="I528" i="1"/>
  <c r="J528" i="1"/>
  <c r="K528" i="1"/>
  <c r="L528" i="1"/>
  <c r="M528" i="1"/>
  <c r="N528" i="1"/>
  <c r="O528" i="1"/>
  <c r="I529" i="1"/>
  <c r="J529" i="1"/>
  <c r="K529" i="1"/>
  <c r="L529" i="1"/>
  <c r="M529" i="1"/>
  <c r="N529" i="1"/>
  <c r="O529" i="1"/>
  <c r="I530" i="1"/>
  <c r="J530" i="1"/>
  <c r="K530" i="1"/>
  <c r="L530" i="1"/>
  <c r="M530" i="1"/>
  <c r="N530" i="1"/>
  <c r="O530" i="1"/>
  <c r="I531" i="1"/>
  <c r="J531" i="1"/>
  <c r="K531" i="1"/>
  <c r="L531" i="1"/>
  <c r="M531" i="1"/>
  <c r="N531" i="1"/>
  <c r="O531" i="1"/>
  <c r="I532" i="1"/>
  <c r="J532" i="1"/>
  <c r="K532" i="1"/>
  <c r="L532" i="1"/>
  <c r="M532" i="1"/>
  <c r="N532" i="1"/>
  <c r="O532" i="1"/>
  <c r="I533" i="1"/>
  <c r="J533" i="1"/>
  <c r="K533" i="1"/>
  <c r="L533" i="1"/>
  <c r="M533" i="1"/>
  <c r="N533" i="1"/>
  <c r="O533" i="1"/>
  <c r="I534" i="1"/>
  <c r="J534" i="1"/>
  <c r="K534" i="1"/>
  <c r="L534" i="1"/>
  <c r="M534" i="1"/>
  <c r="N534" i="1"/>
  <c r="O534" i="1"/>
  <c r="I535" i="1"/>
  <c r="J535" i="1"/>
  <c r="K535" i="1"/>
  <c r="L535" i="1"/>
  <c r="M535" i="1"/>
  <c r="N535" i="1"/>
  <c r="O535" i="1"/>
  <c r="I536" i="1"/>
  <c r="J536" i="1"/>
  <c r="K536" i="1"/>
  <c r="L536" i="1"/>
  <c r="M536" i="1"/>
  <c r="N536" i="1"/>
  <c r="O536" i="1"/>
  <c r="I537" i="1"/>
  <c r="J537" i="1"/>
  <c r="K537" i="1"/>
  <c r="L537" i="1"/>
  <c r="M537" i="1"/>
  <c r="N537" i="1"/>
  <c r="O537" i="1"/>
  <c r="I538" i="1"/>
  <c r="J538" i="1"/>
  <c r="K538" i="1"/>
  <c r="L538" i="1"/>
  <c r="M538" i="1"/>
  <c r="N538" i="1"/>
  <c r="O538" i="1"/>
  <c r="I539" i="1"/>
  <c r="J539" i="1"/>
  <c r="K539" i="1"/>
  <c r="L539" i="1"/>
  <c r="M539" i="1"/>
  <c r="N539" i="1"/>
  <c r="O539" i="1"/>
  <c r="I540" i="1"/>
  <c r="J540" i="1"/>
  <c r="K540" i="1"/>
  <c r="L540" i="1"/>
  <c r="M540" i="1"/>
  <c r="N540" i="1"/>
  <c r="O540" i="1"/>
  <c r="I541" i="1"/>
  <c r="J541" i="1"/>
  <c r="K541" i="1"/>
  <c r="L541" i="1"/>
  <c r="M541" i="1"/>
  <c r="N541" i="1"/>
  <c r="O541" i="1"/>
  <c r="I542" i="1"/>
  <c r="J542" i="1"/>
  <c r="K542" i="1"/>
  <c r="L542" i="1"/>
  <c r="M542" i="1"/>
  <c r="N542" i="1"/>
  <c r="O542" i="1"/>
  <c r="I543" i="1"/>
  <c r="J543" i="1"/>
  <c r="K543" i="1"/>
  <c r="L543" i="1"/>
  <c r="M543" i="1"/>
  <c r="N543" i="1"/>
  <c r="O543" i="1"/>
  <c r="I544" i="1"/>
  <c r="J544" i="1"/>
  <c r="K544" i="1"/>
  <c r="L544" i="1"/>
  <c r="M544" i="1"/>
  <c r="N544" i="1"/>
  <c r="O544" i="1"/>
  <c r="I545" i="1"/>
  <c r="J545" i="1"/>
  <c r="K545" i="1"/>
  <c r="L545" i="1"/>
  <c r="M545" i="1"/>
  <c r="N545" i="1"/>
  <c r="O545" i="1"/>
  <c r="I546" i="1"/>
  <c r="J546" i="1"/>
  <c r="K546" i="1"/>
  <c r="L546" i="1"/>
  <c r="M546" i="1"/>
  <c r="N546" i="1"/>
  <c r="O546" i="1"/>
  <c r="I547" i="1"/>
  <c r="J547" i="1"/>
  <c r="K547" i="1"/>
  <c r="L547" i="1"/>
  <c r="M547" i="1"/>
  <c r="N547" i="1"/>
  <c r="O547" i="1"/>
  <c r="I548" i="1"/>
  <c r="J548" i="1"/>
  <c r="K548" i="1"/>
  <c r="L548" i="1"/>
  <c r="M548" i="1"/>
  <c r="N548" i="1"/>
  <c r="O548" i="1"/>
  <c r="I549" i="1"/>
  <c r="J549" i="1"/>
  <c r="K549" i="1"/>
  <c r="L549" i="1"/>
  <c r="M549" i="1"/>
  <c r="N549" i="1"/>
  <c r="O549" i="1"/>
  <c r="I550" i="1"/>
  <c r="J550" i="1"/>
  <c r="K550" i="1"/>
  <c r="L550" i="1"/>
  <c r="M550" i="1"/>
  <c r="N550" i="1"/>
  <c r="O550" i="1"/>
  <c r="I551" i="1"/>
  <c r="J551" i="1"/>
  <c r="K551" i="1"/>
  <c r="L551" i="1"/>
  <c r="M551" i="1"/>
  <c r="N551" i="1"/>
  <c r="O551" i="1"/>
  <c r="I552" i="1"/>
  <c r="J552" i="1"/>
  <c r="K552" i="1"/>
  <c r="L552" i="1"/>
  <c r="M552" i="1"/>
  <c r="N552" i="1"/>
  <c r="O552" i="1"/>
  <c r="I553" i="1"/>
  <c r="J553" i="1"/>
  <c r="K553" i="1"/>
  <c r="L553" i="1"/>
  <c r="M553" i="1"/>
  <c r="N553" i="1"/>
  <c r="O553" i="1"/>
  <c r="I554" i="1"/>
  <c r="J554" i="1"/>
  <c r="K554" i="1"/>
  <c r="L554" i="1"/>
  <c r="M554" i="1"/>
  <c r="N554" i="1"/>
  <c r="O554" i="1"/>
  <c r="I555" i="1"/>
  <c r="J555" i="1"/>
  <c r="K555" i="1"/>
  <c r="L555" i="1"/>
  <c r="M555" i="1"/>
  <c r="N555" i="1"/>
  <c r="O555" i="1"/>
  <c r="I556" i="1"/>
  <c r="J556" i="1"/>
  <c r="K556" i="1"/>
  <c r="L556" i="1"/>
  <c r="M556" i="1"/>
  <c r="N556" i="1"/>
  <c r="O556" i="1"/>
  <c r="I557" i="1"/>
  <c r="J557" i="1"/>
  <c r="K557" i="1"/>
  <c r="L557" i="1"/>
  <c r="M557" i="1"/>
  <c r="N557" i="1"/>
  <c r="O557" i="1"/>
  <c r="I558" i="1"/>
  <c r="J558" i="1"/>
  <c r="K558" i="1"/>
  <c r="L558" i="1"/>
  <c r="M558" i="1"/>
  <c r="N558" i="1"/>
  <c r="O558" i="1"/>
  <c r="I559" i="1"/>
  <c r="J559" i="1"/>
  <c r="K559" i="1"/>
  <c r="L559" i="1"/>
  <c r="M559" i="1"/>
  <c r="N559" i="1"/>
  <c r="O559" i="1"/>
  <c r="I560" i="1"/>
  <c r="J560" i="1"/>
  <c r="K560" i="1"/>
  <c r="L560" i="1"/>
  <c r="M560" i="1"/>
  <c r="N560" i="1"/>
  <c r="O560" i="1"/>
  <c r="I561" i="1"/>
  <c r="J561" i="1"/>
  <c r="K561" i="1"/>
  <c r="L561" i="1"/>
  <c r="M561" i="1"/>
  <c r="N561" i="1"/>
  <c r="O561" i="1"/>
  <c r="I562" i="1"/>
  <c r="J562" i="1"/>
  <c r="K562" i="1"/>
  <c r="L562" i="1"/>
  <c r="M562" i="1"/>
  <c r="N562" i="1"/>
  <c r="O562" i="1"/>
  <c r="I563" i="1"/>
  <c r="J563" i="1"/>
  <c r="K563" i="1"/>
  <c r="L563" i="1"/>
  <c r="M563" i="1"/>
  <c r="N563" i="1"/>
  <c r="O563" i="1"/>
  <c r="I564" i="1"/>
  <c r="J564" i="1"/>
  <c r="K564" i="1"/>
  <c r="L564" i="1"/>
  <c r="M564" i="1"/>
  <c r="N564" i="1"/>
  <c r="O564" i="1"/>
  <c r="I565" i="1"/>
  <c r="J565" i="1"/>
  <c r="K565" i="1"/>
  <c r="L565" i="1"/>
  <c r="M565" i="1"/>
  <c r="N565" i="1"/>
  <c r="O565" i="1"/>
  <c r="I566" i="1"/>
  <c r="J566" i="1"/>
  <c r="K566" i="1"/>
  <c r="L566" i="1"/>
  <c r="M566" i="1"/>
  <c r="N566" i="1"/>
  <c r="O566" i="1"/>
  <c r="I567" i="1"/>
  <c r="J567" i="1"/>
  <c r="K567" i="1"/>
  <c r="L567" i="1"/>
  <c r="M567" i="1"/>
  <c r="N567" i="1"/>
  <c r="O567" i="1"/>
  <c r="I568" i="1"/>
  <c r="J568" i="1"/>
  <c r="K568" i="1"/>
  <c r="L568" i="1"/>
  <c r="M568" i="1"/>
  <c r="N568" i="1"/>
  <c r="O568" i="1"/>
  <c r="I569" i="1"/>
  <c r="J569" i="1"/>
  <c r="K569" i="1"/>
  <c r="L569" i="1"/>
  <c r="M569" i="1"/>
  <c r="N569" i="1"/>
  <c r="O569" i="1"/>
  <c r="I570" i="1"/>
  <c r="J570" i="1"/>
  <c r="K570" i="1"/>
  <c r="L570" i="1"/>
  <c r="M570" i="1"/>
  <c r="N570" i="1"/>
  <c r="O570" i="1"/>
  <c r="I571" i="1"/>
  <c r="J571" i="1"/>
  <c r="K571" i="1"/>
  <c r="L571" i="1"/>
  <c r="M571" i="1"/>
  <c r="N571" i="1"/>
  <c r="O571" i="1"/>
  <c r="I572" i="1"/>
  <c r="J572" i="1"/>
  <c r="K572" i="1"/>
  <c r="L572" i="1"/>
  <c r="M572" i="1"/>
  <c r="N572" i="1"/>
  <c r="O572" i="1"/>
  <c r="I573" i="1"/>
  <c r="J573" i="1"/>
  <c r="K573" i="1"/>
  <c r="L573" i="1"/>
  <c r="M573" i="1"/>
  <c r="N573" i="1"/>
  <c r="O573" i="1"/>
  <c r="I574" i="1"/>
  <c r="J574" i="1"/>
  <c r="K574" i="1"/>
  <c r="L574" i="1"/>
  <c r="M574" i="1"/>
  <c r="N574" i="1"/>
  <c r="O574" i="1"/>
  <c r="I575" i="1"/>
  <c r="J575" i="1"/>
  <c r="K575" i="1"/>
  <c r="L575" i="1"/>
  <c r="M575" i="1"/>
  <c r="N575" i="1"/>
  <c r="O575" i="1"/>
  <c r="I576" i="1"/>
  <c r="J576" i="1"/>
  <c r="K576" i="1"/>
  <c r="L576" i="1"/>
  <c r="M576" i="1"/>
  <c r="N576" i="1"/>
  <c r="O576" i="1"/>
  <c r="I577" i="1"/>
  <c r="J577" i="1"/>
  <c r="K577" i="1"/>
  <c r="L577" i="1"/>
  <c r="M577" i="1"/>
  <c r="N577" i="1"/>
  <c r="O577" i="1"/>
  <c r="I578" i="1"/>
  <c r="J578" i="1"/>
  <c r="K578" i="1"/>
  <c r="L578" i="1"/>
  <c r="M578" i="1"/>
  <c r="N578" i="1"/>
  <c r="O578" i="1"/>
  <c r="I579" i="1"/>
  <c r="J579" i="1"/>
  <c r="K579" i="1"/>
  <c r="L579" i="1"/>
  <c r="M579" i="1"/>
  <c r="N579" i="1"/>
  <c r="O579" i="1"/>
  <c r="I580" i="1"/>
  <c r="J580" i="1"/>
  <c r="K580" i="1"/>
  <c r="L580" i="1"/>
  <c r="M580" i="1"/>
  <c r="N580" i="1"/>
  <c r="O580" i="1"/>
  <c r="I581" i="1"/>
  <c r="J581" i="1"/>
  <c r="K581" i="1"/>
  <c r="L581" i="1"/>
  <c r="M581" i="1"/>
  <c r="N581" i="1"/>
  <c r="O581" i="1"/>
  <c r="I582" i="1"/>
  <c r="J582" i="1"/>
  <c r="K582" i="1"/>
  <c r="L582" i="1"/>
  <c r="M582" i="1"/>
  <c r="N582" i="1"/>
  <c r="O582" i="1"/>
  <c r="I583" i="1"/>
  <c r="J583" i="1"/>
  <c r="K583" i="1"/>
  <c r="L583" i="1"/>
  <c r="M583" i="1"/>
  <c r="N583" i="1"/>
  <c r="O583" i="1"/>
  <c r="I584" i="1"/>
  <c r="J584" i="1"/>
  <c r="K584" i="1"/>
  <c r="L584" i="1"/>
  <c r="M584" i="1"/>
  <c r="N584" i="1"/>
  <c r="O584" i="1"/>
  <c r="I585" i="1"/>
  <c r="J585" i="1"/>
  <c r="K585" i="1"/>
  <c r="L585" i="1"/>
  <c r="M585" i="1"/>
  <c r="N585" i="1"/>
  <c r="O585" i="1"/>
  <c r="I586" i="1"/>
  <c r="J586" i="1"/>
  <c r="K586" i="1"/>
  <c r="L586" i="1"/>
  <c r="M586" i="1"/>
  <c r="N586" i="1"/>
  <c r="O586" i="1"/>
  <c r="I587" i="1"/>
  <c r="J587" i="1"/>
  <c r="K587" i="1"/>
  <c r="L587" i="1"/>
  <c r="M587" i="1"/>
  <c r="N587" i="1"/>
  <c r="O587" i="1"/>
  <c r="I588" i="1"/>
  <c r="J588" i="1"/>
  <c r="K588" i="1"/>
  <c r="L588" i="1"/>
  <c r="M588" i="1"/>
  <c r="N588" i="1"/>
  <c r="O588" i="1"/>
  <c r="I589" i="1"/>
  <c r="J589" i="1"/>
  <c r="K589" i="1"/>
  <c r="L589" i="1"/>
  <c r="M589" i="1"/>
  <c r="N589" i="1"/>
  <c r="O589" i="1"/>
  <c r="I590" i="1"/>
  <c r="J590" i="1"/>
  <c r="K590" i="1"/>
  <c r="L590" i="1"/>
  <c r="M590" i="1"/>
  <c r="N590" i="1"/>
  <c r="O590" i="1"/>
  <c r="I591" i="1"/>
  <c r="J591" i="1"/>
  <c r="K591" i="1"/>
  <c r="L591" i="1"/>
  <c r="M591" i="1"/>
  <c r="N591" i="1"/>
  <c r="O591" i="1"/>
  <c r="I592" i="1"/>
  <c r="J592" i="1"/>
  <c r="K592" i="1"/>
  <c r="L592" i="1"/>
  <c r="M592" i="1"/>
  <c r="N592" i="1"/>
  <c r="O592" i="1"/>
  <c r="I593" i="1"/>
  <c r="J593" i="1"/>
  <c r="K593" i="1"/>
  <c r="L593" i="1"/>
  <c r="M593" i="1"/>
  <c r="N593" i="1"/>
  <c r="O593" i="1"/>
  <c r="I594" i="1"/>
  <c r="J594" i="1"/>
  <c r="K594" i="1"/>
  <c r="L594" i="1"/>
  <c r="M594" i="1"/>
  <c r="N594" i="1"/>
  <c r="O594" i="1"/>
  <c r="I595" i="1"/>
  <c r="J595" i="1"/>
  <c r="K595" i="1"/>
  <c r="L595" i="1"/>
  <c r="M595" i="1"/>
  <c r="N595" i="1"/>
  <c r="O595" i="1"/>
  <c r="I596" i="1"/>
  <c r="J596" i="1"/>
  <c r="K596" i="1"/>
  <c r="L596" i="1"/>
  <c r="M596" i="1"/>
  <c r="N596" i="1"/>
  <c r="O596" i="1"/>
  <c r="I597" i="1"/>
  <c r="J597" i="1"/>
  <c r="K597" i="1"/>
  <c r="L597" i="1"/>
  <c r="M597" i="1"/>
  <c r="N597" i="1"/>
  <c r="O597" i="1"/>
  <c r="I598" i="1"/>
  <c r="J598" i="1"/>
  <c r="K598" i="1"/>
  <c r="L598" i="1"/>
  <c r="M598" i="1"/>
  <c r="N598" i="1"/>
  <c r="O598" i="1"/>
  <c r="I599" i="1"/>
  <c r="J599" i="1"/>
  <c r="K599" i="1"/>
  <c r="L599" i="1"/>
  <c r="M599" i="1"/>
  <c r="N599" i="1"/>
  <c r="O599" i="1"/>
  <c r="I600" i="1"/>
  <c r="J600" i="1"/>
  <c r="K600" i="1"/>
  <c r="L600" i="1"/>
  <c r="M600" i="1"/>
  <c r="N600" i="1"/>
  <c r="O600" i="1"/>
  <c r="I601" i="1"/>
  <c r="J601" i="1"/>
  <c r="K601" i="1"/>
  <c r="L601" i="1"/>
  <c r="M601" i="1"/>
  <c r="N601" i="1"/>
  <c r="O601" i="1"/>
  <c r="I602" i="1"/>
  <c r="J602" i="1"/>
  <c r="K602" i="1"/>
  <c r="L602" i="1"/>
  <c r="M602" i="1"/>
  <c r="N602" i="1"/>
  <c r="O602" i="1"/>
  <c r="I603" i="1"/>
  <c r="J603" i="1"/>
  <c r="K603" i="1"/>
  <c r="L603" i="1"/>
  <c r="M603" i="1"/>
  <c r="N603" i="1"/>
  <c r="O603" i="1"/>
  <c r="I604" i="1"/>
  <c r="J604" i="1"/>
  <c r="K604" i="1"/>
  <c r="L604" i="1"/>
  <c r="M604" i="1"/>
  <c r="N604" i="1"/>
  <c r="O604" i="1"/>
  <c r="I605" i="1"/>
  <c r="J605" i="1"/>
  <c r="K605" i="1"/>
  <c r="L605" i="1"/>
  <c r="M605" i="1"/>
  <c r="N605" i="1"/>
  <c r="O605" i="1"/>
  <c r="I606" i="1"/>
  <c r="J606" i="1"/>
  <c r="K606" i="1"/>
  <c r="L606" i="1"/>
  <c r="M606" i="1"/>
  <c r="N606" i="1"/>
  <c r="O606" i="1"/>
  <c r="I607" i="1"/>
  <c r="J607" i="1"/>
  <c r="K607" i="1"/>
  <c r="L607" i="1"/>
  <c r="M607" i="1"/>
  <c r="N607" i="1"/>
  <c r="O607" i="1"/>
  <c r="I608" i="1"/>
  <c r="J608" i="1"/>
  <c r="K608" i="1"/>
  <c r="L608" i="1"/>
  <c r="M608" i="1"/>
  <c r="N608" i="1"/>
  <c r="O608" i="1"/>
  <c r="I609" i="1"/>
  <c r="J609" i="1"/>
  <c r="K609" i="1"/>
  <c r="L609" i="1"/>
  <c r="M609" i="1"/>
  <c r="N609" i="1"/>
  <c r="O609" i="1"/>
  <c r="I610" i="1"/>
  <c r="J610" i="1"/>
  <c r="K610" i="1"/>
  <c r="L610" i="1"/>
  <c r="M610" i="1"/>
  <c r="N610" i="1"/>
  <c r="O610" i="1"/>
  <c r="I611" i="1"/>
  <c r="J611" i="1"/>
  <c r="K611" i="1"/>
  <c r="L611" i="1"/>
  <c r="M611" i="1"/>
  <c r="N611" i="1"/>
  <c r="O611" i="1"/>
  <c r="I612" i="1"/>
  <c r="J612" i="1"/>
  <c r="K612" i="1"/>
  <c r="L612" i="1"/>
  <c r="M612" i="1"/>
  <c r="N612" i="1"/>
  <c r="O612" i="1"/>
  <c r="I613" i="1"/>
  <c r="J613" i="1"/>
  <c r="K613" i="1"/>
  <c r="L613" i="1"/>
  <c r="M613" i="1"/>
  <c r="N613" i="1"/>
  <c r="O613" i="1"/>
  <c r="I614" i="1"/>
  <c r="J614" i="1"/>
  <c r="K614" i="1"/>
  <c r="L614" i="1"/>
  <c r="M614" i="1"/>
  <c r="N614" i="1"/>
  <c r="O614" i="1"/>
  <c r="I615" i="1"/>
  <c r="J615" i="1"/>
  <c r="K615" i="1"/>
  <c r="L615" i="1"/>
  <c r="M615" i="1"/>
  <c r="N615" i="1"/>
  <c r="O615" i="1"/>
  <c r="I616" i="1"/>
  <c r="J616" i="1"/>
  <c r="K616" i="1"/>
  <c r="L616" i="1"/>
  <c r="M616" i="1"/>
  <c r="N616" i="1"/>
  <c r="O616" i="1"/>
  <c r="I617" i="1"/>
  <c r="J617" i="1"/>
  <c r="K617" i="1"/>
  <c r="L617" i="1"/>
  <c r="M617" i="1"/>
  <c r="N617" i="1"/>
  <c r="O617" i="1"/>
  <c r="I618" i="1"/>
  <c r="J618" i="1"/>
  <c r="K618" i="1"/>
  <c r="L618" i="1"/>
  <c r="M618" i="1"/>
  <c r="N618" i="1"/>
  <c r="O618" i="1"/>
  <c r="I619" i="1"/>
  <c r="J619" i="1"/>
  <c r="K619" i="1"/>
  <c r="L619" i="1"/>
  <c r="M619" i="1"/>
  <c r="N619" i="1"/>
  <c r="O619" i="1"/>
  <c r="I620" i="1"/>
  <c r="J620" i="1"/>
  <c r="K620" i="1"/>
  <c r="L620" i="1"/>
  <c r="M620" i="1"/>
  <c r="N620" i="1"/>
  <c r="O620" i="1"/>
  <c r="I621" i="1"/>
  <c r="J621" i="1"/>
  <c r="K621" i="1"/>
  <c r="L621" i="1"/>
  <c r="M621" i="1"/>
  <c r="N621" i="1"/>
  <c r="O621" i="1"/>
  <c r="I622" i="1"/>
  <c r="J622" i="1"/>
  <c r="K622" i="1"/>
  <c r="L622" i="1"/>
  <c r="M622" i="1"/>
  <c r="N622" i="1"/>
  <c r="O622" i="1"/>
  <c r="I623" i="1"/>
  <c r="J623" i="1"/>
  <c r="K623" i="1"/>
  <c r="L623" i="1"/>
  <c r="M623" i="1"/>
  <c r="N623" i="1"/>
  <c r="O623" i="1"/>
  <c r="I624" i="1"/>
  <c r="J624" i="1"/>
  <c r="K624" i="1"/>
  <c r="L624" i="1"/>
  <c r="M624" i="1"/>
  <c r="N624" i="1"/>
  <c r="O624" i="1"/>
  <c r="I625" i="1"/>
  <c r="J625" i="1"/>
  <c r="K625" i="1"/>
  <c r="L625" i="1"/>
  <c r="M625" i="1"/>
  <c r="N625" i="1"/>
  <c r="O625" i="1"/>
  <c r="I626" i="1"/>
  <c r="J626" i="1"/>
  <c r="K626" i="1"/>
  <c r="L626" i="1"/>
  <c r="M626" i="1"/>
  <c r="N626" i="1"/>
  <c r="O626" i="1"/>
  <c r="I627" i="1"/>
  <c r="J627" i="1"/>
  <c r="K627" i="1"/>
  <c r="L627" i="1"/>
  <c r="M627" i="1"/>
  <c r="N627" i="1"/>
  <c r="O627" i="1"/>
  <c r="I628" i="1"/>
  <c r="J628" i="1"/>
  <c r="K628" i="1"/>
  <c r="L628" i="1"/>
  <c r="M628" i="1"/>
  <c r="N628" i="1"/>
  <c r="O628" i="1"/>
  <c r="I629" i="1"/>
  <c r="J629" i="1"/>
  <c r="K629" i="1"/>
  <c r="L629" i="1"/>
  <c r="M629" i="1"/>
  <c r="N629" i="1"/>
  <c r="O629" i="1"/>
  <c r="I630" i="1"/>
  <c r="J630" i="1"/>
  <c r="K630" i="1"/>
  <c r="L630" i="1"/>
  <c r="M630" i="1"/>
  <c r="N630" i="1"/>
  <c r="O630" i="1"/>
  <c r="I631" i="1"/>
  <c r="J631" i="1"/>
  <c r="K631" i="1"/>
  <c r="L631" i="1"/>
  <c r="M631" i="1"/>
  <c r="N631" i="1"/>
  <c r="O631" i="1"/>
  <c r="I632" i="1"/>
  <c r="J632" i="1"/>
  <c r="K632" i="1"/>
  <c r="L632" i="1"/>
  <c r="M632" i="1"/>
  <c r="N632" i="1"/>
  <c r="O632" i="1"/>
  <c r="I633" i="1"/>
  <c r="J633" i="1"/>
  <c r="K633" i="1"/>
  <c r="L633" i="1"/>
  <c r="M633" i="1"/>
  <c r="N633" i="1"/>
  <c r="O633" i="1"/>
  <c r="I634" i="1"/>
  <c r="J634" i="1"/>
  <c r="K634" i="1"/>
  <c r="L634" i="1"/>
  <c r="M634" i="1"/>
  <c r="N634" i="1"/>
  <c r="O634" i="1"/>
  <c r="I635" i="1"/>
  <c r="J635" i="1"/>
  <c r="K635" i="1"/>
  <c r="L635" i="1"/>
  <c r="M635" i="1"/>
  <c r="N635" i="1"/>
  <c r="O635" i="1"/>
  <c r="I636" i="1"/>
  <c r="J636" i="1"/>
  <c r="K636" i="1"/>
  <c r="L636" i="1"/>
  <c r="M636" i="1"/>
  <c r="N636" i="1"/>
  <c r="O636" i="1"/>
  <c r="I637" i="1"/>
  <c r="J637" i="1"/>
  <c r="K637" i="1"/>
  <c r="L637" i="1"/>
  <c r="M637" i="1"/>
  <c r="N637" i="1"/>
  <c r="O637" i="1"/>
  <c r="I638" i="1"/>
  <c r="J638" i="1"/>
  <c r="K638" i="1"/>
  <c r="L638" i="1"/>
  <c r="M638" i="1"/>
  <c r="N638" i="1"/>
  <c r="O638" i="1"/>
  <c r="I639" i="1"/>
  <c r="J639" i="1"/>
  <c r="K639" i="1"/>
  <c r="L639" i="1"/>
  <c r="M639" i="1"/>
  <c r="N639" i="1"/>
  <c r="O639" i="1"/>
  <c r="I640" i="1"/>
  <c r="J640" i="1"/>
  <c r="K640" i="1"/>
  <c r="L640" i="1"/>
  <c r="M640" i="1"/>
  <c r="N640" i="1"/>
  <c r="O640" i="1"/>
  <c r="I641" i="1"/>
  <c r="J641" i="1"/>
  <c r="K641" i="1"/>
  <c r="L641" i="1"/>
  <c r="M641" i="1"/>
  <c r="N641" i="1"/>
  <c r="O641" i="1"/>
  <c r="I642" i="1"/>
  <c r="J642" i="1"/>
  <c r="K642" i="1"/>
  <c r="L642" i="1"/>
  <c r="M642" i="1"/>
  <c r="N642" i="1"/>
  <c r="O642" i="1"/>
  <c r="I643" i="1"/>
  <c r="J643" i="1"/>
  <c r="K643" i="1"/>
  <c r="L643" i="1"/>
  <c r="M643" i="1"/>
  <c r="N643" i="1"/>
  <c r="O643" i="1"/>
  <c r="I644" i="1"/>
  <c r="J644" i="1"/>
  <c r="K644" i="1"/>
  <c r="L644" i="1"/>
  <c r="M644" i="1"/>
  <c r="N644" i="1"/>
  <c r="O644" i="1"/>
  <c r="I645" i="1"/>
  <c r="J645" i="1"/>
  <c r="K645" i="1"/>
  <c r="L645" i="1"/>
  <c r="M645" i="1"/>
  <c r="N645" i="1"/>
  <c r="O645" i="1"/>
  <c r="I646" i="1"/>
  <c r="J646" i="1"/>
  <c r="K646" i="1"/>
  <c r="L646" i="1"/>
  <c r="M646" i="1"/>
  <c r="N646" i="1"/>
  <c r="O646" i="1"/>
  <c r="I647" i="1"/>
  <c r="J647" i="1"/>
  <c r="K647" i="1"/>
  <c r="L647" i="1"/>
  <c r="M647" i="1"/>
  <c r="N647" i="1"/>
  <c r="O647" i="1"/>
  <c r="I648" i="1"/>
  <c r="J648" i="1"/>
  <c r="K648" i="1"/>
  <c r="L648" i="1"/>
  <c r="M648" i="1"/>
  <c r="N648" i="1"/>
  <c r="O648" i="1"/>
  <c r="I649" i="1"/>
  <c r="J649" i="1"/>
  <c r="K649" i="1"/>
  <c r="L649" i="1"/>
  <c r="M649" i="1"/>
  <c r="N649" i="1"/>
  <c r="O649" i="1"/>
  <c r="I650" i="1"/>
  <c r="J650" i="1"/>
  <c r="K650" i="1"/>
  <c r="L650" i="1"/>
  <c r="M650" i="1"/>
  <c r="N650" i="1"/>
  <c r="O650" i="1"/>
  <c r="I651" i="1"/>
  <c r="J651" i="1"/>
  <c r="K651" i="1"/>
  <c r="L651" i="1"/>
  <c r="M651" i="1"/>
  <c r="N651" i="1"/>
  <c r="O651" i="1"/>
  <c r="I652" i="1"/>
  <c r="J652" i="1"/>
  <c r="K652" i="1"/>
  <c r="L652" i="1"/>
  <c r="M652" i="1"/>
  <c r="N652" i="1"/>
  <c r="O652" i="1"/>
  <c r="I653" i="1"/>
  <c r="J653" i="1"/>
  <c r="K653" i="1"/>
  <c r="L653" i="1"/>
  <c r="M653" i="1"/>
  <c r="N653" i="1"/>
  <c r="O653" i="1"/>
  <c r="I654" i="1"/>
  <c r="J654" i="1"/>
  <c r="K654" i="1"/>
  <c r="L654" i="1"/>
  <c r="M654" i="1"/>
  <c r="N654" i="1"/>
  <c r="O654" i="1"/>
  <c r="I655" i="1"/>
  <c r="J655" i="1"/>
  <c r="K655" i="1"/>
  <c r="L655" i="1"/>
  <c r="M655" i="1"/>
  <c r="N655" i="1"/>
  <c r="O655" i="1"/>
  <c r="I656" i="1"/>
  <c r="J656" i="1"/>
  <c r="K656" i="1"/>
  <c r="L656" i="1"/>
  <c r="M656" i="1"/>
  <c r="N656" i="1"/>
  <c r="O656" i="1"/>
  <c r="I657" i="1"/>
  <c r="J657" i="1"/>
  <c r="K657" i="1"/>
  <c r="L657" i="1"/>
  <c r="M657" i="1"/>
  <c r="N657" i="1"/>
  <c r="O657" i="1"/>
  <c r="I658" i="1"/>
  <c r="J658" i="1"/>
  <c r="K658" i="1"/>
  <c r="L658" i="1"/>
  <c r="M658" i="1"/>
  <c r="N658" i="1"/>
  <c r="O658" i="1"/>
  <c r="I659" i="1"/>
  <c r="J659" i="1"/>
  <c r="K659" i="1"/>
  <c r="L659" i="1"/>
  <c r="M659" i="1"/>
  <c r="N659" i="1"/>
  <c r="O659" i="1"/>
  <c r="I660" i="1"/>
  <c r="J660" i="1"/>
  <c r="K660" i="1"/>
  <c r="L660" i="1"/>
  <c r="M660" i="1"/>
  <c r="N660" i="1"/>
  <c r="O660" i="1"/>
  <c r="I661" i="1"/>
  <c r="J661" i="1"/>
  <c r="K661" i="1"/>
  <c r="L661" i="1"/>
  <c r="M661" i="1"/>
  <c r="N661" i="1"/>
  <c r="O661" i="1"/>
  <c r="I662" i="1"/>
  <c r="J662" i="1"/>
  <c r="K662" i="1"/>
  <c r="L662" i="1"/>
  <c r="M662" i="1"/>
  <c r="N662" i="1"/>
  <c r="O662" i="1"/>
  <c r="I663" i="1"/>
  <c r="J663" i="1"/>
  <c r="K663" i="1"/>
  <c r="L663" i="1"/>
  <c r="M663" i="1"/>
  <c r="N663" i="1"/>
  <c r="O663" i="1"/>
  <c r="I664" i="1"/>
  <c r="J664" i="1"/>
  <c r="K664" i="1"/>
  <c r="L664" i="1"/>
  <c r="M664" i="1"/>
  <c r="N664" i="1"/>
  <c r="O664" i="1"/>
  <c r="I665" i="1"/>
  <c r="J665" i="1"/>
  <c r="K665" i="1"/>
  <c r="L665" i="1"/>
  <c r="M665" i="1"/>
  <c r="N665" i="1"/>
  <c r="O665" i="1"/>
  <c r="I666" i="1"/>
  <c r="J666" i="1"/>
  <c r="K666" i="1"/>
  <c r="L666" i="1"/>
  <c r="M666" i="1"/>
  <c r="N666" i="1"/>
  <c r="O666" i="1"/>
  <c r="I667" i="1"/>
  <c r="J667" i="1"/>
  <c r="K667" i="1"/>
  <c r="L667" i="1"/>
  <c r="M667" i="1"/>
  <c r="N667" i="1"/>
  <c r="O667" i="1"/>
  <c r="I668" i="1"/>
  <c r="J668" i="1"/>
  <c r="K668" i="1"/>
  <c r="L668" i="1"/>
  <c r="M668" i="1"/>
  <c r="N668" i="1"/>
  <c r="O668" i="1"/>
  <c r="I669" i="1"/>
  <c r="J669" i="1"/>
  <c r="K669" i="1"/>
  <c r="L669" i="1"/>
  <c r="M669" i="1"/>
  <c r="N669" i="1"/>
  <c r="O669" i="1"/>
  <c r="I670" i="1"/>
  <c r="J670" i="1"/>
  <c r="K670" i="1"/>
  <c r="L670" i="1"/>
  <c r="M670" i="1"/>
  <c r="N670" i="1"/>
  <c r="O670" i="1"/>
  <c r="I671" i="1"/>
  <c r="J671" i="1"/>
  <c r="K671" i="1"/>
  <c r="L671" i="1"/>
  <c r="M671" i="1"/>
  <c r="N671" i="1"/>
  <c r="O671" i="1"/>
  <c r="I672" i="1"/>
  <c r="J672" i="1"/>
  <c r="K672" i="1"/>
  <c r="L672" i="1"/>
  <c r="M672" i="1"/>
  <c r="N672" i="1"/>
  <c r="O672" i="1"/>
  <c r="I673" i="1"/>
  <c r="J673" i="1"/>
  <c r="K673" i="1"/>
  <c r="L673" i="1"/>
  <c r="M673" i="1"/>
  <c r="N673" i="1"/>
  <c r="O673" i="1"/>
  <c r="I674" i="1"/>
  <c r="J674" i="1"/>
  <c r="K674" i="1"/>
  <c r="L674" i="1"/>
  <c r="M674" i="1"/>
  <c r="N674" i="1"/>
  <c r="O674" i="1"/>
  <c r="I675" i="1"/>
  <c r="J675" i="1"/>
  <c r="K675" i="1"/>
  <c r="L675" i="1"/>
  <c r="M675" i="1"/>
  <c r="N675" i="1"/>
  <c r="O675" i="1"/>
  <c r="I676" i="1"/>
  <c r="J676" i="1"/>
  <c r="K676" i="1"/>
  <c r="L676" i="1"/>
  <c r="M676" i="1"/>
  <c r="N676" i="1"/>
  <c r="O676" i="1"/>
  <c r="I677" i="1"/>
  <c r="J677" i="1"/>
  <c r="K677" i="1"/>
  <c r="L677" i="1"/>
  <c r="M677" i="1"/>
  <c r="N677" i="1"/>
  <c r="O677" i="1"/>
  <c r="I678" i="1"/>
  <c r="J678" i="1"/>
  <c r="K678" i="1"/>
  <c r="L678" i="1"/>
  <c r="M678" i="1"/>
  <c r="N678" i="1"/>
  <c r="O678" i="1"/>
  <c r="I679" i="1"/>
  <c r="J679" i="1"/>
  <c r="K679" i="1"/>
  <c r="L679" i="1"/>
  <c r="M679" i="1"/>
  <c r="N679" i="1"/>
  <c r="O679" i="1"/>
  <c r="I680" i="1"/>
  <c r="J680" i="1"/>
  <c r="K680" i="1"/>
  <c r="L680" i="1"/>
  <c r="M680" i="1"/>
  <c r="N680" i="1"/>
  <c r="O680" i="1"/>
  <c r="I681" i="1"/>
  <c r="J681" i="1"/>
  <c r="K681" i="1"/>
  <c r="L681" i="1"/>
  <c r="M681" i="1"/>
  <c r="N681" i="1"/>
  <c r="O681" i="1"/>
  <c r="I682" i="1"/>
  <c r="J682" i="1"/>
  <c r="K682" i="1"/>
  <c r="L682" i="1"/>
  <c r="M682" i="1"/>
  <c r="N682" i="1"/>
  <c r="O682" i="1"/>
  <c r="I683" i="1"/>
  <c r="J683" i="1"/>
  <c r="K683" i="1"/>
  <c r="L683" i="1"/>
  <c r="M683" i="1"/>
  <c r="N683" i="1"/>
  <c r="O683" i="1"/>
  <c r="I684" i="1"/>
  <c r="J684" i="1"/>
  <c r="K684" i="1"/>
  <c r="L684" i="1"/>
  <c r="M684" i="1"/>
  <c r="N684" i="1"/>
  <c r="O684" i="1"/>
  <c r="I685" i="1"/>
  <c r="J685" i="1"/>
  <c r="K685" i="1"/>
  <c r="L685" i="1"/>
  <c r="M685" i="1"/>
  <c r="N685" i="1"/>
  <c r="O685" i="1"/>
  <c r="I686" i="1"/>
  <c r="J686" i="1"/>
  <c r="K686" i="1"/>
  <c r="L686" i="1"/>
  <c r="M686" i="1"/>
  <c r="N686" i="1"/>
  <c r="O686" i="1"/>
  <c r="I687" i="1"/>
  <c r="J687" i="1"/>
  <c r="K687" i="1"/>
  <c r="L687" i="1"/>
  <c r="M687" i="1"/>
  <c r="N687" i="1"/>
  <c r="O687" i="1"/>
  <c r="I688" i="1"/>
  <c r="J688" i="1"/>
  <c r="K688" i="1"/>
  <c r="L688" i="1"/>
  <c r="M688" i="1"/>
  <c r="N688" i="1"/>
  <c r="O688" i="1"/>
  <c r="I689" i="1"/>
  <c r="J689" i="1"/>
  <c r="K689" i="1"/>
  <c r="L689" i="1"/>
  <c r="M689" i="1"/>
  <c r="N689" i="1"/>
  <c r="O689" i="1"/>
  <c r="I690" i="1"/>
  <c r="J690" i="1"/>
  <c r="K690" i="1"/>
  <c r="L690" i="1"/>
  <c r="M690" i="1"/>
  <c r="N690" i="1"/>
  <c r="O690" i="1"/>
  <c r="I691" i="1"/>
  <c r="J691" i="1"/>
  <c r="K691" i="1"/>
  <c r="L691" i="1"/>
  <c r="M691" i="1"/>
  <c r="N691" i="1"/>
  <c r="O691" i="1"/>
  <c r="I692" i="1"/>
  <c r="J692" i="1"/>
  <c r="K692" i="1"/>
  <c r="L692" i="1"/>
  <c r="M692" i="1"/>
  <c r="N692" i="1"/>
  <c r="O692" i="1"/>
  <c r="I693" i="1"/>
  <c r="J693" i="1"/>
  <c r="K693" i="1"/>
  <c r="L693" i="1"/>
  <c r="M693" i="1"/>
  <c r="N693" i="1"/>
  <c r="O693" i="1"/>
  <c r="I694" i="1"/>
  <c r="J694" i="1"/>
  <c r="K694" i="1"/>
  <c r="L694" i="1"/>
  <c r="M694" i="1"/>
  <c r="N694" i="1"/>
  <c r="O694" i="1"/>
  <c r="I695" i="1"/>
  <c r="J695" i="1"/>
  <c r="K695" i="1"/>
  <c r="L695" i="1"/>
  <c r="M695" i="1"/>
  <c r="N695" i="1"/>
  <c r="O695" i="1"/>
  <c r="I696" i="1"/>
  <c r="J696" i="1"/>
  <c r="K696" i="1"/>
  <c r="L696" i="1"/>
  <c r="M696" i="1"/>
  <c r="N696" i="1"/>
  <c r="O696" i="1"/>
  <c r="I697" i="1"/>
  <c r="J697" i="1"/>
  <c r="K697" i="1"/>
  <c r="L697" i="1"/>
  <c r="M697" i="1"/>
  <c r="N697" i="1"/>
  <c r="O697" i="1"/>
  <c r="I698" i="1"/>
  <c r="J698" i="1"/>
  <c r="K698" i="1"/>
  <c r="L698" i="1"/>
  <c r="M698" i="1"/>
  <c r="N698" i="1"/>
  <c r="O698" i="1"/>
  <c r="I699" i="1"/>
  <c r="J699" i="1"/>
  <c r="K699" i="1"/>
  <c r="L699" i="1"/>
  <c r="M699" i="1"/>
  <c r="N699" i="1"/>
  <c r="O699" i="1"/>
  <c r="I700" i="1"/>
  <c r="J700" i="1"/>
  <c r="K700" i="1"/>
  <c r="L700" i="1"/>
  <c r="M700" i="1"/>
  <c r="N700" i="1"/>
  <c r="O700" i="1"/>
  <c r="I701" i="1"/>
  <c r="J701" i="1"/>
  <c r="K701" i="1"/>
  <c r="L701" i="1"/>
  <c r="M701" i="1"/>
  <c r="N701" i="1"/>
  <c r="O701" i="1"/>
  <c r="I702" i="1"/>
  <c r="J702" i="1"/>
  <c r="K702" i="1"/>
  <c r="L702" i="1"/>
  <c r="M702" i="1"/>
  <c r="N702" i="1"/>
  <c r="O702" i="1"/>
  <c r="I703" i="1"/>
  <c r="J703" i="1"/>
  <c r="K703" i="1"/>
  <c r="L703" i="1"/>
  <c r="M703" i="1"/>
  <c r="N703" i="1"/>
  <c r="O703" i="1"/>
  <c r="I704" i="1"/>
  <c r="J704" i="1"/>
  <c r="K704" i="1"/>
  <c r="L704" i="1"/>
  <c r="M704" i="1"/>
  <c r="N704" i="1"/>
  <c r="O704" i="1"/>
  <c r="I705" i="1"/>
  <c r="J705" i="1"/>
  <c r="K705" i="1"/>
  <c r="L705" i="1"/>
  <c r="M705" i="1"/>
  <c r="N705" i="1"/>
  <c r="O705" i="1"/>
  <c r="I706" i="1"/>
  <c r="J706" i="1"/>
  <c r="K706" i="1"/>
  <c r="L706" i="1"/>
  <c r="M706" i="1"/>
  <c r="N706" i="1"/>
  <c r="O706" i="1"/>
  <c r="I707" i="1"/>
  <c r="J707" i="1"/>
  <c r="K707" i="1"/>
  <c r="L707" i="1"/>
  <c r="M707" i="1"/>
  <c r="N707" i="1"/>
  <c r="O707" i="1"/>
  <c r="I708" i="1"/>
  <c r="J708" i="1"/>
  <c r="K708" i="1"/>
  <c r="L708" i="1"/>
  <c r="M708" i="1"/>
  <c r="N708" i="1"/>
  <c r="O708" i="1"/>
  <c r="I709" i="1"/>
  <c r="J709" i="1"/>
  <c r="K709" i="1"/>
  <c r="L709" i="1"/>
  <c r="M709" i="1"/>
  <c r="N709" i="1"/>
  <c r="O709" i="1"/>
  <c r="I710" i="1"/>
  <c r="J710" i="1"/>
  <c r="K710" i="1"/>
  <c r="L710" i="1"/>
  <c r="M710" i="1"/>
  <c r="N710" i="1"/>
  <c r="O710" i="1"/>
  <c r="I711" i="1"/>
  <c r="J711" i="1"/>
  <c r="K711" i="1"/>
  <c r="L711" i="1"/>
  <c r="M711" i="1"/>
  <c r="N711" i="1"/>
  <c r="O711" i="1"/>
  <c r="I712" i="1"/>
  <c r="J712" i="1"/>
  <c r="K712" i="1"/>
  <c r="L712" i="1"/>
  <c r="M712" i="1"/>
  <c r="N712" i="1"/>
  <c r="O712" i="1"/>
  <c r="I713" i="1"/>
  <c r="J713" i="1"/>
  <c r="K713" i="1"/>
  <c r="L713" i="1"/>
  <c r="M713" i="1"/>
  <c r="N713" i="1"/>
  <c r="O713" i="1"/>
  <c r="I714" i="1"/>
  <c r="J714" i="1"/>
  <c r="K714" i="1"/>
  <c r="L714" i="1"/>
  <c r="M714" i="1"/>
  <c r="N714" i="1"/>
  <c r="O714" i="1"/>
  <c r="I715" i="1"/>
  <c r="J715" i="1"/>
  <c r="K715" i="1"/>
  <c r="L715" i="1"/>
  <c r="M715" i="1"/>
  <c r="N715" i="1"/>
  <c r="O715" i="1"/>
  <c r="I716" i="1"/>
  <c r="J716" i="1"/>
  <c r="K716" i="1"/>
  <c r="L716" i="1"/>
  <c r="M716" i="1"/>
  <c r="N716" i="1"/>
  <c r="O716" i="1"/>
  <c r="I717" i="1"/>
  <c r="J717" i="1"/>
  <c r="K717" i="1"/>
  <c r="L717" i="1"/>
  <c r="M717" i="1"/>
  <c r="N717" i="1"/>
  <c r="O717" i="1"/>
  <c r="I718" i="1"/>
  <c r="J718" i="1"/>
  <c r="K718" i="1"/>
  <c r="L718" i="1"/>
  <c r="M718" i="1"/>
  <c r="N718" i="1"/>
  <c r="O718" i="1"/>
  <c r="I719" i="1"/>
  <c r="J719" i="1"/>
  <c r="K719" i="1"/>
  <c r="L719" i="1"/>
  <c r="M719" i="1"/>
  <c r="N719" i="1"/>
  <c r="O719" i="1"/>
  <c r="I720" i="1"/>
  <c r="J720" i="1"/>
  <c r="K720" i="1"/>
  <c r="L720" i="1"/>
  <c r="M720" i="1"/>
  <c r="N720" i="1"/>
  <c r="O720" i="1"/>
  <c r="I721" i="1"/>
  <c r="J721" i="1"/>
  <c r="K721" i="1"/>
  <c r="L721" i="1"/>
  <c r="M721" i="1"/>
  <c r="N721" i="1"/>
  <c r="O721" i="1"/>
  <c r="I722" i="1"/>
  <c r="J722" i="1"/>
  <c r="K722" i="1"/>
  <c r="L722" i="1"/>
  <c r="M722" i="1"/>
  <c r="N722" i="1"/>
  <c r="O722" i="1"/>
  <c r="I723" i="1"/>
  <c r="J723" i="1"/>
  <c r="K723" i="1"/>
  <c r="L723" i="1"/>
  <c r="M723" i="1"/>
  <c r="N723" i="1"/>
  <c r="O723" i="1"/>
  <c r="I724" i="1"/>
  <c r="J724" i="1"/>
  <c r="K724" i="1"/>
  <c r="L724" i="1"/>
  <c r="M724" i="1"/>
  <c r="N724" i="1"/>
  <c r="O724" i="1"/>
  <c r="I725" i="1"/>
  <c r="J725" i="1"/>
  <c r="K725" i="1"/>
  <c r="L725" i="1"/>
  <c r="M725" i="1"/>
  <c r="N725" i="1"/>
  <c r="O725" i="1"/>
  <c r="I726" i="1"/>
  <c r="J726" i="1"/>
  <c r="K726" i="1"/>
  <c r="L726" i="1"/>
  <c r="M726" i="1"/>
  <c r="N726" i="1"/>
  <c r="O726" i="1"/>
  <c r="I727" i="1"/>
  <c r="J727" i="1"/>
  <c r="K727" i="1"/>
  <c r="L727" i="1"/>
  <c r="M727" i="1"/>
  <c r="N727" i="1"/>
  <c r="O727" i="1"/>
  <c r="I728" i="1"/>
  <c r="J728" i="1"/>
  <c r="K728" i="1"/>
  <c r="L728" i="1"/>
  <c r="M728" i="1"/>
  <c r="N728" i="1"/>
  <c r="O728" i="1"/>
  <c r="I729" i="1"/>
  <c r="J729" i="1"/>
  <c r="K729" i="1"/>
  <c r="L729" i="1"/>
  <c r="M729" i="1"/>
  <c r="N729" i="1"/>
  <c r="O729" i="1"/>
  <c r="I730" i="1"/>
  <c r="J730" i="1"/>
  <c r="K730" i="1"/>
  <c r="L730" i="1"/>
  <c r="M730" i="1"/>
  <c r="N730" i="1"/>
  <c r="O730" i="1"/>
  <c r="I731" i="1"/>
  <c r="J731" i="1"/>
  <c r="K731" i="1"/>
  <c r="L731" i="1"/>
  <c r="M731" i="1"/>
  <c r="N731" i="1"/>
  <c r="O731" i="1"/>
  <c r="I732" i="1"/>
  <c r="J732" i="1"/>
  <c r="K732" i="1"/>
  <c r="L732" i="1"/>
  <c r="M732" i="1"/>
  <c r="N732" i="1"/>
  <c r="O732" i="1"/>
  <c r="I733" i="1"/>
  <c r="J733" i="1"/>
  <c r="K733" i="1"/>
  <c r="L733" i="1"/>
  <c r="M733" i="1"/>
  <c r="N733" i="1"/>
  <c r="O733" i="1"/>
  <c r="I734" i="1"/>
  <c r="J734" i="1"/>
  <c r="K734" i="1"/>
  <c r="L734" i="1"/>
  <c r="M734" i="1"/>
  <c r="N734" i="1"/>
  <c r="O734" i="1"/>
  <c r="I735" i="1"/>
  <c r="J735" i="1"/>
  <c r="K735" i="1"/>
  <c r="L735" i="1"/>
  <c r="M735" i="1"/>
  <c r="N735" i="1"/>
  <c r="O735" i="1"/>
  <c r="I736" i="1"/>
  <c r="J736" i="1"/>
  <c r="K736" i="1"/>
  <c r="L736" i="1"/>
  <c r="M736" i="1"/>
  <c r="N736" i="1"/>
  <c r="O736" i="1"/>
  <c r="I737" i="1"/>
  <c r="J737" i="1"/>
  <c r="K737" i="1"/>
  <c r="L737" i="1"/>
  <c r="M737" i="1"/>
  <c r="N737" i="1"/>
  <c r="O737" i="1"/>
  <c r="I738" i="1"/>
  <c r="J738" i="1"/>
  <c r="K738" i="1"/>
  <c r="L738" i="1"/>
  <c r="M738" i="1"/>
  <c r="N738" i="1"/>
  <c r="O738" i="1"/>
  <c r="I739" i="1"/>
  <c r="J739" i="1"/>
  <c r="K739" i="1"/>
  <c r="L739" i="1"/>
  <c r="M739" i="1"/>
  <c r="N739" i="1"/>
  <c r="O739" i="1"/>
  <c r="I740" i="1"/>
  <c r="J740" i="1"/>
  <c r="K740" i="1"/>
  <c r="L740" i="1"/>
  <c r="M740" i="1"/>
  <c r="N740" i="1"/>
  <c r="O740" i="1"/>
  <c r="I741" i="1"/>
  <c r="J741" i="1"/>
  <c r="K741" i="1"/>
  <c r="L741" i="1"/>
  <c r="M741" i="1"/>
  <c r="N741" i="1"/>
  <c r="O741" i="1"/>
  <c r="I742" i="1"/>
  <c r="J742" i="1"/>
  <c r="K742" i="1"/>
  <c r="L742" i="1"/>
  <c r="M742" i="1"/>
  <c r="N742" i="1"/>
  <c r="O742" i="1"/>
  <c r="I743" i="1"/>
  <c r="J743" i="1"/>
  <c r="K743" i="1"/>
  <c r="L743" i="1"/>
  <c r="M743" i="1"/>
  <c r="N743" i="1"/>
  <c r="O743" i="1"/>
  <c r="I744" i="1"/>
  <c r="J744" i="1"/>
  <c r="K744" i="1"/>
  <c r="L744" i="1"/>
  <c r="M744" i="1"/>
  <c r="N744" i="1"/>
  <c r="O744" i="1"/>
  <c r="I745" i="1"/>
  <c r="J745" i="1"/>
  <c r="K745" i="1"/>
  <c r="L745" i="1"/>
  <c r="M745" i="1"/>
  <c r="N745" i="1"/>
  <c r="O745" i="1"/>
  <c r="I746" i="1"/>
  <c r="J746" i="1"/>
  <c r="K746" i="1"/>
  <c r="L746" i="1"/>
  <c r="M746" i="1"/>
  <c r="N746" i="1"/>
  <c r="O746" i="1"/>
  <c r="I747" i="1"/>
  <c r="J747" i="1"/>
  <c r="K747" i="1"/>
  <c r="L747" i="1"/>
  <c r="M747" i="1"/>
  <c r="N747" i="1"/>
  <c r="O747" i="1"/>
  <c r="I748" i="1"/>
  <c r="J748" i="1"/>
  <c r="K748" i="1"/>
  <c r="L748" i="1"/>
  <c r="M748" i="1"/>
  <c r="N748" i="1"/>
  <c r="O748" i="1"/>
  <c r="I749" i="1"/>
  <c r="J749" i="1"/>
  <c r="K749" i="1"/>
  <c r="L749" i="1"/>
  <c r="M749" i="1"/>
  <c r="N749" i="1"/>
  <c r="O749" i="1"/>
  <c r="I750" i="1"/>
  <c r="J750" i="1"/>
  <c r="K750" i="1"/>
  <c r="L750" i="1"/>
  <c r="M750" i="1"/>
  <c r="N750" i="1"/>
  <c r="O750" i="1"/>
  <c r="I751" i="1"/>
  <c r="J751" i="1"/>
  <c r="K751" i="1"/>
  <c r="L751" i="1"/>
  <c r="M751" i="1"/>
  <c r="N751" i="1"/>
  <c r="O751" i="1"/>
  <c r="I752" i="1"/>
  <c r="J752" i="1"/>
  <c r="K752" i="1"/>
  <c r="L752" i="1"/>
  <c r="M752" i="1"/>
  <c r="N752" i="1"/>
  <c r="O752" i="1"/>
  <c r="I753" i="1"/>
  <c r="J753" i="1"/>
  <c r="K753" i="1"/>
  <c r="L753" i="1"/>
  <c r="M753" i="1"/>
  <c r="N753" i="1"/>
  <c r="O753" i="1"/>
  <c r="I754" i="1"/>
  <c r="J754" i="1"/>
  <c r="K754" i="1"/>
  <c r="L754" i="1"/>
  <c r="M754" i="1"/>
  <c r="N754" i="1"/>
  <c r="O754" i="1"/>
  <c r="I755" i="1"/>
  <c r="J755" i="1"/>
  <c r="K755" i="1"/>
  <c r="L755" i="1"/>
  <c r="M755" i="1"/>
  <c r="N755" i="1"/>
  <c r="O755" i="1"/>
  <c r="J4" i="1"/>
  <c r="K4" i="1"/>
  <c r="L4" i="1"/>
  <c r="M4" i="1"/>
  <c r="N4" i="1"/>
  <c r="O4" i="1"/>
  <c r="I4" i="1"/>
</calcChain>
</file>

<file path=xl/sharedStrings.xml><?xml version="1.0" encoding="utf-8"?>
<sst xmlns="http://schemas.openxmlformats.org/spreadsheetml/2006/main" count="381" uniqueCount="56">
  <si>
    <t>Date</t>
  </si>
  <si>
    <t>AAPL</t>
  </si>
  <si>
    <t>COST</t>
  </si>
  <si>
    <t>JNJ</t>
  </si>
  <si>
    <t>JPM</t>
  </si>
  <si>
    <t>NEE</t>
  </si>
  <si>
    <t>PG</t>
  </si>
  <si>
    <t>^GSPC</t>
  </si>
  <si>
    <t>Daily Prices</t>
  </si>
  <si>
    <t>Log Returns</t>
  </si>
  <si>
    <t>Daily Return</t>
  </si>
  <si>
    <t>Annual Return</t>
  </si>
  <si>
    <t>Daily Std</t>
  </si>
  <si>
    <t>Annual Std</t>
  </si>
  <si>
    <t>Daily Covariance</t>
  </si>
  <si>
    <t>Annual Covariance</t>
  </si>
  <si>
    <t>Correlation</t>
  </si>
  <si>
    <t>Weights, GMV</t>
  </si>
  <si>
    <t>Weights, MSR</t>
  </si>
  <si>
    <t>Variance, GMV</t>
  </si>
  <si>
    <t>Variance, MSR</t>
  </si>
  <si>
    <t>SUM</t>
  </si>
  <si>
    <t>Std,GMV</t>
  </si>
  <si>
    <t>Return, GMV</t>
  </si>
  <si>
    <t>Risk free return</t>
  </si>
  <si>
    <t>Sharp Ratio, GMV</t>
  </si>
  <si>
    <t>Std,MSR</t>
  </si>
  <si>
    <t>Return, MSR</t>
  </si>
  <si>
    <t>Sharp Ratio, MSR</t>
  </si>
  <si>
    <t>Weights, Equal</t>
  </si>
  <si>
    <t>Variance, Equal</t>
  </si>
  <si>
    <t>Std,Equal</t>
  </si>
  <si>
    <t>Return, Equal</t>
  </si>
  <si>
    <t>Sharp Ratio, Equal</t>
  </si>
  <si>
    <t>With short selling</t>
  </si>
  <si>
    <t>Without short selling</t>
  </si>
  <si>
    <t>For the equal weighted portfolio it doesn't matter whether it is with short selling constraint or not</t>
  </si>
  <si>
    <t>Beta</t>
  </si>
  <si>
    <t>without short selling</t>
  </si>
  <si>
    <t>GMV</t>
  </si>
  <si>
    <t>MSR</t>
  </si>
  <si>
    <t>with short selling</t>
  </si>
  <si>
    <t>Equal</t>
  </si>
  <si>
    <t>CAPM E[R]</t>
  </si>
  <si>
    <t>Jensen's Alpha</t>
  </si>
  <si>
    <t>Systematic Risk</t>
  </si>
  <si>
    <t>Idiosyncratic Risk</t>
  </si>
  <si>
    <t>PART B</t>
  </si>
  <si>
    <t>For Individual stocks</t>
  </si>
  <si>
    <t xml:space="preserve"> For Each constructed portfolio</t>
  </si>
  <si>
    <t>PART D</t>
  </si>
  <si>
    <t>Part A. b - done in the Colab sheet</t>
  </si>
  <si>
    <t xml:space="preserve">Part A. c - included in the report. </t>
  </si>
  <si>
    <t>Economic interpretation has been included in the report.</t>
  </si>
  <si>
    <t>A critical assessment of portfolio performance relative to CAPM predictions has been included in the report.</t>
  </si>
  <si>
    <t>Part E also has been included in the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</si>
</sst>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28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11"/>
      <color theme="3" tint="-0.249977111117893"/>
      <name val="Calibri"/>
      <family val="2"/>
    </font>
    <font>
      <sz val="11"/>
      <color theme="3" tint="-0.249977111117893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b/>
      <sz val="11"/>
      <color theme="3" tint="0.39997558519241921"/>
      <name val="Calibri"/>
      <family val="2"/>
    </font>
    <font>
      <sz val="11"/>
      <color theme="3" tint="0.3999755851924192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theme="5" tint="-0.249977111117893"/>
      <name val="Calibri"/>
      <family val="2"/>
    </font>
    <font>
      <b/>
      <sz val="11"/>
      <color theme="5" tint="-0.249977111117893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0" fillId="0" borderId="3" xfId="0" applyBorder="1"/>
    <xf numFmtId="0" fontId="3" fillId="0" borderId="4" xfId="0" applyFont="1" applyBorder="1" applyAlignment="1">
      <alignment horizontal="center"/>
    </xf>
    <xf numFmtId="10" fontId="0" fillId="0" borderId="0" xfId="0" applyNumberFormat="1"/>
    <xf numFmtId="0" fontId="4" fillId="0" borderId="5" xfId="0" applyFont="1" applyBorder="1" applyAlignment="1">
      <alignment horizontal="center" vertical="top"/>
    </xf>
    <xf numFmtId="2" fontId="0" fillId="0" borderId="0" xfId="0" applyNumberFormat="1"/>
    <xf numFmtId="0" fontId="3" fillId="0" borderId="0" xfId="0" applyFont="1" applyAlignment="1">
      <alignment horizontal="center"/>
    </xf>
    <xf numFmtId="0" fontId="6" fillId="0" borderId="0" xfId="0" applyFont="1" applyAlignment="1">
      <alignment textRotation="90"/>
    </xf>
    <xf numFmtId="0" fontId="9" fillId="0" borderId="1" xfId="0" applyFont="1" applyBorder="1" applyAlignment="1">
      <alignment horizontal="center" vertical="top"/>
    </xf>
    <xf numFmtId="0" fontId="10" fillId="0" borderId="0" xfId="0" applyFont="1"/>
    <xf numFmtId="0" fontId="12" fillId="0" borderId="1" xfId="0" applyFont="1" applyBorder="1" applyAlignment="1">
      <alignment horizontal="center" vertical="top"/>
    </xf>
    <xf numFmtId="0" fontId="13" fillId="0" borderId="0" xfId="0" applyFont="1"/>
    <xf numFmtId="0" fontId="1" fillId="0" borderId="6" xfId="0" applyFont="1" applyBorder="1" applyAlignment="1">
      <alignment horizontal="center" vertical="top"/>
    </xf>
    <xf numFmtId="0" fontId="0" fillId="0" borderId="1" xfId="0" applyBorder="1"/>
    <xf numFmtId="10" fontId="0" fillId="0" borderId="1" xfId="0" applyNumberFormat="1" applyBorder="1"/>
    <xf numFmtId="0" fontId="4" fillId="0" borderId="1" xfId="0" applyFont="1" applyBorder="1" applyAlignment="1">
      <alignment horizontal="center" vertical="top"/>
    </xf>
    <xf numFmtId="0" fontId="14" fillId="0" borderId="0" xfId="0" applyFont="1"/>
    <xf numFmtId="0" fontId="15" fillId="0" borderId="6" xfId="0" applyFont="1" applyBorder="1" applyAlignment="1">
      <alignment horizontal="center" vertical="top"/>
    </xf>
    <xf numFmtId="0" fontId="15" fillId="0" borderId="1" xfId="0" applyFont="1" applyBorder="1" applyAlignment="1">
      <alignment horizontal="center" vertical="top"/>
    </xf>
    <xf numFmtId="10" fontId="14" fillId="0" borderId="1" xfId="0" applyNumberFormat="1" applyFont="1" applyBorder="1"/>
    <xf numFmtId="10" fontId="14" fillId="0" borderId="0" xfId="0" applyNumberFormat="1" applyFont="1"/>
    <xf numFmtId="2" fontId="14" fillId="0" borderId="0" xfId="0" applyNumberFormat="1" applyFont="1"/>
    <xf numFmtId="0" fontId="16" fillId="0" borderId="1" xfId="0" applyFont="1" applyBorder="1"/>
    <xf numFmtId="0" fontId="16" fillId="0" borderId="0" xfId="0" applyFont="1"/>
    <xf numFmtId="0" fontId="2" fillId="0" borderId="1" xfId="0" applyFont="1" applyBorder="1"/>
    <xf numFmtId="0" fontId="2" fillId="0" borderId="0" xfId="0" applyFont="1"/>
    <xf numFmtId="0" fontId="9" fillId="0" borderId="6" xfId="0" applyFont="1" applyBorder="1" applyAlignment="1">
      <alignment horizontal="center" vertical="top"/>
    </xf>
    <xf numFmtId="0" fontId="8" fillId="0" borderId="1" xfId="0" applyFont="1" applyBorder="1"/>
    <xf numFmtId="10" fontId="10" fillId="0" borderId="1" xfId="0" applyNumberFormat="1" applyFont="1" applyBorder="1"/>
    <xf numFmtId="0" fontId="8" fillId="0" borderId="0" xfId="0" applyFont="1"/>
    <xf numFmtId="10" fontId="10" fillId="0" borderId="0" xfId="0" applyNumberFormat="1" applyFont="1"/>
    <xf numFmtId="2" fontId="10" fillId="0" borderId="0" xfId="0" applyNumberFormat="1" applyFont="1"/>
    <xf numFmtId="0" fontId="9" fillId="0" borderId="7" xfId="0" applyFont="1" applyBorder="1" applyAlignment="1">
      <alignment horizontal="center" vertical="top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2" fontId="0" fillId="0" borderId="1" xfId="0" applyNumberFormat="1" applyBorder="1"/>
    <xf numFmtId="0" fontId="2" fillId="0" borderId="6" xfId="0" applyFont="1" applyBorder="1"/>
    <xf numFmtId="0" fontId="0" fillId="0" borderId="0" xfId="0" applyAlignment="1">
      <alignment vertical="center"/>
    </xf>
    <xf numFmtId="0" fontId="0" fillId="5" borderId="11" xfId="0" applyFill="1" applyBorder="1"/>
    <xf numFmtId="0" fontId="0" fillId="5" borderId="0" xfId="0" applyFill="1"/>
    <xf numFmtId="0" fontId="2" fillId="5" borderId="0" xfId="0" applyFont="1" applyFill="1"/>
    <xf numFmtId="0" fontId="0" fillId="5" borderId="12" xfId="0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7" fillId="3" borderId="0" xfId="0" applyFont="1" applyFill="1" applyAlignment="1">
      <alignment horizontal="center" textRotation="90"/>
    </xf>
    <xf numFmtId="0" fontId="5" fillId="2" borderId="0" xfId="0" applyFont="1" applyFill="1" applyAlignment="1">
      <alignment horizontal="center" textRotation="90"/>
    </xf>
    <xf numFmtId="0" fontId="2" fillId="0" borderId="0" xfId="0" applyFont="1" applyAlignment="1">
      <alignment horizontal="center"/>
    </xf>
    <xf numFmtId="0" fontId="17" fillId="4" borderId="0" xfId="0" applyFont="1" applyFill="1" applyAlignment="1">
      <alignment horizontal="center"/>
    </xf>
    <xf numFmtId="0" fontId="0" fillId="4" borderId="12" xfId="0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4" borderId="0" xfId="0" applyFont="1" applyFill="1" applyAlignment="1">
      <alignment horizontal="center"/>
    </xf>
    <xf numFmtId="0" fontId="19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12</xdr:col>
      <xdr:colOff>191362</xdr:colOff>
      <xdr:row>19</xdr:row>
      <xdr:rowOff>107951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E655AE-C347-8617-54F5-91BC60722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4151"/>
          <a:ext cx="6896962" cy="342265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20</xdr:row>
      <xdr:rowOff>1</xdr:rowOff>
    </xdr:from>
    <xdr:to>
      <xdr:col>12</xdr:col>
      <xdr:colOff>236194</xdr:colOff>
      <xdr:row>36</xdr:row>
      <xdr:rowOff>146051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5388AE-EB35-6064-DCCC-394AA178B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1" y="3683001"/>
          <a:ext cx="6941793" cy="3092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12</xdr:col>
      <xdr:colOff>298113</xdr:colOff>
      <xdr:row>64</xdr:row>
      <xdr:rowOff>120650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E941D2-D4C5-3E17-A739-0BADB283C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6813550"/>
          <a:ext cx="7003713" cy="50927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65</xdr:row>
      <xdr:rowOff>0</xdr:rowOff>
    </xdr:from>
    <xdr:to>
      <xdr:col>12</xdr:col>
      <xdr:colOff>416319</xdr:colOff>
      <xdr:row>86</xdr:row>
      <xdr:rowOff>12700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11DE4A7-6C19-6D12-F8D3-280755B9C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1" y="11969750"/>
          <a:ext cx="7121918" cy="3879850"/>
        </a:xfrm>
        <a:prstGeom prst="rect">
          <a:avLst/>
        </a:prstGeom>
      </xdr:spPr>
    </xdr:pic>
    <xdr:clientData/>
  </xdr:twoCellAnchor>
  <xdr:twoCellAnchor editAs="oneCell">
    <xdr:from>
      <xdr:col>0</xdr:col>
      <xdr:colOff>609599</xdr:colOff>
      <xdr:row>87</xdr:row>
      <xdr:rowOff>0</xdr:rowOff>
    </xdr:from>
    <xdr:to>
      <xdr:col>12</xdr:col>
      <xdr:colOff>353674</xdr:colOff>
      <xdr:row>102</xdr:row>
      <xdr:rowOff>63500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7C28301-A888-B0BC-6D19-5FC6F3E7D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599" y="16021050"/>
          <a:ext cx="7059275" cy="2825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140073</xdr:colOff>
      <xdr:row>22</xdr:row>
      <xdr:rowOff>46691</xdr:rowOff>
    </xdr:from>
    <xdr:to>
      <xdr:col>23</xdr:col>
      <xdr:colOff>700367</xdr:colOff>
      <xdr:row>22</xdr:row>
      <xdr:rowOff>92410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9B39A0C5-82C6-9423-A402-8327CB40623D}"/>
            </a:ext>
          </a:extLst>
        </xdr:cNvPr>
        <xdr:cNvSpPr/>
      </xdr:nvSpPr>
      <xdr:spPr>
        <a:xfrm>
          <a:off x="17079632" y="4155515"/>
          <a:ext cx="560294" cy="4571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D8856-F95C-419E-B1F5-BA9DDA7BEA44}">
  <dimension ref="A1"/>
  <sheetViews>
    <sheetView tabSelected="1" topLeftCell="A78" workbookViewId="0">
      <selection activeCell="P99" sqref="P99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755"/>
  <sheetViews>
    <sheetView topLeftCell="J1" zoomScale="52" workbookViewId="0">
      <selection activeCell="AB24" sqref="AB24:AD24"/>
    </sheetView>
  </sheetViews>
  <sheetFormatPr defaultRowHeight="14.5" x14ac:dyDescent="0.35"/>
  <cols>
    <col min="1" max="1" width="28" bestFit="1" customWidth="1"/>
    <col min="2" max="8" width="8.81640625" bestFit="1" customWidth="1"/>
    <col min="9" max="9" width="9" bestFit="1" customWidth="1"/>
    <col min="10" max="10" width="12.453125" bestFit="1" customWidth="1"/>
    <col min="11" max="11" width="9" bestFit="1" customWidth="1"/>
    <col min="12" max="12" width="8.81640625" bestFit="1" customWidth="1"/>
    <col min="13" max="15" width="9" bestFit="1" customWidth="1"/>
    <col min="18" max="18" width="12.90625" bestFit="1" customWidth="1"/>
    <col min="19" max="21" width="9" bestFit="1" customWidth="1"/>
    <col min="22" max="22" width="8.81640625" bestFit="1" customWidth="1"/>
    <col min="23" max="24" width="15.26953125" bestFit="1" customWidth="1"/>
    <col min="25" max="25" width="9" bestFit="1" customWidth="1"/>
    <col min="29" max="35" width="15.26953125" bestFit="1" customWidth="1"/>
    <col min="39" max="45" width="8.81640625" bestFit="1" customWidth="1"/>
  </cols>
  <sheetData>
    <row r="1" spans="1:45" ht="15" thickBot="1" x14ac:dyDescent="0.4">
      <c r="B1" s="51" t="s">
        <v>8</v>
      </c>
      <c r="C1" s="51"/>
      <c r="D1" s="51"/>
      <c r="E1" s="51"/>
      <c r="F1" s="51"/>
      <c r="G1" s="51"/>
      <c r="H1" s="51"/>
      <c r="I1" s="52" t="s">
        <v>9</v>
      </c>
      <c r="J1" s="52"/>
      <c r="K1" s="52"/>
      <c r="L1" s="52"/>
      <c r="M1" s="52"/>
      <c r="N1" s="52"/>
      <c r="O1" s="52"/>
      <c r="AB1" s="53" t="s">
        <v>14</v>
      </c>
      <c r="AC1" s="53"/>
      <c r="AD1" s="53"/>
      <c r="AE1" s="53"/>
      <c r="AF1" s="53"/>
      <c r="AG1" s="53"/>
      <c r="AH1" s="53"/>
      <c r="AI1" s="53"/>
      <c r="AL1" s="53" t="s">
        <v>16</v>
      </c>
      <c r="AM1" s="53"/>
      <c r="AN1" s="53"/>
      <c r="AO1" s="53"/>
      <c r="AP1" s="53"/>
      <c r="AQ1" s="53"/>
      <c r="AR1" s="53"/>
      <c r="AS1" s="53"/>
    </row>
    <row r="2" spans="1:4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2" t="s">
        <v>1</v>
      </c>
      <c r="J2" s="12" t="s">
        <v>2</v>
      </c>
      <c r="K2" s="12" t="s">
        <v>3</v>
      </c>
      <c r="L2" s="12" t="s">
        <v>4</v>
      </c>
      <c r="M2" s="12" t="s">
        <v>5</v>
      </c>
      <c r="N2" s="12" t="s">
        <v>6</v>
      </c>
      <c r="O2" s="12" t="s">
        <v>7</v>
      </c>
      <c r="S2" s="14" t="s">
        <v>1</v>
      </c>
      <c r="T2" s="14" t="s">
        <v>2</v>
      </c>
      <c r="U2" s="14" t="s">
        <v>3</v>
      </c>
      <c r="V2" s="14" t="s">
        <v>4</v>
      </c>
      <c r="W2" s="14" t="s">
        <v>5</v>
      </c>
      <c r="X2" s="14" t="s">
        <v>6</v>
      </c>
      <c r="Y2" s="14" t="s">
        <v>7</v>
      </c>
      <c r="AB2" s="4"/>
      <c r="AC2" s="4" t="s">
        <v>1</v>
      </c>
      <c r="AD2" s="4" t="s">
        <v>2</v>
      </c>
      <c r="AE2" s="4" t="s">
        <v>3</v>
      </c>
      <c r="AF2" s="4" t="s">
        <v>4</v>
      </c>
      <c r="AG2" s="4" t="s">
        <v>5</v>
      </c>
      <c r="AH2" s="4" t="s">
        <v>6</v>
      </c>
      <c r="AI2" s="4" t="s">
        <v>7</v>
      </c>
      <c r="AL2" s="4"/>
      <c r="AM2" s="4" t="s">
        <v>1</v>
      </c>
      <c r="AN2" s="4" t="s">
        <v>2</v>
      </c>
      <c r="AO2" s="4" t="s">
        <v>3</v>
      </c>
      <c r="AP2" s="4" t="s">
        <v>4</v>
      </c>
      <c r="AQ2" s="4" t="s">
        <v>5</v>
      </c>
      <c r="AR2" s="4" t="s">
        <v>6</v>
      </c>
      <c r="AS2" s="4" t="s">
        <v>7</v>
      </c>
    </row>
    <row r="3" spans="1:45" x14ac:dyDescent="0.35">
      <c r="A3" s="2">
        <v>44936</v>
      </c>
      <c r="B3">
        <v>128.78706359863281</v>
      </c>
      <c r="C3">
        <v>462.03518676757813</v>
      </c>
      <c r="D3">
        <v>159.89002990722659</v>
      </c>
      <c r="E3">
        <v>129.09278869628909</v>
      </c>
      <c r="F3">
        <v>77.475364685058594</v>
      </c>
      <c r="G3">
        <v>140.81109619140619</v>
      </c>
      <c r="H3">
        <v>3919.25</v>
      </c>
      <c r="I3" s="13"/>
      <c r="J3" s="13"/>
      <c r="K3" s="13"/>
      <c r="L3" s="13"/>
      <c r="M3" s="13"/>
      <c r="N3" s="13"/>
      <c r="O3" s="13"/>
      <c r="R3" s="15" t="s">
        <v>10</v>
      </c>
      <c r="S3" s="15">
        <f>AVERAGE(I4:I755)</f>
        <v>9.3097769167266222E-4</v>
      </c>
      <c r="T3" s="15">
        <f t="shared" ref="T3:Y3" si="0">AVERAGE(J4:J755)</f>
        <v>9.2290286519987666E-4</v>
      </c>
      <c r="U3" s="15">
        <f t="shared" si="0"/>
        <v>3.2652083061356763E-4</v>
      </c>
      <c r="V3" s="15">
        <f t="shared" si="0"/>
        <v>1.244818698235269E-3</v>
      </c>
      <c r="W3" s="15">
        <f t="shared" si="0"/>
        <v>4.0812061248975613E-5</v>
      </c>
      <c r="X3" s="15">
        <f t="shared" si="0"/>
        <v>9.9625825931375852E-6</v>
      </c>
      <c r="Y3" s="15">
        <f t="shared" si="0"/>
        <v>7.6486838638692033E-4</v>
      </c>
      <c r="AB3" t="s">
        <v>1</v>
      </c>
      <c r="AC3">
        <f>VARP('Part A'!$I$3:$I$755)</f>
        <v>2.5524943626919946E-4</v>
      </c>
      <c r="AD3">
        <f t="array" ref="AD3:AI3">TRANSPOSE(AC4:AC9)</f>
        <v>6.6514617764580668E-5</v>
      </c>
      <c r="AE3">
        <v>1.0257314477029185E-5</v>
      </c>
      <c r="AF3">
        <v>6.9517755994443538E-5</v>
      </c>
      <c r="AG3">
        <v>3.7287102234279945E-5</v>
      </c>
      <c r="AH3">
        <v>2.3668654145329817E-5</v>
      </c>
      <c r="AI3">
        <v>1.0253729160186975E-4</v>
      </c>
      <c r="AL3" t="s">
        <v>1</v>
      </c>
      <c r="AM3">
        <v>1</v>
      </c>
      <c r="AN3">
        <f t="array" ref="AN3:AS3">TRANSPOSE(AM4:AM9)</f>
        <v>0.33617743672358469</v>
      </c>
      <c r="AO3">
        <v>5.9452545658417746E-2</v>
      </c>
      <c r="AP3">
        <v>0.29918964788189706</v>
      </c>
      <c r="AQ3">
        <v>0.13522439643568529</v>
      </c>
      <c r="AR3">
        <v>0.14328659721734774</v>
      </c>
      <c r="AS3">
        <v>0.68182721371837507</v>
      </c>
    </row>
    <row r="4" spans="1:45" x14ac:dyDescent="0.35">
      <c r="A4" s="2">
        <v>44937</v>
      </c>
      <c r="B4">
        <v>131.50605773925781</v>
      </c>
      <c r="C4">
        <v>464.82806396484381</v>
      </c>
      <c r="D4">
        <v>159.6344299316406</v>
      </c>
      <c r="E4">
        <v>130.05216979980469</v>
      </c>
      <c r="F4">
        <v>77.896926879882813</v>
      </c>
      <c r="G4">
        <v>139.67083740234381</v>
      </c>
      <c r="H4">
        <v>3969.610107421875</v>
      </c>
      <c r="I4" s="13">
        <f>LN(B4/B3)</f>
        <v>2.0892546287810652E-2</v>
      </c>
      <c r="J4" s="13">
        <f t="shared" ref="J4:O4" si="1">LN(C4/C3)</f>
        <v>6.0265322806798121E-3</v>
      </c>
      <c r="K4" s="13">
        <f t="shared" si="1"/>
        <v>-1.5998777072312512E-3</v>
      </c>
      <c r="L4" s="13">
        <f t="shared" si="1"/>
        <v>7.4042380918471953E-3</v>
      </c>
      <c r="M4" s="13">
        <f t="shared" si="1"/>
        <v>5.4264917515157024E-3</v>
      </c>
      <c r="N4" s="13">
        <f t="shared" si="1"/>
        <v>-8.1307559188888053E-3</v>
      </c>
      <c r="O4" s="13">
        <f t="shared" si="1"/>
        <v>1.2767571192293676E-2</v>
      </c>
      <c r="R4" s="15" t="s">
        <v>11</v>
      </c>
      <c r="S4" s="15">
        <f>S3*252</f>
        <v>0.23460637830151088</v>
      </c>
      <c r="T4" s="15">
        <f t="shared" ref="T4:Y4" si="2">T3*252</f>
        <v>0.23257152203036893</v>
      </c>
      <c r="U4" s="15">
        <f t="shared" si="2"/>
        <v>8.2283249314619042E-2</v>
      </c>
      <c r="V4" s="15">
        <f t="shared" si="2"/>
        <v>0.3136943119552878</v>
      </c>
      <c r="W4" s="15">
        <f t="shared" si="2"/>
        <v>1.0284639434741854E-2</v>
      </c>
      <c r="X4" s="15">
        <f t="shared" si="2"/>
        <v>2.5105708134706716E-3</v>
      </c>
      <c r="Y4" s="15">
        <f t="shared" si="2"/>
        <v>0.19274683336950393</v>
      </c>
      <c r="AB4" t="s">
        <v>2</v>
      </c>
      <c r="AC4">
        <v>6.6514617764580668E-5</v>
      </c>
      <c r="AD4">
        <f>VARP('Part A'!$J$3:$J$755)</f>
        <v>1.5336712797550686E-4</v>
      </c>
      <c r="AE4">
        <f t="array" ref="AE4:AI4">TRANSPOSE(AD5:AD9)</f>
        <v>1.1619868038172224E-5</v>
      </c>
      <c r="AF4">
        <v>4.3485997992769345E-5</v>
      </c>
      <c r="AG4">
        <v>2.061573705271034E-5</v>
      </c>
      <c r="AH4">
        <v>3.5350911758263607E-5</v>
      </c>
      <c r="AI4">
        <v>5.5491219420835764E-5</v>
      </c>
      <c r="AL4" t="s">
        <v>2</v>
      </c>
      <c r="AM4">
        <v>0.33617743672358469</v>
      </c>
      <c r="AN4">
        <v>1</v>
      </c>
      <c r="AO4">
        <f t="array" ref="AO4:AS4">TRANSPOSE(AN5:AN9)</f>
        <v>8.6886886257778767E-2</v>
      </c>
      <c r="AP4">
        <v>0.24144405294253313</v>
      </c>
      <c r="AQ4">
        <v>9.645206670902895E-2</v>
      </c>
      <c r="AR4">
        <v>0.27608885670593625</v>
      </c>
      <c r="AS4">
        <v>0.47602856178141129</v>
      </c>
    </row>
    <row r="5" spans="1:45" x14ac:dyDescent="0.35">
      <c r="A5" s="2">
        <v>44938</v>
      </c>
      <c r="B5">
        <v>131.42723083496091</v>
      </c>
      <c r="C5">
        <v>463.02371215820313</v>
      </c>
      <c r="D5">
        <v>158.8311462402344</v>
      </c>
      <c r="E5">
        <v>129.92176818847659</v>
      </c>
      <c r="F5">
        <v>77.961074829101563</v>
      </c>
      <c r="G5">
        <v>138.8828430175781</v>
      </c>
      <c r="H5">
        <v>3983.169921875</v>
      </c>
      <c r="I5" s="13">
        <f t="shared" ref="I5:I68" si="3">LN(B5/B4)</f>
        <v>-5.9959624805194268E-4</v>
      </c>
      <c r="J5" s="13">
        <f t="shared" ref="J5:J68" si="4">LN(C5/C4)</f>
        <v>-3.8893153574189663E-3</v>
      </c>
      <c r="K5" s="13">
        <f t="shared" ref="K5:K68" si="5">LN(D5/D4)</f>
        <v>-5.0447235436937906E-3</v>
      </c>
      <c r="L5" s="13">
        <f t="shared" ref="L5:L68" si="6">LN(E5/E4)</f>
        <v>-1.0031899602968349E-3</v>
      </c>
      <c r="M5" s="13">
        <f t="shared" ref="M5:M68" si="7">LN(F5/F4)</f>
        <v>8.2315892848023816E-4</v>
      </c>
      <c r="N5" s="13">
        <f t="shared" ref="N5:N68" si="8">LN(G5/G4)</f>
        <v>-5.6577711382328521E-3</v>
      </c>
      <c r="O5" s="13">
        <f t="shared" ref="O5:O68" si="9">LN(H5/H4)</f>
        <v>3.4100849120427303E-3</v>
      </c>
      <c r="R5" s="15" t="s">
        <v>12</v>
      </c>
      <c r="S5" s="15">
        <f>_xlfn.STDEV.S(I4:I755)</f>
        <v>1.5987160963671639E-2</v>
      </c>
      <c r="T5" s="15">
        <f t="shared" ref="T5:Y5" si="10">_xlfn.STDEV.S(J4:J755)</f>
        <v>1.2392390616416796E-2</v>
      </c>
      <c r="U5" s="15">
        <f t="shared" si="10"/>
        <v>1.0806119640675267E-2</v>
      </c>
      <c r="V5" s="15">
        <f t="shared" si="10"/>
        <v>1.4553107526594297E-2</v>
      </c>
      <c r="W5" s="15">
        <f t="shared" si="10"/>
        <v>1.7270707852675243E-2</v>
      </c>
      <c r="X5" s="15">
        <f t="shared" si="10"/>
        <v>1.0346049465796406E-2</v>
      </c>
      <c r="Y5" s="15">
        <f t="shared" si="10"/>
        <v>9.4192010457807406E-3</v>
      </c>
      <c r="AB5" t="s">
        <v>3</v>
      </c>
      <c r="AC5">
        <v>1.0257314477029185E-5</v>
      </c>
      <c r="AD5">
        <v>1.1619868038172224E-5</v>
      </c>
      <c r="AE5">
        <f>VARP('Part A'!$K$3:$K$755)</f>
        <v>1.1661693947889549E-4</v>
      </c>
      <c r="AF5">
        <f t="array" ref="AF5:AI5">TRANSPOSE(AE6:AE9)</f>
        <v>2.378991089828469E-5</v>
      </c>
      <c r="AG5">
        <v>5.0082259271744427E-5</v>
      </c>
      <c r="AH5">
        <v>4.0289905059346837E-5</v>
      </c>
      <c r="AI5">
        <v>8.2572266416399129E-6</v>
      </c>
      <c r="AL5" t="s">
        <v>3</v>
      </c>
      <c r="AM5">
        <v>5.9452545658417746E-2</v>
      </c>
      <c r="AN5">
        <v>8.6886886257778767E-2</v>
      </c>
      <c r="AO5">
        <v>1</v>
      </c>
      <c r="AP5">
        <f t="array" ref="AP5:AS5">TRANSPOSE(AO6:AO9)</f>
        <v>0.1514764816943539</v>
      </c>
      <c r="AQ5">
        <v>0.26870881049224049</v>
      </c>
      <c r="AR5">
        <v>0.36085258898037353</v>
      </c>
      <c r="AS5">
        <v>8.123221031621225E-2</v>
      </c>
    </row>
    <row r="6" spans="1:45" x14ac:dyDescent="0.35">
      <c r="A6" s="2">
        <v>44939</v>
      </c>
      <c r="B6">
        <v>132.75718688964841</v>
      </c>
      <c r="C6">
        <v>465.73028564453119</v>
      </c>
      <c r="D6">
        <v>158.3108215332031</v>
      </c>
      <c r="E6">
        <v>133.20027160644531</v>
      </c>
      <c r="F6">
        <v>77.603652954101563</v>
      </c>
      <c r="G6">
        <v>139.87480163574219</v>
      </c>
      <c r="H6">
        <v>3999.090087890625</v>
      </c>
      <c r="I6" s="13">
        <f t="shared" si="3"/>
        <v>1.00684764180609E-2</v>
      </c>
      <c r="J6" s="13">
        <f t="shared" si="4"/>
        <v>5.8284134543193774E-3</v>
      </c>
      <c r="K6" s="13">
        <f t="shared" si="5"/>
        <v>-3.2813391274179133E-3</v>
      </c>
      <c r="L6" s="13">
        <f t="shared" si="6"/>
        <v>2.4921311045785117E-2</v>
      </c>
      <c r="M6" s="13">
        <f t="shared" si="7"/>
        <v>-4.5951612428051167E-3</v>
      </c>
      <c r="N6" s="13">
        <f t="shared" si="8"/>
        <v>7.1170267380992374E-3</v>
      </c>
      <c r="O6" s="13">
        <f t="shared" si="9"/>
        <v>3.988892144656051E-3</v>
      </c>
      <c r="R6" s="15" t="s">
        <v>13</v>
      </c>
      <c r="S6" s="15">
        <f>S5*SQRT(252)</f>
        <v>0.25378831247900929</v>
      </c>
      <c r="T6" s="15">
        <f t="shared" ref="T6:Y6" si="11">T5*SQRT(252)</f>
        <v>0.19672310232365561</v>
      </c>
      <c r="U6" s="15">
        <f t="shared" si="11"/>
        <v>0.17154183124102448</v>
      </c>
      <c r="V6" s="15">
        <f t="shared" si="11"/>
        <v>0.23102341991130496</v>
      </c>
      <c r="W6" s="15">
        <f t="shared" si="11"/>
        <v>0.27416398766537425</v>
      </c>
      <c r="X6" s="15">
        <f t="shared" si="11"/>
        <v>0.16423844363081971</v>
      </c>
      <c r="Y6" s="15">
        <f t="shared" si="11"/>
        <v>0.14952518109633214</v>
      </c>
      <c r="AB6" t="s">
        <v>4</v>
      </c>
      <c r="AC6">
        <v>6.9517755994443538E-5</v>
      </c>
      <c r="AD6">
        <v>4.3485997992769345E-5</v>
      </c>
      <c r="AE6">
        <v>2.378991089828469E-5</v>
      </c>
      <c r="AF6">
        <f>VARP('Part A'!$L$3:$L$755)</f>
        <v>2.1151129913449769E-4</v>
      </c>
      <c r="AG6">
        <f t="array" ref="AG6:AI6">TRANSPOSE(AF7:AF9)</f>
        <v>2.8469214211518195E-5</v>
      </c>
      <c r="AH6">
        <v>1.1642315910831335E-5</v>
      </c>
      <c r="AI6">
        <v>8.213031954203262E-5</v>
      </c>
      <c r="AL6" t="s">
        <v>4</v>
      </c>
      <c r="AM6">
        <v>0.29918964788189706</v>
      </c>
      <c r="AN6">
        <v>0.24144405294253313</v>
      </c>
      <c r="AO6">
        <v>0.1514764816943539</v>
      </c>
      <c r="AP6">
        <v>1</v>
      </c>
      <c r="AQ6">
        <f t="array" ref="AQ6:AS6">TRANSPOSE(AP7:AP9)</f>
        <v>0.11341944238929402</v>
      </c>
      <c r="AR6">
        <v>7.7426030532617859E-2</v>
      </c>
      <c r="AS6">
        <v>0.59994523902274621</v>
      </c>
    </row>
    <row r="7" spans="1:45" x14ac:dyDescent="0.35">
      <c r="A7" s="2">
        <v>44943</v>
      </c>
      <c r="B7">
        <v>133.91966247558591</v>
      </c>
      <c r="C7">
        <v>467.18914794921881</v>
      </c>
      <c r="D7">
        <v>157.33412170410159</v>
      </c>
      <c r="E7">
        <v>131.14189147949219</v>
      </c>
      <c r="F7">
        <v>78.575065612792969</v>
      </c>
      <c r="G7">
        <v>139.46687316894531</v>
      </c>
      <c r="H7">
        <v>3990.969970703125</v>
      </c>
      <c r="I7" s="13">
        <f t="shared" si="3"/>
        <v>8.7182892093593586E-3</v>
      </c>
      <c r="J7" s="13">
        <f t="shared" si="4"/>
        <v>3.1275230020896467E-3</v>
      </c>
      <c r="K7" s="13">
        <f t="shared" si="5"/>
        <v>-6.1886177316850298E-3</v>
      </c>
      <c r="L7" s="13">
        <f t="shared" si="6"/>
        <v>-1.5573919099708206E-2</v>
      </c>
      <c r="M7" s="13">
        <f t="shared" si="7"/>
        <v>1.2439917485223667E-2</v>
      </c>
      <c r="N7" s="13">
        <f t="shared" si="8"/>
        <v>-2.9206437389383113E-3</v>
      </c>
      <c r="O7" s="13">
        <f t="shared" si="9"/>
        <v>-2.0325554309963139E-3</v>
      </c>
      <c r="AB7" t="s">
        <v>5</v>
      </c>
      <c r="AC7">
        <v>3.7287102234279945E-5</v>
      </c>
      <c r="AD7">
        <v>2.061573705271034E-5</v>
      </c>
      <c r="AE7">
        <v>5.0082259271744427E-5</v>
      </c>
      <c r="AF7">
        <v>2.8469214211518195E-5</v>
      </c>
      <c r="AG7">
        <f>VARP('Part A'!$M$3:$M$755)</f>
        <v>2.9788070432058004E-4</v>
      </c>
      <c r="AH7">
        <f t="array" ref="AH7:AI7">TRANSPOSE(AG8:AG9)</f>
        <v>5.9700694273702935E-5</v>
      </c>
      <c r="AI7">
        <v>3.8027350961801722E-5</v>
      </c>
      <c r="AL7" t="s">
        <v>5</v>
      </c>
      <c r="AM7">
        <v>0.13522439643568529</v>
      </c>
      <c r="AN7">
        <v>9.645206670902895E-2</v>
      </c>
      <c r="AO7">
        <v>0.26870881049224049</v>
      </c>
      <c r="AP7">
        <v>0.11341944238929402</v>
      </c>
      <c r="AQ7">
        <v>1</v>
      </c>
      <c r="AR7">
        <f t="array" ref="AR7:AS7">TRANSPOSE(AQ8:AQ9)</f>
        <v>0.33455890724095261</v>
      </c>
      <c r="AS7">
        <v>0.23407216496265199</v>
      </c>
    </row>
    <row r="8" spans="1:45" x14ac:dyDescent="0.35">
      <c r="A8" s="2">
        <v>44944</v>
      </c>
      <c r="B8">
        <v>133.20051574707031</v>
      </c>
      <c r="C8">
        <v>460.18276977539063</v>
      </c>
      <c r="D8">
        <v>154.9607849121094</v>
      </c>
      <c r="E8">
        <v>127.20204925537109</v>
      </c>
      <c r="F8">
        <v>76.797203063964844</v>
      </c>
      <c r="G8">
        <v>135.73081970214841</v>
      </c>
      <c r="H8">
        <v>3928.860107421875</v>
      </c>
      <c r="I8" s="13">
        <f t="shared" si="3"/>
        <v>-5.3844563206002253E-3</v>
      </c>
      <c r="J8" s="13">
        <f t="shared" si="4"/>
        <v>-1.5110467226925665E-2</v>
      </c>
      <c r="K8" s="13">
        <f t="shared" si="5"/>
        <v>-1.5199623393877811E-2</v>
      </c>
      <c r="L8" s="13">
        <f t="shared" si="6"/>
        <v>-3.050311681747931E-2</v>
      </c>
      <c r="M8" s="13">
        <f t="shared" si="7"/>
        <v>-2.2886196664735719E-2</v>
      </c>
      <c r="N8" s="13">
        <f t="shared" si="8"/>
        <v>-2.7153447235452977E-2</v>
      </c>
      <c r="O8" s="13">
        <f t="shared" si="9"/>
        <v>-1.5684966977744675E-2</v>
      </c>
      <c r="AB8" t="s">
        <v>6</v>
      </c>
      <c r="AC8">
        <v>2.3668654145329817E-5</v>
      </c>
      <c r="AD8">
        <v>3.5350911758263607E-5</v>
      </c>
      <c r="AE8">
        <v>4.0289905059346837E-5</v>
      </c>
      <c r="AF8">
        <v>1.1642315910831335E-5</v>
      </c>
      <c r="AG8">
        <v>5.9700694273702935E-5</v>
      </c>
      <c r="AH8">
        <f>VARP('Part A'!$N$3:$N$755)</f>
        <v>1.0689839813973175E-4</v>
      </c>
      <c r="AI8">
        <f>AH9</f>
        <v>1.4427467080141978E-5</v>
      </c>
      <c r="AL8" t="s">
        <v>6</v>
      </c>
      <c r="AM8">
        <v>0.14328659721734774</v>
      </c>
      <c r="AN8">
        <v>0.27608885670593625</v>
      </c>
      <c r="AO8">
        <v>0.36085258898037353</v>
      </c>
      <c r="AP8">
        <v>7.7426030532617859E-2</v>
      </c>
      <c r="AQ8">
        <v>0.33455890724095261</v>
      </c>
      <c r="AR8">
        <v>1</v>
      </c>
      <c r="AS8">
        <f>AR9</f>
        <v>0.14824476925508523</v>
      </c>
    </row>
    <row r="9" spans="1:45" ht="15" thickBot="1" x14ac:dyDescent="0.4">
      <c r="A9" s="2">
        <v>44945</v>
      </c>
      <c r="B9">
        <v>133.25962829589841</v>
      </c>
      <c r="C9">
        <v>450.60421752929688</v>
      </c>
      <c r="D9">
        <v>154.7508544921875</v>
      </c>
      <c r="E9">
        <v>125.5068664550781</v>
      </c>
      <c r="F9">
        <v>75.688316345214844</v>
      </c>
      <c r="G9">
        <v>132.86036682128909</v>
      </c>
      <c r="H9">
        <v>3898.85009765625</v>
      </c>
      <c r="I9" s="13">
        <f t="shared" si="3"/>
        <v>4.4368774182073441E-4</v>
      </c>
      <c r="J9" s="13">
        <f t="shared" si="4"/>
        <v>-2.1034348406978046E-2</v>
      </c>
      <c r="K9" s="13">
        <f t="shared" si="5"/>
        <v>-1.3556510338220136E-3</v>
      </c>
      <c r="L9" s="13">
        <f t="shared" si="6"/>
        <v>-1.3416291409834072E-2</v>
      </c>
      <c r="M9" s="13">
        <f t="shared" si="7"/>
        <v>-1.4544414063716336E-2</v>
      </c>
      <c r="N9" s="13">
        <f t="shared" si="8"/>
        <v>-2.1374954308564266E-2</v>
      </c>
      <c r="O9" s="13">
        <f t="shared" si="9"/>
        <v>-7.6676719018124277E-3</v>
      </c>
      <c r="AB9" s="3" t="s">
        <v>7</v>
      </c>
      <c r="AC9" s="3">
        <v>1.0253729160186975E-4</v>
      </c>
      <c r="AD9" s="3">
        <v>5.5491219420835764E-5</v>
      </c>
      <c r="AE9" s="3">
        <v>8.2572266416399129E-6</v>
      </c>
      <c r="AF9" s="3">
        <v>8.213031954203262E-5</v>
      </c>
      <c r="AG9" s="3">
        <v>3.8027350961801722E-5</v>
      </c>
      <c r="AH9" s="3">
        <v>1.4427467080141978E-5</v>
      </c>
      <c r="AI9" s="3">
        <f>VARP('Part A'!$O$3:$O$755)</f>
        <v>8.8603367824426318E-5</v>
      </c>
      <c r="AL9" s="3" t="s">
        <v>7</v>
      </c>
      <c r="AM9" s="3">
        <v>0.68182721371837507</v>
      </c>
      <c r="AN9" s="3">
        <v>0.47602856178141129</v>
      </c>
      <c r="AO9" s="3">
        <v>8.123221031621225E-2</v>
      </c>
      <c r="AP9" s="3">
        <v>0.59994523902274621</v>
      </c>
      <c r="AQ9" s="3">
        <v>0.23407216496265199</v>
      </c>
      <c r="AR9" s="3">
        <v>0.14824476925508523</v>
      </c>
      <c r="AS9" s="3">
        <v>1</v>
      </c>
    </row>
    <row r="10" spans="1:45" x14ac:dyDescent="0.35">
      <c r="A10" s="2">
        <v>44946</v>
      </c>
      <c r="B10">
        <v>135.82098388671881</v>
      </c>
      <c r="C10">
        <v>460.79696655273438</v>
      </c>
      <c r="D10">
        <v>154.02973937988281</v>
      </c>
      <c r="E10">
        <v>125.8142547607422</v>
      </c>
      <c r="F10">
        <v>74.982658386230469</v>
      </c>
      <c r="G10">
        <v>133.37345886230469</v>
      </c>
      <c r="H10">
        <v>3972.610107421875</v>
      </c>
      <c r="I10" s="13">
        <f t="shared" si="3"/>
        <v>1.9038405892670963E-2</v>
      </c>
      <c r="J10" s="13">
        <f t="shared" si="4"/>
        <v>2.2368138596210636E-2</v>
      </c>
      <c r="K10" s="13">
        <f t="shared" si="5"/>
        <v>-4.6707366822222717E-3</v>
      </c>
      <c r="L10" s="13">
        <f t="shared" si="6"/>
        <v>2.4461808657882723E-3</v>
      </c>
      <c r="M10" s="13">
        <f t="shared" si="7"/>
        <v>-9.3669417052178582E-3</v>
      </c>
      <c r="N10" s="13">
        <f t="shared" si="8"/>
        <v>3.8544514389934298E-3</v>
      </c>
      <c r="O10" s="13">
        <f t="shared" si="9"/>
        <v>1.874167355235196E-2</v>
      </c>
    </row>
    <row r="11" spans="1:45" ht="15" thickBot="1" x14ac:dyDescent="0.4">
      <c r="A11" s="2">
        <v>44949</v>
      </c>
      <c r="B11">
        <v>139.0128173828125</v>
      </c>
      <c r="C11">
        <v>472.79421997070313</v>
      </c>
      <c r="D11">
        <v>153.63719177246091</v>
      </c>
      <c r="E11">
        <v>127.85400390625</v>
      </c>
      <c r="F11">
        <v>75.761627197265625</v>
      </c>
      <c r="G11">
        <v>131.58232116699219</v>
      </c>
      <c r="H11">
        <v>4019.81005859375</v>
      </c>
      <c r="I11" s="13">
        <f t="shared" si="3"/>
        <v>2.3228416558336663E-2</v>
      </c>
      <c r="J11" s="13">
        <f t="shared" si="4"/>
        <v>2.570271455476051E-2</v>
      </c>
      <c r="K11" s="13">
        <f t="shared" si="5"/>
        <v>-2.5517712869495852E-3</v>
      </c>
      <c r="L11" s="13">
        <f t="shared" si="6"/>
        <v>1.6082367733860532E-2</v>
      </c>
      <c r="M11" s="13">
        <f t="shared" si="7"/>
        <v>1.0335061680200101E-2</v>
      </c>
      <c r="N11" s="13">
        <f t="shared" si="8"/>
        <v>-1.3520482403086231E-2</v>
      </c>
      <c r="O11" s="13">
        <f t="shared" si="9"/>
        <v>1.1811315951328555E-2</v>
      </c>
      <c r="AB11" s="50" t="s">
        <v>15</v>
      </c>
      <c r="AC11" s="50"/>
      <c r="AD11" s="50"/>
      <c r="AE11" s="50"/>
      <c r="AF11" s="50"/>
      <c r="AG11" s="50"/>
      <c r="AH11" s="50"/>
      <c r="AI11" s="50"/>
    </row>
    <row r="12" spans="1:45" x14ac:dyDescent="0.35">
      <c r="A12" s="2">
        <v>44950</v>
      </c>
      <c r="B12">
        <v>140.4117431640625</v>
      </c>
      <c r="C12">
        <v>472.3143310546875</v>
      </c>
      <c r="D12">
        <v>153.63719177246091</v>
      </c>
      <c r="E12">
        <v>128.95307922363281</v>
      </c>
      <c r="F12">
        <v>76.888839721679688</v>
      </c>
      <c r="G12">
        <v>132.30061340332031</v>
      </c>
      <c r="H12">
        <v>4016.949951171875</v>
      </c>
      <c r="I12" s="13">
        <f t="shared" si="3"/>
        <v>1.0012988597069032E-2</v>
      </c>
      <c r="J12" s="13">
        <f t="shared" si="4"/>
        <v>-1.0155213530483457E-3</v>
      </c>
      <c r="K12" s="13">
        <f t="shared" si="5"/>
        <v>0</v>
      </c>
      <c r="L12" s="13">
        <f t="shared" si="6"/>
        <v>8.5595927841340992E-3</v>
      </c>
      <c r="M12" s="13">
        <f t="shared" si="7"/>
        <v>1.4768811859555324E-2</v>
      </c>
      <c r="N12" s="13">
        <f t="shared" si="8"/>
        <v>5.4440353373384322E-3</v>
      </c>
      <c r="O12" s="13">
        <f t="shared" si="9"/>
        <v>-7.1175636429181928E-4</v>
      </c>
      <c r="AB12" s="4"/>
      <c r="AC12" s="4" t="s">
        <v>1</v>
      </c>
      <c r="AD12" s="4" t="s">
        <v>2</v>
      </c>
      <c r="AE12" s="4" t="s">
        <v>3</v>
      </c>
      <c r="AF12" s="4" t="s">
        <v>4</v>
      </c>
      <c r="AG12" s="4" t="s">
        <v>5</v>
      </c>
      <c r="AH12" s="4" t="s">
        <v>6</v>
      </c>
      <c r="AI12" s="4" t="s">
        <v>7</v>
      </c>
    </row>
    <row r="13" spans="1:45" x14ac:dyDescent="0.35">
      <c r="A13" s="2">
        <v>44951</v>
      </c>
      <c r="B13">
        <v>139.75166320800781</v>
      </c>
      <c r="C13">
        <v>471.1337890625</v>
      </c>
      <c r="D13">
        <v>154.73260498046881</v>
      </c>
      <c r="E13">
        <v>129.5771179199219</v>
      </c>
      <c r="F13">
        <v>70.189704895019531</v>
      </c>
      <c r="G13">
        <v>132.2073669433594</v>
      </c>
      <c r="H13">
        <v>4016.219970703125</v>
      </c>
      <c r="I13" s="13">
        <f t="shared" si="3"/>
        <v>-4.7121155897669065E-3</v>
      </c>
      <c r="J13" s="13">
        <f t="shared" si="4"/>
        <v>-2.5026126676519793E-3</v>
      </c>
      <c r="K13" s="13">
        <f t="shared" si="5"/>
        <v>7.1045726729144099E-3</v>
      </c>
      <c r="L13" s="13">
        <f t="shared" si="6"/>
        <v>4.8275978214932609E-3</v>
      </c>
      <c r="M13" s="13">
        <f t="shared" si="7"/>
        <v>-9.1159092463395097E-2</v>
      </c>
      <c r="N13" s="13">
        <f t="shared" si="8"/>
        <v>-7.0505595862518618E-4</v>
      </c>
      <c r="O13" s="13">
        <f t="shared" si="9"/>
        <v>-1.8174157346566321E-4</v>
      </c>
      <c r="AB13" t="s">
        <v>1</v>
      </c>
      <c r="AC13">
        <f>AC3*252</f>
        <v>6.432285793983826E-2</v>
      </c>
      <c r="AD13">
        <f t="shared" ref="AD13:AI13" si="12">AD3*252</f>
        <v>1.6761683676674327E-2</v>
      </c>
      <c r="AE13">
        <f t="shared" si="12"/>
        <v>2.5848432482113545E-3</v>
      </c>
      <c r="AF13">
        <f t="shared" si="12"/>
        <v>1.751847451059977E-2</v>
      </c>
      <c r="AG13">
        <f t="shared" si="12"/>
        <v>9.3963497630385456E-3</v>
      </c>
      <c r="AH13">
        <f t="shared" si="12"/>
        <v>5.9645008446231138E-3</v>
      </c>
      <c r="AI13">
        <f t="shared" si="12"/>
        <v>2.5839397483671176E-2</v>
      </c>
    </row>
    <row r="14" spans="1:45" x14ac:dyDescent="0.35">
      <c r="A14" s="2">
        <v>44952</v>
      </c>
      <c r="B14">
        <v>141.8204650878906</v>
      </c>
      <c r="C14">
        <v>478.2552490234375</v>
      </c>
      <c r="D14">
        <v>154.16664123535159</v>
      </c>
      <c r="E14">
        <v>130.37812805175781</v>
      </c>
      <c r="F14">
        <v>70.015586853027344</v>
      </c>
      <c r="G14">
        <v>131.67558288574219</v>
      </c>
      <c r="H14">
        <v>4060.429931640625</v>
      </c>
      <c r="I14" s="13">
        <f t="shared" si="3"/>
        <v>1.4694914020399049E-2</v>
      </c>
      <c r="J14" s="13">
        <f t="shared" si="4"/>
        <v>1.5002476848203524E-2</v>
      </c>
      <c r="K14" s="13">
        <f t="shared" si="5"/>
        <v>-3.6643946876134996E-3</v>
      </c>
      <c r="L14" s="13">
        <f t="shared" si="6"/>
        <v>6.1626966900338812E-3</v>
      </c>
      <c r="M14" s="13">
        <f t="shared" si="7"/>
        <v>-2.4837597687420222E-3</v>
      </c>
      <c r="N14" s="13">
        <f t="shared" si="8"/>
        <v>-4.030459549179263E-3</v>
      </c>
      <c r="O14" s="13">
        <f t="shared" si="9"/>
        <v>1.0947708029114303E-2</v>
      </c>
      <c r="AB14" t="s">
        <v>2</v>
      </c>
      <c r="AC14">
        <f t="shared" ref="AC14:AI14" si="13">AC4*252</f>
        <v>1.6761683676674327E-2</v>
      </c>
      <c r="AD14">
        <f t="shared" si="13"/>
        <v>3.8648516249827729E-2</v>
      </c>
      <c r="AE14">
        <f t="shared" si="13"/>
        <v>2.9282067456194005E-3</v>
      </c>
      <c r="AF14">
        <f t="shared" si="13"/>
        <v>1.0958471494177875E-2</v>
      </c>
      <c r="AG14">
        <f t="shared" si="13"/>
        <v>5.1951657372830053E-3</v>
      </c>
      <c r="AH14">
        <f t="shared" si="13"/>
        <v>8.9084297630824295E-3</v>
      </c>
      <c r="AI14">
        <f t="shared" si="13"/>
        <v>1.3983787294050613E-2</v>
      </c>
    </row>
    <row r="15" spans="1:45" x14ac:dyDescent="0.35">
      <c r="A15" s="2">
        <v>44953</v>
      </c>
      <c r="B15">
        <v>143.76116943359381</v>
      </c>
      <c r="C15">
        <v>483.04464721679688</v>
      </c>
      <c r="D15">
        <v>153.56416320800781</v>
      </c>
      <c r="E15">
        <v>130.69480895996091</v>
      </c>
      <c r="F15">
        <v>69.264106750488281</v>
      </c>
      <c r="G15">
        <v>131.1345520019531</v>
      </c>
      <c r="H15">
        <v>4070.56005859375</v>
      </c>
      <c r="I15" s="13">
        <f t="shared" si="3"/>
        <v>1.3591449772223976E-2</v>
      </c>
      <c r="J15" s="13">
        <f t="shared" si="4"/>
        <v>9.9645029419668379E-3</v>
      </c>
      <c r="K15" s="13">
        <f t="shared" si="5"/>
        <v>-3.9156222803523235E-3</v>
      </c>
      <c r="L15" s="13">
        <f t="shared" si="6"/>
        <v>2.4259968662062731E-3</v>
      </c>
      <c r="M15" s="13">
        <f t="shared" si="7"/>
        <v>-1.0791054681032699E-2</v>
      </c>
      <c r="N15" s="13">
        <f t="shared" si="8"/>
        <v>-4.1172814611328389E-3</v>
      </c>
      <c r="O15" s="13">
        <f t="shared" si="9"/>
        <v>2.4917340217038551E-3</v>
      </c>
      <c r="AB15" t="s">
        <v>3</v>
      </c>
      <c r="AC15">
        <f t="shared" ref="AC15:AI15" si="14">AC5*252</f>
        <v>2.5848432482113545E-3</v>
      </c>
      <c r="AD15">
        <f t="shared" si="14"/>
        <v>2.9282067456194005E-3</v>
      </c>
      <c r="AE15">
        <f t="shared" si="14"/>
        <v>2.9387468748681662E-2</v>
      </c>
      <c r="AF15">
        <f t="shared" si="14"/>
        <v>5.9950575463677417E-3</v>
      </c>
      <c r="AG15">
        <f t="shared" si="14"/>
        <v>1.2620729336479595E-2</v>
      </c>
      <c r="AH15">
        <f t="shared" si="14"/>
        <v>1.0153056074955404E-2</v>
      </c>
      <c r="AI15">
        <f t="shared" si="14"/>
        <v>2.080821113693258E-3</v>
      </c>
    </row>
    <row r="16" spans="1:45" x14ac:dyDescent="0.35">
      <c r="A16" s="2">
        <v>44956</v>
      </c>
      <c r="B16">
        <v>140.8747253417969</v>
      </c>
      <c r="C16">
        <v>483.03497314453119</v>
      </c>
      <c r="D16">
        <v>147.87727355957031</v>
      </c>
      <c r="E16">
        <v>129.5864562988281</v>
      </c>
      <c r="F16">
        <v>68.778396606445313</v>
      </c>
      <c r="G16">
        <v>131.54499816894531</v>
      </c>
      <c r="H16">
        <v>4017.77001953125</v>
      </c>
      <c r="I16" s="13">
        <f t="shared" si="3"/>
        <v>-2.0282354367448244E-2</v>
      </c>
      <c r="J16" s="13">
        <f t="shared" si="4"/>
        <v>-2.0027484406253604E-5</v>
      </c>
      <c r="K16" s="13">
        <f t="shared" si="5"/>
        <v>-3.7735783989239449E-2</v>
      </c>
      <c r="L16" s="13">
        <f t="shared" si="6"/>
        <v>-8.5166280359339451E-3</v>
      </c>
      <c r="M16" s="13">
        <f t="shared" si="7"/>
        <v>-7.0371390933555268E-3</v>
      </c>
      <c r="N16" s="13">
        <f t="shared" si="8"/>
        <v>3.1250738838472826E-3</v>
      </c>
      <c r="O16" s="13">
        <f t="shared" si="9"/>
        <v>-1.3053569315292663E-2</v>
      </c>
      <c r="AB16" t="s">
        <v>4</v>
      </c>
      <c r="AC16">
        <f t="shared" ref="AC16:AI16" si="15">AC6*252</f>
        <v>1.751847451059977E-2</v>
      </c>
      <c r="AD16">
        <f t="shared" si="15"/>
        <v>1.0958471494177875E-2</v>
      </c>
      <c r="AE16">
        <f t="shared" si="15"/>
        <v>5.9950575463677417E-3</v>
      </c>
      <c r="AF16">
        <f t="shared" si="15"/>
        <v>5.3300847381893418E-2</v>
      </c>
      <c r="AG16">
        <f t="shared" si="15"/>
        <v>7.1742419813025848E-3</v>
      </c>
      <c r="AH16">
        <f t="shared" si="15"/>
        <v>2.9338636095294964E-3</v>
      </c>
      <c r="AI16">
        <f t="shared" si="15"/>
        <v>2.0696840524592221E-2</v>
      </c>
    </row>
    <row r="17" spans="1:35" x14ac:dyDescent="0.35">
      <c r="A17" s="2">
        <v>44957</v>
      </c>
      <c r="B17">
        <v>142.14555358886719</v>
      </c>
      <c r="C17">
        <v>490.57879638671881</v>
      </c>
      <c r="D17">
        <v>149.1734924316406</v>
      </c>
      <c r="E17">
        <v>130.35948181152341</v>
      </c>
      <c r="F17">
        <v>68.393501281738281</v>
      </c>
      <c r="G17">
        <v>132.8230285644531</v>
      </c>
      <c r="H17">
        <v>4076.60009765625</v>
      </c>
      <c r="I17" s="13">
        <f t="shared" si="3"/>
        <v>8.9805351961815029E-3</v>
      </c>
      <c r="J17" s="13">
        <f t="shared" si="4"/>
        <v>1.5496851934416005E-2</v>
      </c>
      <c r="K17" s="13">
        <f t="shared" si="5"/>
        <v>8.7273102632525659E-3</v>
      </c>
      <c r="L17" s="13">
        <f t="shared" si="6"/>
        <v>5.947604313909156E-3</v>
      </c>
      <c r="M17" s="13">
        <f t="shared" si="7"/>
        <v>-5.6118832029783345E-3</v>
      </c>
      <c r="N17" s="13">
        <f t="shared" si="8"/>
        <v>9.6686453912661653E-3</v>
      </c>
      <c r="O17" s="13">
        <f t="shared" si="9"/>
        <v>1.4536304416419527E-2</v>
      </c>
      <c r="AB17" t="s">
        <v>5</v>
      </c>
      <c r="AC17">
        <f t="shared" ref="AC17:AI17" si="16">AC7*252</f>
        <v>9.3963497630385456E-3</v>
      </c>
      <c r="AD17">
        <f t="shared" si="16"/>
        <v>5.1951657372830053E-3</v>
      </c>
      <c r="AE17">
        <f t="shared" si="16"/>
        <v>1.2620729336479595E-2</v>
      </c>
      <c r="AF17">
        <f t="shared" si="16"/>
        <v>7.1742419813025848E-3</v>
      </c>
      <c r="AG17">
        <f t="shared" si="16"/>
        <v>7.5065937488786164E-2</v>
      </c>
      <c r="AH17">
        <f t="shared" si="16"/>
        <v>1.5044574956973139E-2</v>
      </c>
      <c r="AI17">
        <f t="shared" si="16"/>
        <v>9.5828924423740341E-3</v>
      </c>
    </row>
    <row r="18" spans="1:35" x14ac:dyDescent="0.35">
      <c r="A18" s="2">
        <v>44958</v>
      </c>
      <c r="B18">
        <v>143.26861572265619</v>
      </c>
      <c r="C18">
        <v>497.07656860351563</v>
      </c>
      <c r="D18">
        <v>150.542724609375</v>
      </c>
      <c r="E18">
        <v>130.014892578125</v>
      </c>
      <c r="F18">
        <v>68.036079406738281</v>
      </c>
      <c r="G18">
        <v>133.57867431640619</v>
      </c>
      <c r="H18">
        <v>4119.2099609375</v>
      </c>
      <c r="I18" s="13">
        <f t="shared" si="3"/>
        <v>7.8697419451473263E-3</v>
      </c>
      <c r="J18" s="13">
        <f t="shared" si="4"/>
        <v>1.3158164674477635E-2</v>
      </c>
      <c r="K18" s="13">
        <f t="shared" si="5"/>
        <v>9.1369210309038915E-3</v>
      </c>
      <c r="L18" s="13">
        <f t="shared" si="6"/>
        <v>-2.6468767165553795E-3</v>
      </c>
      <c r="M18" s="13">
        <f t="shared" si="7"/>
        <v>-5.2396656343949239E-3</v>
      </c>
      <c r="N18" s="13">
        <f t="shared" si="8"/>
        <v>5.6729951073993213E-3</v>
      </c>
      <c r="O18" s="13">
        <f t="shared" si="9"/>
        <v>1.039805629688473E-2</v>
      </c>
      <c r="AB18" t="s">
        <v>6</v>
      </c>
      <c r="AC18">
        <f t="shared" ref="AC18:AI18" si="17">AC8*252</f>
        <v>5.9645008446231138E-3</v>
      </c>
      <c r="AD18">
        <f t="shared" si="17"/>
        <v>8.9084297630824295E-3</v>
      </c>
      <c r="AE18">
        <f t="shared" si="17"/>
        <v>1.0153056074955404E-2</v>
      </c>
      <c r="AF18">
        <f t="shared" si="17"/>
        <v>2.9338636095294964E-3</v>
      </c>
      <c r="AG18">
        <f t="shared" si="17"/>
        <v>1.5044574956973139E-2</v>
      </c>
      <c r="AH18">
        <f t="shared" si="17"/>
        <v>2.6938396331212401E-2</v>
      </c>
      <c r="AI18">
        <f t="shared" si="17"/>
        <v>3.6357217041957787E-3</v>
      </c>
    </row>
    <row r="19" spans="1:35" ht="15" thickBot="1" x14ac:dyDescent="0.4">
      <c r="A19" s="2">
        <v>44959</v>
      </c>
      <c r="B19">
        <v>148.57853698730469</v>
      </c>
      <c r="C19">
        <v>503.24899291992188</v>
      </c>
      <c r="D19">
        <v>151.1086730957031</v>
      </c>
      <c r="E19">
        <v>129.40946960449219</v>
      </c>
      <c r="F19">
        <v>69.282432556152344</v>
      </c>
      <c r="G19">
        <v>132.62713623046881</v>
      </c>
      <c r="H19">
        <v>4179.759765625</v>
      </c>
      <c r="I19" s="13">
        <f t="shared" si="3"/>
        <v>3.6392387201993816E-2</v>
      </c>
      <c r="J19" s="13">
        <f t="shared" si="4"/>
        <v>1.2340987558381736E-2</v>
      </c>
      <c r="K19" s="13">
        <f t="shared" si="5"/>
        <v>3.7523389891913278E-3</v>
      </c>
      <c r="L19" s="13">
        <f t="shared" si="6"/>
        <v>-4.6674419290035716E-3</v>
      </c>
      <c r="M19" s="13">
        <f t="shared" si="7"/>
        <v>1.8153231612045771E-2</v>
      </c>
      <c r="N19" s="13">
        <f t="shared" si="8"/>
        <v>-7.1489208782189711E-3</v>
      </c>
      <c r="O19" s="13">
        <f t="shared" si="9"/>
        <v>1.4592384626854379E-2</v>
      </c>
      <c r="AB19" s="3" t="s">
        <v>7</v>
      </c>
      <c r="AC19" s="3">
        <f t="shared" ref="AC19:AI19" si="18">AC9*252</f>
        <v>2.5839397483671176E-2</v>
      </c>
      <c r="AD19" s="3">
        <f t="shared" si="18"/>
        <v>1.3983787294050613E-2</v>
      </c>
      <c r="AE19" s="3">
        <f t="shared" si="18"/>
        <v>2.080821113693258E-3</v>
      </c>
      <c r="AF19" s="3">
        <f t="shared" si="18"/>
        <v>2.0696840524592221E-2</v>
      </c>
      <c r="AG19" s="3">
        <f t="shared" si="18"/>
        <v>9.5828924423740341E-3</v>
      </c>
      <c r="AH19" s="3">
        <f t="shared" si="18"/>
        <v>3.6357217041957787E-3</v>
      </c>
      <c r="AI19" s="3">
        <f t="shared" si="18"/>
        <v>2.2328048691755434E-2</v>
      </c>
    </row>
    <row r="20" spans="1:35" x14ac:dyDescent="0.35">
      <c r="A20" s="2">
        <v>44960</v>
      </c>
      <c r="B20">
        <v>152.2038269042969</v>
      </c>
      <c r="C20">
        <v>494.95175170898438</v>
      </c>
      <c r="D20">
        <v>150.25975036621091</v>
      </c>
      <c r="E20">
        <v>131.41200256347659</v>
      </c>
      <c r="F20">
        <v>68.430152893066406</v>
      </c>
      <c r="G20">
        <v>133.03759765625</v>
      </c>
      <c r="H20">
        <v>4136.47998046875</v>
      </c>
      <c r="I20" s="13">
        <f t="shared" si="3"/>
        <v>2.410690198691046E-2</v>
      </c>
      <c r="J20" s="13">
        <f t="shared" si="4"/>
        <v>-1.6624776842160752E-2</v>
      </c>
      <c r="K20" s="13">
        <f t="shared" si="5"/>
        <v>-5.6338017441913534E-3</v>
      </c>
      <c r="L20" s="13">
        <f t="shared" si="6"/>
        <v>1.535588533024713E-2</v>
      </c>
      <c r="M20" s="13">
        <f t="shared" si="7"/>
        <v>-1.2377816330766303E-2</v>
      </c>
      <c r="N20" s="13">
        <f t="shared" si="8"/>
        <v>3.0900733144773283E-3</v>
      </c>
      <c r="O20" s="13">
        <f t="shared" si="9"/>
        <v>-1.0408592637285455E-2</v>
      </c>
    </row>
    <row r="21" spans="1:35" x14ac:dyDescent="0.35">
      <c r="A21" s="2">
        <v>44963</v>
      </c>
      <c r="B21">
        <v>149.4749755859375</v>
      </c>
      <c r="C21">
        <v>495.7113037109375</v>
      </c>
      <c r="D21">
        <v>149.11871337890619</v>
      </c>
      <c r="E21">
        <v>132.1850280761719</v>
      </c>
      <c r="F21">
        <v>69.199974060058594</v>
      </c>
      <c r="G21">
        <v>131.90882873535159</v>
      </c>
      <c r="H21">
        <v>4111.080078125</v>
      </c>
      <c r="I21" s="13">
        <f t="shared" si="3"/>
        <v>-1.8091597594457491E-2</v>
      </c>
      <c r="J21" s="13">
        <f t="shared" si="4"/>
        <v>1.5334217757101884E-3</v>
      </c>
      <c r="K21" s="13">
        <f t="shared" si="5"/>
        <v>-7.6227427860797482E-3</v>
      </c>
      <c r="L21" s="13">
        <f t="shared" si="6"/>
        <v>5.865223343973977E-3</v>
      </c>
      <c r="M21" s="13">
        <f t="shared" si="7"/>
        <v>1.1186928508205785E-2</v>
      </c>
      <c r="N21" s="13">
        <f t="shared" si="8"/>
        <v>-8.5207848671173016E-3</v>
      </c>
      <c r="O21" s="13">
        <f t="shared" si="9"/>
        <v>-6.1593931939392622E-3</v>
      </c>
    </row>
    <row r="22" spans="1:35" x14ac:dyDescent="0.35">
      <c r="A22" s="2">
        <v>44964</v>
      </c>
      <c r="B22">
        <v>152.3515625</v>
      </c>
      <c r="C22">
        <v>496.61505126953119</v>
      </c>
      <c r="D22">
        <v>149.1552429199219</v>
      </c>
      <c r="E22">
        <v>133.7963562011719</v>
      </c>
      <c r="F22">
        <v>69.722320556640625</v>
      </c>
      <c r="G22">
        <v>130.62144470214841</v>
      </c>
      <c r="H22">
        <v>4164</v>
      </c>
      <c r="I22" s="13">
        <f t="shared" si="3"/>
        <v>1.9061769933747693E-2</v>
      </c>
      <c r="J22" s="13">
        <f t="shared" si="4"/>
        <v>1.8214729537841721E-3</v>
      </c>
      <c r="K22" s="13">
        <f t="shared" si="5"/>
        <v>2.4493952909344268E-4</v>
      </c>
      <c r="L22" s="13">
        <f t="shared" si="6"/>
        <v>1.2116245215431578E-2</v>
      </c>
      <c r="M22" s="13">
        <f t="shared" si="7"/>
        <v>7.5200162739445459E-3</v>
      </c>
      <c r="N22" s="13">
        <f t="shared" si="8"/>
        <v>-9.8075877928638956E-3</v>
      </c>
      <c r="O22" s="13">
        <f t="shared" si="9"/>
        <v>1.2790364037397075E-2</v>
      </c>
    </row>
    <row r="23" spans="1:35" x14ac:dyDescent="0.35">
      <c r="A23" s="2">
        <v>44965</v>
      </c>
      <c r="B23">
        <v>149.66217041015619</v>
      </c>
      <c r="C23">
        <v>484.38540649414063</v>
      </c>
      <c r="D23">
        <v>149.346923828125</v>
      </c>
      <c r="E23">
        <v>132.85566711425781</v>
      </c>
      <c r="F23">
        <v>68.76007080078125</v>
      </c>
      <c r="G23">
        <v>129.2687683105469</v>
      </c>
      <c r="H23">
        <v>4117.85986328125</v>
      </c>
      <c r="I23" s="13">
        <f t="shared" si="3"/>
        <v>-1.7810204548708273E-2</v>
      </c>
      <c r="J23" s="13">
        <f t="shared" si="4"/>
        <v>-2.493429700074257E-2</v>
      </c>
      <c r="K23" s="13">
        <f t="shared" si="5"/>
        <v>1.2842850464883716E-3</v>
      </c>
      <c r="L23" s="13">
        <f t="shared" si="6"/>
        <v>-7.0555848600491562E-3</v>
      </c>
      <c r="M23" s="13">
        <f t="shared" si="7"/>
        <v>-1.389729384896128E-2</v>
      </c>
      <c r="N23" s="13">
        <f t="shared" si="8"/>
        <v>-1.040969254484923E-2</v>
      </c>
      <c r="O23" s="13">
        <f t="shared" si="9"/>
        <v>-1.1142573012411353E-2</v>
      </c>
      <c r="AB23" s="49" t="s">
        <v>51</v>
      </c>
      <c r="AC23" s="49"/>
      <c r="AD23" s="49"/>
      <c r="AE23" s="44"/>
    </row>
    <row r="24" spans="1:35" x14ac:dyDescent="0.35">
      <c r="A24" s="2">
        <v>44966</v>
      </c>
      <c r="B24">
        <v>148.62776184082031</v>
      </c>
      <c r="C24">
        <v>481.32806396484381</v>
      </c>
      <c r="D24">
        <v>147.3296203613281</v>
      </c>
      <c r="E24">
        <v>130.78794860839841</v>
      </c>
      <c r="F24">
        <v>67.147132873535156</v>
      </c>
      <c r="G24">
        <v>127.85085296630859</v>
      </c>
      <c r="H24">
        <v>4081.5</v>
      </c>
      <c r="I24" s="13">
        <f t="shared" si="3"/>
        <v>-6.9356193688716655E-3</v>
      </c>
      <c r="J24" s="13">
        <f t="shared" si="4"/>
        <v>-6.3318009685475853E-3</v>
      </c>
      <c r="K24" s="13">
        <f t="shared" si="5"/>
        <v>-1.3599555458964364E-2</v>
      </c>
      <c r="L24" s="13">
        <f t="shared" si="6"/>
        <v>-1.5686030531255939E-2</v>
      </c>
      <c r="M24" s="13">
        <f t="shared" si="7"/>
        <v>-2.3736985477451702E-2</v>
      </c>
      <c r="N24" s="13">
        <f t="shared" si="8"/>
        <v>-1.1029338880084267E-2</v>
      </c>
      <c r="O24" s="13">
        <f t="shared" si="9"/>
        <v>-8.8690098310373854E-3</v>
      </c>
      <c r="AB24" s="50" t="s">
        <v>52</v>
      </c>
      <c r="AC24" s="50"/>
      <c r="AD24" s="50"/>
    </row>
    <row r="25" spans="1:35" x14ac:dyDescent="0.35">
      <c r="A25" s="2">
        <v>44967</v>
      </c>
      <c r="B25">
        <v>148.9928283691406</v>
      </c>
      <c r="C25">
        <v>480.71267700195313</v>
      </c>
      <c r="D25">
        <v>148.0141906738281</v>
      </c>
      <c r="E25">
        <v>131.36541748046881</v>
      </c>
      <c r="F25">
        <v>68.494300842285156</v>
      </c>
      <c r="G25">
        <v>128.97959899902341</v>
      </c>
      <c r="H25">
        <v>4090.4599609375</v>
      </c>
      <c r="I25" s="13">
        <f t="shared" si="3"/>
        <v>2.453235585311356E-3</v>
      </c>
      <c r="J25" s="13">
        <f t="shared" si="4"/>
        <v>-1.2793367694720211E-3</v>
      </c>
      <c r="K25" s="13">
        <f t="shared" si="5"/>
        <v>4.6357601743341791E-3</v>
      </c>
      <c r="L25" s="13">
        <f t="shared" si="6"/>
        <v>4.4055875741975609E-3</v>
      </c>
      <c r="M25" s="13">
        <f t="shared" si="7"/>
        <v>1.9864317707780039E-2</v>
      </c>
      <c r="N25" s="13">
        <f t="shared" si="8"/>
        <v>8.7898712281497104E-3</v>
      </c>
      <c r="O25" s="13">
        <f t="shared" si="9"/>
        <v>2.1928557092171274E-3</v>
      </c>
    </row>
    <row r="26" spans="1:35" x14ac:dyDescent="0.35">
      <c r="A26" s="2">
        <v>44970</v>
      </c>
      <c r="B26">
        <v>151.79487609863281</v>
      </c>
      <c r="C26">
        <v>486.92367553710938</v>
      </c>
      <c r="D26">
        <v>148.5619201660156</v>
      </c>
      <c r="E26">
        <v>132.79048156738281</v>
      </c>
      <c r="F26">
        <v>69.300773620605469</v>
      </c>
      <c r="G26">
        <v>130.66813659667969</v>
      </c>
      <c r="H26">
        <v>4137.2900390625</v>
      </c>
      <c r="I26" s="13">
        <f t="shared" si="3"/>
        <v>1.8631937064529109E-2</v>
      </c>
      <c r="J26" s="13">
        <f t="shared" si="4"/>
        <v>1.2837640543232796E-2</v>
      </c>
      <c r="K26" s="13">
        <f t="shared" si="5"/>
        <v>3.6936900505904007E-3</v>
      </c>
      <c r="L26" s="13">
        <f t="shared" si="6"/>
        <v>1.0789673198062432E-2</v>
      </c>
      <c r="M26" s="13">
        <f t="shared" si="7"/>
        <v>1.1705527065827436E-2</v>
      </c>
      <c r="N26" s="13">
        <f t="shared" si="8"/>
        <v>1.3006555962785537E-2</v>
      </c>
      <c r="O26" s="13">
        <f t="shared" si="9"/>
        <v>1.1383569951155146E-2</v>
      </c>
    </row>
    <row r="27" spans="1:35" x14ac:dyDescent="0.35">
      <c r="A27" s="2">
        <v>44971</v>
      </c>
      <c r="B27">
        <v>151.15357971191409</v>
      </c>
      <c r="C27">
        <v>483.81820678710938</v>
      </c>
      <c r="D27">
        <v>147.9137878417969</v>
      </c>
      <c r="E27">
        <v>133.37725830078119</v>
      </c>
      <c r="F27">
        <v>69.676490783691406</v>
      </c>
      <c r="G27">
        <v>129.93113708496091</v>
      </c>
      <c r="H27">
        <v>4136.1298828125</v>
      </c>
      <c r="I27" s="13">
        <f t="shared" si="3"/>
        <v>-4.2337059807742118E-3</v>
      </c>
      <c r="J27" s="13">
        <f t="shared" si="4"/>
        <v>-6.39815670969593E-3</v>
      </c>
      <c r="K27" s="13">
        <f t="shared" si="5"/>
        <v>-4.3722526953752462E-3</v>
      </c>
      <c r="L27" s="13">
        <f t="shared" si="6"/>
        <v>4.4090819140380601E-3</v>
      </c>
      <c r="M27" s="13">
        <f t="shared" si="7"/>
        <v>5.406899898674977E-3</v>
      </c>
      <c r="N27" s="13">
        <f t="shared" si="8"/>
        <v>-5.6562051473644393E-3</v>
      </c>
      <c r="O27" s="13">
        <f t="shared" si="9"/>
        <v>-2.8045385549376243E-4</v>
      </c>
    </row>
    <row r="28" spans="1:35" x14ac:dyDescent="0.35">
      <c r="A28" s="2">
        <v>44972</v>
      </c>
      <c r="B28">
        <v>153.255126953125</v>
      </c>
      <c r="C28">
        <v>491.56744384765619</v>
      </c>
      <c r="D28">
        <v>145.47654724121091</v>
      </c>
      <c r="E28">
        <v>133.9361267089844</v>
      </c>
      <c r="F28">
        <v>70.510467529296875</v>
      </c>
      <c r="G28">
        <v>129.63261413574219</v>
      </c>
      <c r="H28">
        <v>4147.60009765625</v>
      </c>
      <c r="I28" s="13">
        <f t="shared" si="3"/>
        <v>1.3807624969399865E-2</v>
      </c>
      <c r="J28" s="13">
        <f t="shared" si="4"/>
        <v>1.5889920268855148E-2</v>
      </c>
      <c r="K28" s="13">
        <f t="shared" si="5"/>
        <v>-1.6614703180285226E-2</v>
      </c>
      <c r="L28" s="13">
        <f t="shared" si="6"/>
        <v>4.181378515336137E-3</v>
      </c>
      <c r="M28" s="13">
        <f t="shared" si="7"/>
        <v>1.1898205000953541E-2</v>
      </c>
      <c r="N28" s="13">
        <f t="shared" si="8"/>
        <v>-2.3001908350876316E-3</v>
      </c>
      <c r="O28" s="13">
        <f t="shared" si="9"/>
        <v>2.7693375330766889E-3</v>
      </c>
    </row>
    <row r="29" spans="1:35" x14ac:dyDescent="0.35">
      <c r="A29" s="2">
        <v>44973</v>
      </c>
      <c r="B29">
        <v>151.6567687988281</v>
      </c>
      <c r="C29">
        <v>484.66433715820313</v>
      </c>
      <c r="D29">
        <v>144.445068359375</v>
      </c>
      <c r="E29">
        <v>132.0919189453125</v>
      </c>
      <c r="F29">
        <v>69.36492919921875</v>
      </c>
      <c r="G29">
        <v>127.9347686767578</v>
      </c>
      <c r="H29">
        <v>4090.409912109375</v>
      </c>
      <c r="I29" s="13">
        <f t="shared" si="3"/>
        <v>-1.0484161603306636E-2</v>
      </c>
      <c r="J29" s="13">
        <f t="shared" si="4"/>
        <v>-1.4142587616005193E-2</v>
      </c>
      <c r="K29" s="13">
        <f t="shared" si="5"/>
        <v>-7.1156007587036144E-3</v>
      </c>
      <c r="L29" s="13">
        <f t="shared" si="6"/>
        <v>-1.3864984068946748E-2</v>
      </c>
      <c r="M29" s="13">
        <f t="shared" si="7"/>
        <v>-1.6379777556438199E-2</v>
      </c>
      <c r="N29" s="13">
        <f t="shared" si="8"/>
        <v>-1.318389023448481E-2</v>
      </c>
      <c r="O29" s="13">
        <f t="shared" si="9"/>
        <v>-1.3884689204881605E-2</v>
      </c>
    </row>
    <row r="30" spans="1:35" x14ac:dyDescent="0.35">
      <c r="A30" s="2">
        <v>44974</v>
      </c>
      <c r="B30">
        <v>150.51226806640619</v>
      </c>
      <c r="C30">
        <v>487.9139404296875</v>
      </c>
      <c r="D30">
        <v>147.46064758300781</v>
      </c>
      <c r="E30">
        <v>132.48309326171881</v>
      </c>
      <c r="F30">
        <v>69.713172912597656</v>
      </c>
      <c r="G30">
        <v>130.61213684082031</v>
      </c>
      <c r="H30">
        <v>4079.090087890625</v>
      </c>
      <c r="I30" s="13">
        <f t="shared" si="3"/>
        <v>-7.5752712280685048E-3</v>
      </c>
      <c r="J30" s="13">
        <f t="shared" si="4"/>
        <v>6.6824757226768786E-3</v>
      </c>
      <c r="K30" s="13">
        <f t="shared" si="5"/>
        <v>2.0662058620935137E-2</v>
      </c>
      <c r="L30" s="13">
        <f t="shared" si="6"/>
        <v>2.9570033706099903E-3</v>
      </c>
      <c r="M30" s="13">
        <f t="shared" si="7"/>
        <v>5.0078975179004516E-3</v>
      </c>
      <c r="N30" s="13">
        <f t="shared" si="8"/>
        <v>2.0711629617798297E-2</v>
      </c>
      <c r="O30" s="13">
        <f t="shared" si="9"/>
        <v>-2.7712421722827342E-3</v>
      </c>
    </row>
    <row r="31" spans="1:35" x14ac:dyDescent="0.35">
      <c r="A31" s="2">
        <v>44978</v>
      </c>
      <c r="B31">
        <v>146.4966125488281</v>
      </c>
      <c r="C31">
        <v>482.395263671875</v>
      </c>
      <c r="D31">
        <v>145.2633361816406</v>
      </c>
      <c r="E31">
        <v>130.05216979980469</v>
      </c>
      <c r="F31">
        <v>67.504562377929688</v>
      </c>
      <c r="G31">
        <v>130.5188293457031</v>
      </c>
      <c r="H31">
        <v>3997.340087890625</v>
      </c>
      <c r="I31" s="13">
        <f t="shared" si="3"/>
        <v>-2.7042290601939224E-2</v>
      </c>
      <c r="J31" s="13">
        <f t="shared" si="4"/>
        <v>-1.1375211617059271E-2</v>
      </c>
      <c r="K31" s="13">
        <f t="shared" si="5"/>
        <v>-1.5013137254689951E-2</v>
      </c>
      <c r="L31" s="13">
        <f t="shared" si="6"/>
        <v>-1.8519363154043879E-2</v>
      </c>
      <c r="M31" s="13">
        <f t="shared" si="7"/>
        <v>-3.2194107972665205E-2</v>
      </c>
      <c r="N31" s="13">
        <f t="shared" si="8"/>
        <v>-7.1464139585550584E-4</v>
      </c>
      <c r="O31" s="13">
        <f t="shared" si="9"/>
        <v>-2.0244783973471698E-2</v>
      </c>
    </row>
    <row r="32" spans="1:35" x14ac:dyDescent="0.35">
      <c r="A32" s="2">
        <v>44979</v>
      </c>
      <c r="B32">
        <v>146.9208984375</v>
      </c>
      <c r="C32">
        <v>478.21295166015619</v>
      </c>
      <c r="D32">
        <v>145.0610656738281</v>
      </c>
      <c r="E32">
        <v>129.0555114746094</v>
      </c>
      <c r="F32">
        <v>67.522880554199219</v>
      </c>
      <c r="G32">
        <v>131.06925964355469</v>
      </c>
      <c r="H32">
        <v>3991.050048828125</v>
      </c>
      <c r="I32" s="13">
        <f t="shared" si="3"/>
        <v>2.8920304242729981E-3</v>
      </c>
      <c r="J32" s="13">
        <f t="shared" si="4"/>
        <v>-8.7076882573146174E-3</v>
      </c>
      <c r="K32" s="13">
        <f t="shared" si="5"/>
        <v>-1.3934105383290498E-3</v>
      </c>
      <c r="L32" s="13">
        <f t="shared" si="6"/>
        <v>-7.6930427976237507E-3</v>
      </c>
      <c r="M32" s="13">
        <f t="shared" si="7"/>
        <v>2.7132523558369475E-4</v>
      </c>
      <c r="N32" s="13">
        <f t="shared" si="8"/>
        <v>4.2083805294265194E-3</v>
      </c>
      <c r="O32" s="13">
        <f t="shared" si="9"/>
        <v>-1.5747954856433837E-3</v>
      </c>
    </row>
    <row r="33" spans="1:15" x14ac:dyDescent="0.35">
      <c r="A33" s="2">
        <v>44980</v>
      </c>
      <c r="B33">
        <v>147.4043273925781</v>
      </c>
      <c r="C33">
        <v>474.12677001953119</v>
      </c>
      <c r="D33">
        <v>145.01509094238281</v>
      </c>
      <c r="E33">
        <v>130.0893859863281</v>
      </c>
      <c r="F33">
        <v>66.78057861328125</v>
      </c>
      <c r="G33">
        <v>130.6494445800781</v>
      </c>
      <c r="H33">
        <v>4012.320068359375</v>
      </c>
      <c r="I33" s="13">
        <f t="shared" si="3"/>
        <v>3.2850014024284357E-3</v>
      </c>
      <c r="J33" s="13">
        <f t="shared" si="4"/>
        <v>-8.5814056124839024E-3</v>
      </c>
      <c r="K33" s="13">
        <f t="shared" si="5"/>
        <v>-3.1698387324586165E-4</v>
      </c>
      <c r="L33" s="13">
        <f t="shared" si="6"/>
        <v>7.9791653793453397E-3</v>
      </c>
      <c r="M33" s="13">
        <f t="shared" si="7"/>
        <v>-1.1054212666464601E-2</v>
      </c>
      <c r="N33" s="13">
        <f t="shared" si="8"/>
        <v>-3.2081423052239327E-3</v>
      </c>
      <c r="O33" s="13">
        <f t="shared" si="9"/>
        <v>5.3152782632377282E-3</v>
      </c>
    </row>
    <row r="34" spans="1:15" x14ac:dyDescent="0.35">
      <c r="A34" s="2">
        <v>44981</v>
      </c>
      <c r="B34">
        <v>144.7502746582031</v>
      </c>
      <c r="C34">
        <v>469.77145385742188</v>
      </c>
      <c r="D34">
        <v>143.39695739746091</v>
      </c>
      <c r="E34">
        <v>131.2629699707031</v>
      </c>
      <c r="F34">
        <v>66.826393127441406</v>
      </c>
      <c r="G34">
        <v>129.91246032714841</v>
      </c>
      <c r="H34">
        <v>3970.0400390625</v>
      </c>
      <c r="I34" s="13">
        <f t="shared" si="3"/>
        <v>-1.8169323565595377E-2</v>
      </c>
      <c r="J34" s="13">
        <f t="shared" si="4"/>
        <v>-9.2284251871859613E-3</v>
      </c>
      <c r="K34" s="13">
        <f t="shared" si="5"/>
        <v>-1.1221102120312363E-2</v>
      </c>
      <c r="L34" s="13">
        <f t="shared" si="6"/>
        <v>8.9809167260089841E-3</v>
      </c>
      <c r="M34" s="13">
        <f t="shared" si="7"/>
        <v>6.8581025913440569E-4</v>
      </c>
      <c r="N34" s="13">
        <f t="shared" si="8"/>
        <v>-5.6568992195050755E-3</v>
      </c>
      <c r="O34" s="13">
        <f t="shared" si="9"/>
        <v>-1.0593464619774184E-2</v>
      </c>
    </row>
    <row r="35" spans="1:15" x14ac:dyDescent="0.35">
      <c r="A35" s="2">
        <v>44984</v>
      </c>
      <c r="B35">
        <v>145.944091796875</v>
      </c>
      <c r="C35">
        <v>468.25244140625</v>
      </c>
      <c r="D35">
        <v>143.0843811035156</v>
      </c>
      <c r="E35">
        <v>132.4085998535156</v>
      </c>
      <c r="F35">
        <v>66.280357360839844</v>
      </c>
      <c r="G35">
        <v>129.80052185058591</v>
      </c>
      <c r="H35">
        <v>3982.239990234375</v>
      </c>
      <c r="I35" s="13">
        <f t="shared" si="3"/>
        <v>8.2136015553933052E-3</v>
      </c>
      <c r="J35" s="13">
        <f t="shared" si="4"/>
        <v>-3.238752843399501E-3</v>
      </c>
      <c r="K35" s="13">
        <f t="shared" si="5"/>
        <v>-2.1821764699844594E-3</v>
      </c>
      <c r="L35" s="13">
        <f t="shared" si="6"/>
        <v>8.6898795560380777E-3</v>
      </c>
      <c r="M35" s="13">
        <f t="shared" si="7"/>
        <v>-8.2045249785330111E-3</v>
      </c>
      <c r="N35" s="13">
        <f t="shared" si="8"/>
        <v>-8.6201685072047525E-4</v>
      </c>
      <c r="O35" s="13">
        <f t="shared" si="9"/>
        <v>3.0682925395522777E-3</v>
      </c>
    </row>
    <row r="36" spans="1:15" x14ac:dyDescent="0.35">
      <c r="A36" s="2">
        <v>44985</v>
      </c>
      <c r="B36">
        <v>145.44091796875</v>
      </c>
      <c r="C36">
        <v>465.51226806640619</v>
      </c>
      <c r="D36">
        <v>140.90541076660159</v>
      </c>
      <c r="E36">
        <v>133.51695251464841</v>
      </c>
      <c r="F36">
        <v>65.514801025390625</v>
      </c>
      <c r="G36">
        <v>128.32655334472659</v>
      </c>
      <c r="H36">
        <v>3970.14990234375</v>
      </c>
      <c r="I36" s="13">
        <f t="shared" si="3"/>
        <v>-3.4536733971218736E-3</v>
      </c>
      <c r="J36" s="13">
        <f t="shared" si="4"/>
        <v>-5.8691042353532646E-3</v>
      </c>
      <c r="K36" s="13">
        <f t="shared" si="5"/>
        <v>-1.5345714245894641E-2</v>
      </c>
      <c r="L36" s="13">
        <f t="shared" si="6"/>
        <v>8.3358599369103992E-3</v>
      </c>
      <c r="M36" s="13">
        <f t="shared" si="7"/>
        <v>-1.1617497261037665E-2</v>
      </c>
      <c r="N36" s="13">
        <f t="shared" si="8"/>
        <v>-1.1420611538434969E-2</v>
      </c>
      <c r="O36" s="13">
        <f t="shared" si="9"/>
        <v>-3.0406198309477117E-3</v>
      </c>
    </row>
    <row r="37" spans="1:15" x14ac:dyDescent="0.35">
      <c r="A37" s="2">
        <v>44986</v>
      </c>
      <c r="B37">
        <v>143.36894226074219</v>
      </c>
      <c r="C37">
        <v>460.2147216796875</v>
      </c>
      <c r="D37">
        <v>140.27107238769531</v>
      </c>
      <c r="E37">
        <v>132.77183532714841</v>
      </c>
      <c r="F37">
        <v>64.444869995117188</v>
      </c>
      <c r="G37">
        <v>128.4198913574219</v>
      </c>
      <c r="H37">
        <v>3951.389892578125</v>
      </c>
      <c r="I37" s="13">
        <f t="shared" si="3"/>
        <v>-1.4348618533513382E-2</v>
      </c>
      <c r="J37" s="13">
        <f t="shared" si="4"/>
        <v>-1.1445284137558232E-2</v>
      </c>
      <c r="K37" s="13">
        <f t="shared" si="5"/>
        <v>-4.5120377634035409E-3</v>
      </c>
      <c r="L37" s="13">
        <f t="shared" si="6"/>
        <v>-5.5963237372611795E-3</v>
      </c>
      <c r="M37" s="13">
        <f t="shared" si="7"/>
        <v>-1.6465957412204892E-2</v>
      </c>
      <c r="N37" s="13">
        <f t="shared" si="8"/>
        <v>7.2708322731035609E-4</v>
      </c>
      <c r="O37" s="13">
        <f t="shared" si="9"/>
        <v>-4.7364642034928321E-3</v>
      </c>
    </row>
    <row r="38" spans="1:15" x14ac:dyDescent="0.35">
      <c r="A38" s="2">
        <v>44987</v>
      </c>
      <c r="B38">
        <v>143.9609680175781</v>
      </c>
      <c r="C38">
        <v>466.96405029296881</v>
      </c>
      <c r="D38">
        <v>140.16072082519531</v>
      </c>
      <c r="E38">
        <v>131.39337158203119</v>
      </c>
      <c r="F38">
        <v>66.603179931640625</v>
      </c>
      <c r="G38">
        <v>130.53749084472659</v>
      </c>
      <c r="H38">
        <v>3981.35009765625</v>
      </c>
      <c r="I38" s="13">
        <f t="shared" si="3"/>
        <v>4.1208838582919519E-3</v>
      </c>
      <c r="J38" s="13">
        <f t="shared" si="4"/>
        <v>1.4559107772552763E-2</v>
      </c>
      <c r="K38" s="13">
        <f t="shared" si="5"/>
        <v>-7.8701182153119442E-4</v>
      </c>
      <c r="L38" s="13">
        <f t="shared" si="6"/>
        <v>-1.04364709726205E-2</v>
      </c>
      <c r="M38" s="13">
        <f t="shared" si="7"/>
        <v>3.2942193572884186E-2</v>
      </c>
      <c r="N38" s="13">
        <f t="shared" si="8"/>
        <v>1.6355175299144934E-2</v>
      </c>
      <c r="O38" s="13">
        <f t="shared" si="9"/>
        <v>7.5535937311959735E-3</v>
      </c>
    </row>
    <row r="39" spans="1:15" x14ac:dyDescent="0.35">
      <c r="A39" s="2">
        <v>44988</v>
      </c>
      <c r="B39">
        <v>149.01255798339841</v>
      </c>
      <c r="C39">
        <v>456.93621826171881</v>
      </c>
      <c r="D39">
        <v>141.60417175292969</v>
      </c>
      <c r="E39">
        <v>133.80570983886719</v>
      </c>
      <c r="F39">
        <v>68.097396850585938</v>
      </c>
      <c r="G39">
        <v>131.48902893066409</v>
      </c>
      <c r="H39">
        <v>4045.639892578125</v>
      </c>
      <c r="I39" s="13">
        <f t="shared" si="3"/>
        <v>3.4488376761373472E-2</v>
      </c>
      <c r="J39" s="13">
        <f t="shared" si="4"/>
        <v>-2.1708459618044428E-2</v>
      </c>
      <c r="K39" s="13">
        <f t="shared" si="5"/>
        <v>1.0245872308944531E-2</v>
      </c>
      <c r="L39" s="13">
        <f t="shared" si="6"/>
        <v>1.8193161017649832E-2</v>
      </c>
      <c r="M39" s="13">
        <f t="shared" si="7"/>
        <v>2.2186663901808047E-2</v>
      </c>
      <c r="N39" s="13">
        <f t="shared" si="8"/>
        <v>7.2629462817973113E-3</v>
      </c>
      <c r="O39" s="13">
        <f t="shared" si="9"/>
        <v>1.601874917648306E-2</v>
      </c>
    </row>
    <row r="40" spans="1:15" x14ac:dyDescent="0.35">
      <c r="A40" s="2">
        <v>44991</v>
      </c>
      <c r="B40">
        <v>151.7751770019531</v>
      </c>
      <c r="C40">
        <v>464.45468139648438</v>
      </c>
      <c r="D40">
        <v>143.0199890136719</v>
      </c>
      <c r="E40">
        <v>133.0233459472656</v>
      </c>
      <c r="F40">
        <v>68.623130798339844</v>
      </c>
      <c r="G40">
        <v>130.92933654785159</v>
      </c>
      <c r="H40">
        <v>4048.419921875</v>
      </c>
      <c r="I40" s="13">
        <f t="shared" si="3"/>
        <v>1.8369743066928037E-2</v>
      </c>
      <c r="J40" s="13">
        <f t="shared" si="4"/>
        <v>1.632017423694989E-2</v>
      </c>
      <c r="K40" s="13">
        <f t="shared" si="5"/>
        <v>9.9487614458951459E-3</v>
      </c>
      <c r="L40" s="13">
        <f t="shared" si="6"/>
        <v>-5.8641749589462763E-3</v>
      </c>
      <c r="M40" s="13">
        <f t="shared" si="7"/>
        <v>7.6906745178332205E-3</v>
      </c>
      <c r="N40" s="13">
        <f t="shared" si="8"/>
        <v>-4.2656559533362053E-3</v>
      </c>
      <c r="O40" s="13">
        <f t="shared" si="9"/>
        <v>6.8693077884830116E-4</v>
      </c>
    </row>
    <row r="41" spans="1:15" x14ac:dyDescent="0.35">
      <c r="A41" s="2">
        <v>44992</v>
      </c>
      <c r="B41">
        <v>149.57496643066409</v>
      </c>
      <c r="C41">
        <v>466.4449462890625</v>
      </c>
      <c r="D41">
        <v>141.66851806640619</v>
      </c>
      <c r="E41">
        <v>129.11140441894531</v>
      </c>
      <c r="F41">
        <v>68.023605346679688</v>
      </c>
      <c r="G41">
        <v>128.32655334472659</v>
      </c>
      <c r="H41">
        <v>3986.3701171875</v>
      </c>
      <c r="I41" s="13">
        <f t="shared" si="3"/>
        <v>-1.4602612384044675E-2</v>
      </c>
      <c r="J41" s="13">
        <f t="shared" si="4"/>
        <v>4.2760097134612162E-3</v>
      </c>
      <c r="K41" s="13">
        <f t="shared" si="5"/>
        <v>-9.4944549285652137E-3</v>
      </c>
      <c r="L41" s="13">
        <f t="shared" si="6"/>
        <v>-2.984901443516793E-2</v>
      </c>
      <c r="M41" s="13">
        <f t="shared" si="7"/>
        <v>-8.7748791584631083E-3</v>
      </c>
      <c r="N41" s="13">
        <f t="shared" si="8"/>
        <v>-2.0079548854916279E-2</v>
      </c>
      <c r="O41" s="13">
        <f t="shared" si="9"/>
        <v>-1.5445590479262547E-2</v>
      </c>
    </row>
    <row r="42" spans="1:15" x14ac:dyDescent="0.35">
      <c r="A42" s="2">
        <v>44993</v>
      </c>
      <c r="B42">
        <v>150.8280029296875</v>
      </c>
      <c r="C42">
        <v>467.30056762695313</v>
      </c>
      <c r="D42">
        <v>140.6296081542969</v>
      </c>
      <c r="E42">
        <v>128.3476867675781</v>
      </c>
      <c r="F42">
        <v>68.484786987304688</v>
      </c>
      <c r="G42">
        <v>128.34521484375</v>
      </c>
      <c r="H42">
        <v>3992.010009765625</v>
      </c>
      <c r="I42" s="13">
        <f t="shared" si="3"/>
        <v>8.3424193101215207E-3</v>
      </c>
      <c r="J42" s="13">
        <f t="shared" si="4"/>
        <v>1.8326654631641752E-3</v>
      </c>
      <c r="K42" s="13">
        <f t="shared" si="5"/>
        <v>-7.3604073559441928E-3</v>
      </c>
      <c r="L42" s="13">
        <f t="shared" si="6"/>
        <v>-5.9327475128193637E-3</v>
      </c>
      <c r="M42" s="13">
        <f t="shared" si="7"/>
        <v>6.7568504374497075E-3</v>
      </c>
      <c r="N42" s="13">
        <f t="shared" si="8"/>
        <v>1.4541138815547295E-4</v>
      </c>
      <c r="O42" s="13">
        <f t="shared" si="9"/>
        <v>1.4137941356032722E-3</v>
      </c>
    </row>
    <row r="43" spans="1:15" x14ac:dyDescent="0.35">
      <c r="A43" s="2">
        <v>44994</v>
      </c>
      <c r="B43">
        <v>148.5784606933594</v>
      </c>
      <c r="C43">
        <v>461.031982421875</v>
      </c>
      <c r="D43">
        <v>139.04826354980469</v>
      </c>
      <c r="E43">
        <v>121.3993835449219</v>
      </c>
      <c r="F43">
        <v>68.032829284667969</v>
      </c>
      <c r="G43">
        <v>127.4029922485352</v>
      </c>
      <c r="H43">
        <v>3918.320068359375</v>
      </c>
      <c r="I43" s="13">
        <f t="shared" si="3"/>
        <v>-1.5026960604810156E-2</v>
      </c>
      <c r="J43" s="13">
        <f t="shared" si="4"/>
        <v>-1.3505247624087072E-2</v>
      </c>
      <c r="K43" s="13">
        <f t="shared" si="5"/>
        <v>-1.1308448872391189E-2</v>
      </c>
      <c r="L43" s="13">
        <f t="shared" si="6"/>
        <v>-5.5657083578831479E-2</v>
      </c>
      <c r="M43" s="13">
        <f t="shared" si="7"/>
        <v>-6.6212605548042662E-3</v>
      </c>
      <c r="N43" s="13">
        <f t="shared" si="8"/>
        <v>-7.3683946327519068E-3</v>
      </c>
      <c r="O43" s="13">
        <f t="shared" si="9"/>
        <v>-1.8631857945482354E-2</v>
      </c>
    </row>
    <row r="44" spans="1:15" x14ac:dyDescent="0.35">
      <c r="A44" s="2">
        <v>44995</v>
      </c>
      <c r="B44">
        <v>146.516357421875</v>
      </c>
      <c r="C44">
        <v>452.97503662109381</v>
      </c>
      <c r="D44">
        <v>139.38844299316409</v>
      </c>
      <c r="E44">
        <v>124.4823303222656</v>
      </c>
      <c r="F44">
        <v>67.341064453125</v>
      </c>
      <c r="G44">
        <v>127.9814071655273</v>
      </c>
      <c r="H44">
        <v>3861.590087890625</v>
      </c>
      <c r="I44" s="13">
        <f t="shared" si="3"/>
        <v>-1.3976096568900179E-2</v>
      </c>
      <c r="J44" s="13">
        <f t="shared" si="4"/>
        <v>-1.7630399608615725E-2</v>
      </c>
      <c r="K44" s="13">
        <f t="shared" si="5"/>
        <v>2.4434968854608399E-3</v>
      </c>
      <c r="L44" s="13">
        <f t="shared" si="6"/>
        <v>2.5077979981243614E-2</v>
      </c>
      <c r="M44" s="13">
        <f t="shared" si="7"/>
        <v>-1.0220151518949006E-2</v>
      </c>
      <c r="N44" s="13">
        <f t="shared" si="8"/>
        <v>4.5297669501345702E-3</v>
      </c>
      <c r="O44" s="13">
        <f t="shared" si="9"/>
        <v>-1.458396943606664E-2</v>
      </c>
    </row>
    <row r="45" spans="1:15" x14ac:dyDescent="0.35">
      <c r="A45" s="2">
        <v>44998</v>
      </c>
      <c r="B45">
        <v>148.46006774902341</v>
      </c>
      <c r="C45">
        <v>453.80194091796881</v>
      </c>
      <c r="D45">
        <v>140.72154235839841</v>
      </c>
      <c r="E45">
        <v>122.24697113037109</v>
      </c>
      <c r="F45">
        <v>67.599327087402344</v>
      </c>
      <c r="G45">
        <v>128.86766052246091</v>
      </c>
      <c r="H45">
        <v>3855.760009765625</v>
      </c>
      <c r="I45" s="13">
        <f t="shared" si="3"/>
        <v>1.317894105357841E-2</v>
      </c>
      <c r="J45" s="13">
        <f t="shared" si="4"/>
        <v>1.823832202565391E-3</v>
      </c>
      <c r="K45" s="13">
        <f t="shared" si="5"/>
        <v>9.5184713146883905E-3</v>
      </c>
      <c r="L45" s="13">
        <f t="shared" si="6"/>
        <v>-1.812042869170823E-2</v>
      </c>
      <c r="M45" s="13">
        <f t="shared" si="7"/>
        <v>3.8278079182958373E-3</v>
      </c>
      <c r="N45" s="13">
        <f t="shared" si="8"/>
        <v>6.9009935066632359E-3</v>
      </c>
      <c r="O45" s="13">
        <f t="shared" si="9"/>
        <v>-1.5109018407387679E-3</v>
      </c>
    </row>
    <row r="46" spans="1:15" x14ac:dyDescent="0.35">
      <c r="A46" s="2">
        <v>44999</v>
      </c>
      <c r="B46">
        <v>150.55169677734381</v>
      </c>
      <c r="C46">
        <v>463.33941650390619</v>
      </c>
      <c r="D46">
        <v>141.51222229003909</v>
      </c>
      <c r="E46">
        <v>125.3857803344727</v>
      </c>
      <c r="F46">
        <v>68.761482238769531</v>
      </c>
      <c r="G46">
        <v>130.4628601074219</v>
      </c>
      <c r="H46">
        <v>3919.2900390625</v>
      </c>
      <c r="I46" s="13">
        <f t="shared" si="3"/>
        <v>1.3990507353338084E-2</v>
      </c>
      <c r="J46" s="13">
        <f t="shared" si="4"/>
        <v>2.0799017145100775E-2</v>
      </c>
      <c r="K46" s="13">
        <f t="shared" si="5"/>
        <v>5.6030291143282212E-3</v>
      </c>
      <c r="L46" s="13">
        <f t="shared" si="6"/>
        <v>2.5351875288875815E-2</v>
      </c>
      <c r="M46" s="13">
        <f t="shared" si="7"/>
        <v>1.7045708312427618E-2</v>
      </c>
      <c r="N46" s="13">
        <f t="shared" si="8"/>
        <v>1.2302599023165722E-2</v>
      </c>
      <c r="O46" s="13">
        <f t="shared" si="9"/>
        <v>1.6342388235363665E-2</v>
      </c>
    </row>
    <row r="47" spans="1:15" x14ac:dyDescent="0.35">
      <c r="A47" s="2">
        <v>45000</v>
      </c>
      <c r="B47">
        <v>150.94636535644531</v>
      </c>
      <c r="C47">
        <v>466.93521118164063</v>
      </c>
      <c r="D47">
        <v>141.9075622558594</v>
      </c>
      <c r="E47">
        <v>119.46205139160161</v>
      </c>
      <c r="F47">
        <v>69.656166076660156</v>
      </c>
      <c r="G47">
        <v>132.30995178222659</v>
      </c>
      <c r="H47">
        <v>3891.929931640625</v>
      </c>
      <c r="I47" s="13">
        <f t="shared" si="3"/>
        <v>2.618052014903709E-3</v>
      </c>
      <c r="J47" s="13">
        <f t="shared" si="4"/>
        <v>7.7306474424486057E-3</v>
      </c>
      <c r="K47" s="13">
        <f t="shared" si="5"/>
        <v>2.7897856380170128E-3</v>
      </c>
      <c r="L47" s="13">
        <f t="shared" si="6"/>
        <v>-4.8396467945587184E-2</v>
      </c>
      <c r="M47" s="13">
        <f t="shared" si="7"/>
        <v>1.2927488780594321E-2</v>
      </c>
      <c r="N47" s="13">
        <f t="shared" si="8"/>
        <v>1.4058700244571915E-2</v>
      </c>
      <c r="O47" s="13">
        <f t="shared" si="9"/>
        <v>-7.0053639293535972E-3</v>
      </c>
    </row>
    <row r="48" spans="1:15" x14ac:dyDescent="0.35">
      <c r="A48" s="2">
        <v>45001</v>
      </c>
      <c r="B48">
        <v>153.7681884765625</v>
      </c>
      <c r="C48">
        <v>468.47354125976563</v>
      </c>
      <c r="D48">
        <v>141.61334228515619</v>
      </c>
      <c r="E48">
        <v>121.78126525878911</v>
      </c>
      <c r="F48">
        <v>70.311042785644531</v>
      </c>
      <c r="G48">
        <v>133.298828125</v>
      </c>
      <c r="H48">
        <v>3960.280029296875</v>
      </c>
      <c r="I48" s="13">
        <f t="shared" si="3"/>
        <v>1.8521621321561224E-2</v>
      </c>
      <c r="J48" s="13">
        <f t="shared" si="4"/>
        <v>3.2891106929376457E-3</v>
      </c>
      <c r="K48" s="13">
        <f t="shared" si="5"/>
        <v>-2.0754736007522505E-3</v>
      </c>
      <c r="L48" s="13">
        <f t="shared" si="6"/>
        <v>1.922776847402299E-2</v>
      </c>
      <c r="M48" s="13">
        <f t="shared" si="7"/>
        <v>9.3576415935602338E-3</v>
      </c>
      <c r="N48" s="13">
        <f t="shared" si="8"/>
        <v>7.4461462617545372E-3</v>
      </c>
      <c r="O48" s="13">
        <f t="shared" si="9"/>
        <v>1.7409576249031722E-2</v>
      </c>
    </row>
    <row r="49" spans="1:15" x14ac:dyDescent="0.35">
      <c r="A49" s="2">
        <v>45002</v>
      </c>
      <c r="B49">
        <v>152.92951965332031</v>
      </c>
      <c r="C49">
        <v>468.27166748046881</v>
      </c>
      <c r="D49">
        <v>140.09635925292969</v>
      </c>
      <c r="E49">
        <v>117.18011474609381</v>
      </c>
      <c r="F49">
        <v>69.794525146484375</v>
      </c>
      <c r="G49">
        <v>133.33610534667969</v>
      </c>
      <c r="H49">
        <v>3916.639892578125</v>
      </c>
      <c r="I49" s="13">
        <f t="shared" si="3"/>
        <v>-5.4690393271237172E-3</v>
      </c>
      <c r="J49" s="13">
        <f t="shared" si="4"/>
        <v>-4.310110807900034E-4</v>
      </c>
      <c r="K49" s="13">
        <f t="shared" si="5"/>
        <v>-1.0769935767298532E-2</v>
      </c>
      <c r="L49" s="13">
        <f t="shared" si="6"/>
        <v>-3.851433449017682E-2</v>
      </c>
      <c r="M49" s="13">
        <f t="shared" si="7"/>
        <v>-7.373296962334022E-3</v>
      </c>
      <c r="N49" s="13">
        <f t="shared" si="8"/>
        <v>2.796124381543161E-4</v>
      </c>
      <c r="O49" s="13">
        <f t="shared" si="9"/>
        <v>-1.1080621273953702E-2</v>
      </c>
    </row>
    <row r="50" spans="1:15" x14ac:dyDescent="0.35">
      <c r="A50" s="2">
        <v>45005</v>
      </c>
      <c r="B50">
        <v>155.29743957519531</v>
      </c>
      <c r="C50">
        <v>470.42526245117188</v>
      </c>
      <c r="D50">
        <v>141.4846496582031</v>
      </c>
      <c r="E50">
        <v>118.4188766479492</v>
      </c>
      <c r="F50">
        <v>70.071243286132813</v>
      </c>
      <c r="G50">
        <v>135.38844299316409</v>
      </c>
      <c r="H50">
        <v>3951.570068359375</v>
      </c>
      <c r="I50" s="13">
        <f t="shared" si="3"/>
        <v>1.536508366198913E-2</v>
      </c>
      <c r="J50" s="13">
        <f t="shared" si="4"/>
        <v>4.5884857626563606E-3</v>
      </c>
      <c r="K50" s="13">
        <f t="shared" si="5"/>
        <v>9.8607619866270396E-3</v>
      </c>
      <c r="L50" s="13">
        <f t="shared" si="6"/>
        <v>1.0515947544829237E-2</v>
      </c>
      <c r="M50" s="13">
        <f t="shared" si="7"/>
        <v>3.9569153167563166E-3</v>
      </c>
      <c r="N50" s="13">
        <f t="shared" si="8"/>
        <v>1.5274953955751795E-2</v>
      </c>
      <c r="O50" s="13">
        <f t="shared" si="9"/>
        <v>8.8788696359408531E-3</v>
      </c>
    </row>
    <row r="51" spans="1:15" x14ac:dyDescent="0.35">
      <c r="A51" s="2">
        <v>45006</v>
      </c>
      <c r="B51">
        <v>157.15232849121091</v>
      </c>
      <c r="C51">
        <v>471.925048828125</v>
      </c>
      <c r="D51">
        <v>141.4846496582031</v>
      </c>
      <c r="E51">
        <v>121.59498596191411</v>
      </c>
      <c r="F51">
        <v>69.508590698242188</v>
      </c>
      <c r="G51">
        <v>134.408935546875</v>
      </c>
      <c r="H51">
        <v>4002.8701171875</v>
      </c>
      <c r="I51" s="13">
        <f t="shared" si="3"/>
        <v>1.1873337072381687E-2</v>
      </c>
      <c r="J51" s="13">
        <f t="shared" si="4"/>
        <v>3.1830787878349802E-3</v>
      </c>
      <c r="K51" s="13">
        <f t="shared" si="5"/>
        <v>0</v>
      </c>
      <c r="L51" s="13">
        <f t="shared" si="6"/>
        <v>2.6467593925759418E-2</v>
      </c>
      <c r="M51" s="13">
        <f t="shared" si="7"/>
        <v>-8.0621336110483985E-3</v>
      </c>
      <c r="N51" s="13">
        <f t="shared" si="8"/>
        <v>-7.2610916768004533E-3</v>
      </c>
      <c r="O51" s="13">
        <f t="shared" si="9"/>
        <v>1.2898647518559103E-2</v>
      </c>
    </row>
    <row r="52" spans="1:15" x14ac:dyDescent="0.35">
      <c r="A52" s="2">
        <v>45007</v>
      </c>
      <c r="B52">
        <v>155.7217712402344</v>
      </c>
      <c r="C52">
        <v>468.7235107421875</v>
      </c>
      <c r="D52">
        <v>138.8735656738281</v>
      </c>
      <c r="E52">
        <v>118.4561386108398</v>
      </c>
      <c r="F52">
        <v>68.374092102050781</v>
      </c>
      <c r="G52">
        <v>134.32496643066409</v>
      </c>
      <c r="H52">
        <v>3936.969970703125</v>
      </c>
      <c r="I52" s="13">
        <f t="shared" si="3"/>
        <v>-9.1446829342110153E-3</v>
      </c>
      <c r="J52" s="13">
        <f t="shared" si="4"/>
        <v>-6.8071128494699073E-3</v>
      </c>
      <c r="K52" s="13">
        <f t="shared" si="5"/>
        <v>-1.8627308492489041E-2</v>
      </c>
      <c r="L52" s="13">
        <f t="shared" si="6"/>
        <v>-2.6152981064143377E-2</v>
      </c>
      <c r="M52" s="13">
        <f t="shared" si="7"/>
        <v>-1.6456369661952533E-2</v>
      </c>
      <c r="N52" s="13">
        <f t="shared" si="8"/>
        <v>-6.2492389926023918E-4</v>
      </c>
      <c r="O52" s="13">
        <f t="shared" si="9"/>
        <v>-1.6600248639842885E-2</v>
      </c>
    </row>
    <row r="53" spans="1:15" x14ac:dyDescent="0.35">
      <c r="A53" s="2">
        <v>45008</v>
      </c>
      <c r="B53">
        <v>156.80702209472659</v>
      </c>
      <c r="C53">
        <v>468.95425415039063</v>
      </c>
      <c r="D53">
        <v>138.94712829589841</v>
      </c>
      <c r="E53">
        <v>118.13946533203119</v>
      </c>
      <c r="F53">
        <v>68.078948974609375</v>
      </c>
      <c r="G53">
        <v>134.13841247558591</v>
      </c>
      <c r="H53">
        <v>3948.719970703125</v>
      </c>
      <c r="I53" s="13">
        <f t="shared" si="3"/>
        <v>6.9449934834961901E-3</v>
      </c>
      <c r="J53" s="13">
        <f t="shared" si="4"/>
        <v>4.9215929288266077E-4</v>
      </c>
      <c r="K53" s="13">
        <f t="shared" si="5"/>
        <v>5.295690737674208E-4</v>
      </c>
      <c r="L53" s="13">
        <f t="shared" si="6"/>
        <v>-2.6769175980870911E-3</v>
      </c>
      <c r="M53" s="13">
        <f t="shared" si="7"/>
        <v>-4.3259363863412253E-3</v>
      </c>
      <c r="N53" s="13">
        <f t="shared" si="8"/>
        <v>-1.3897909343607994E-3</v>
      </c>
      <c r="O53" s="13">
        <f t="shared" si="9"/>
        <v>2.9800838691824228E-3</v>
      </c>
    </row>
    <row r="54" spans="1:15" x14ac:dyDescent="0.35">
      <c r="A54" s="2">
        <v>45009</v>
      </c>
      <c r="B54">
        <v>158.10939025878909</v>
      </c>
      <c r="C54">
        <v>476.1746826171875</v>
      </c>
      <c r="D54">
        <v>140.34458923339841</v>
      </c>
      <c r="E54">
        <v>116.3418502807617</v>
      </c>
      <c r="F54">
        <v>69.81298828125</v>
      </c>
      <c r="G54">
        <v>136.87171936035159</v>
      </c>
      <c r="H54">
        <v>3970.989990234375</v>
      </c>
      <c r="I54" s="13">
        <f t="shared" si="3"/>
        <v>8.2712461969572902E-3</v>
      </c>
      <c r="J54" s="13">
        <f t="shared" si="4"/>
        <v>1.5279542634770037E-2</v>
      </c>
      <c r="K54" s="13">
        <f t="shared" si="5"/>
        <v>1.0007261312790172E-2</v>
      </c>
      <c r="L54" s="13">
        <f t="shared" si="6"/>
        <v>-1.5332993716899893E-2</v>
      </c>
      <c r="M54" s="13">
        <f t="shared" si="7"/>
        <v>2.5152024933133517E-2</v>
      </c>
      <c r="N54" s="13">
        <f t="shared" si="8"/>
        <v>2.0171936370785598E-2</v>
      </c>
      <c r="O54" s="13">
        <f t="shared" si="9"/>
        <v>5.6239630843032068E-3</v>
      </c>
    </row>
    <row r="55" spans="1:15" x14ac:dyDescent="0.35">
      <c r="A55" s="2">
        <v>45012</v>
      </c>
      <c r="B55">
        <v>156.16571044921881</v>
      </c>
      <c r="C55">
        <v>474.2037353515625</v>
      </c>
      <c r="D55">
        <v>140.94219970703119</v>
      </c>
      <c r="E55">
        <v>119.67629241943359</v>
      </c>
      <c r="F55">
        <v>69.582389831542969</v>
      </c>
      <c r="G55">
        <v>136.1534118652344</v>
      </c>
      <c r="H55">
        <v>3977.530029296875</v>
      </c>
      <c r="I55" s="13">
        <f t="shared" si="3"/>
        <v>-1.236944694356632E-2</v>
      </c>
      <c r="J55" s="13">
        <f t="shared" si="4"/>
        <v>-4.1477164337221416E-3</v>
      </c>
      <c r="K55" s="13">
        <f t="shared" si="5"/>
        <v>4.2491250658559772E-3</v>
      </c>
      <c r="L55" s="13">
        <f t="shared" si="6"/>
        <v>2.8257692193649982E-2</v>
      </c>
      <c r="M55" s="13">
        <f t="shared" si="7"/>
        <v>-3.3085553220417859E-3</v>
      </c>
      <c r="N55" s="13">
        <f t="shared" si="8"/>
        <v>-5.2618537290924769E-3</v>
      </c>
      <c r="O55" s="13">
        <f t="shared" si="9"/>
        <v>1.6455995637670831E-3</v>
      </c>
    </row>
    <row r="56" spans="1:15" x14ac:dyDescent="0.35">
      <c r="A56" s="2">
        <v>45013</v>
      </c>
      <c r="B56">
        <v>155.54412841796881</v>
      </c>
      <c r="C56">
        <v>468.00241088867188</v>
      </c>
      <c r="D56">
        <v>139.5815124511719</v>
      </c>
      <c r="E56">
        <v>120.03952789306641</v>
      </c>
      <c r="F56">
        <v>69.397911071777344</v>
      </c>
      <c r="G56">
        <v>136.53590393066409</v>
      </c>
      <c r="H56">
        <v>3971.27001953125</v>
      </c>
      <c r="I56" s="13">
        <f t="shared" si="3"/>
        <v>-3.9882145357247618E-3</v>
      </c>
      <c r="J56" s="13">
        <f t="shared" si="4"/>
        <v>-1.3163603389211576E-2</v>
      </c>
      <c r="K56" s="13">
        <f t="shared" si="5"/>
        <v>-9.701125917470306E-3</v>
      </c>
      <c r="L56" s="13">
        <f t="shared" si="6"/>
        <v>3.0305530203479053E-3</v>
      </c>
      <c r="M56" s="13">
        <f t="shared" si="7"/>
        <v>-2.6547484343078442E-3</v>
      </c>
      <c r="N56" s="13">
        <f t="shared" si="8"/>
        <v>2.8053340862373402E-3</v>
      </c>
      <c r="O56" s="13">
        <f t="shared" si="9"/>
        <v>-1.5750832883878866E-3</v>
      </c>
    </row>
    <row r="57" spans="1:15" x14ac:dyDescent="0.35">
      <c r="A57" s="2">
        <v>45014</v>
      </c>
      <c r="B57">
        <v>158.6224365234375</v>
      </c>
      <c r="C57">
        <v>471.9443359375</v>
      </c>
      <c r="D57">
        <v>140.95140075683591</v>
      </c>
      <c r="E57">
        <v>120.2817001342773</v>
      </c>
      <c r="F57">
        <v>70.200355529785156</v>
      </c>
      <c r="G57">
        <v>136.9556884765625</v>
      </c>
      <c r="H57">
        <v>4027.81005859375</v>
      </c>
      <c r="I57" s="13">
        <f t="shared" si="3"/>
        <v>1.9597289896621076E-2</v>
      </c>
      <c r="J57" s="13">
        <f t="shared" si="4"/>
        <v>8.3875989192864486E-3</v>
      </c>
      <c r="K57" s="13">
        <f t="shared" si="5"/>
        <v>9.7664062203423885E-3</v>
      </c>
      <c r="L57" s="13">
        <f t="shared" si="6"/>
        <v>2.0154051739098167E-3</v>
      </c>
      <c r="M57" s="13">
        <f t="shared" si="7"/>
        <v>1.1496608316342565E-2</v>
      </c>
      <c r="N57" s="13">
        <f t="shared" si="8"/>
        <v>3.0698192355161601E-3</v>
      </c>
      <c r="O57" s="13">
        <f t="shared" si="9"/>
        <v>1.4136870775046802E-2</v>
      </c>
    </row>
    <row r="58" spans="1:15" x14ac:dyDescent="0.35">
      <c r="A58" s="2">
        <v>45015</v>
      </c>
      <c r="B58">
        <v>160.1911926269531</v>
      </c>
      <c r="C58">
        <v>472.53082275390619</v>
      </c>
      <c r="D58">
        <v>141.06172180175781</v>
      </c>
      <c r="E58">
        <v>119.91844177246089</v>
      </c>
      <c r="F58">
        <v>70.643089294433594</v>
      </c>
      <c r="G58">
        <v>137.552734375</v>
      </c>
      <c r="H58">
        <v>4050.830078125</v>
      </c>
      <c r="I58" s="13">
        <f t="shared" si="3"/>
        <v>9.8412904678844906E-3</v>
      </c>
      <c r="J58" s="13">
        <f t="shared" si="4"/>
        <v>1.2419318526103633E-3</v>
      </c>
      <c r="K58" s="13">
        <f t="shared" si="5"/>
        <v>7.823823909219995E-4</v>
      </c>
      <c r="L58" s="13">
        <f t="shared" si="6"/>
        <v>-3.0246330070330422E-3</v>
      </c>
      <c r="M58" s="13">
        <f t="shared" si="7"/>
        <v>6.28691272731085E-3</v>
      </c>
      <c r="N58" s="13">
        <f t="shared" si="8"/>
        <v>4.3499345752206235E-3</v>
      </c>
      <c r="O58" s="13">
        <f t="shared" si="9"/>
        <v>5.6989991994826524E-3</v>
      </c>
    </row>
    <row r="59" spans="1:15" x14ac:dyDescent="0.35">
      <c r="A59" s="2">
        <v>45016</v>
      </c>
      <c r="B59">
        <v>162.697265625</v>
      </c>
      <c r="C59">
        <v>477.7130126953125</v>
      </c>
      <c r="D59">
        <v>142.50517272949219</v>
      </c>
      <c r="E59">
        <v>121.371452331543</v>
      </c>
      <c r="F59">
        <v>71.095039367675781</v>
      </c>
      <c r="G59">
        <v>138.7095031738281</v>
      </c>
      <c r="H59">
        <v>4109.31005859375</v>
      </c>
      <c r="I59" s="13">
        <f t="shared" si="3"/>
        <v>1.5523152082184948E-2</v>
      </c>
      <c r="J59" s="13">
        <f t="shared" si="4"/>
        <v>1.0907182185488404E-2</v>
      </c>
      <c r="K59" s="13">
        <f t="shared" si="5"/>
        <v>1.0180761034557088E-2</v>
      </c>
      <c r="L59" s="13">
        <f t="shared" si="6"/>
        <v>1.2043837378162893E-2</v>
      </c>
      <c r="M59" s="13">
        <f t="shared" si="7"/>
        <v>6.3772763084746784E-3</v>
      </c>
      <c r="N59" s="13">
        <f t="shared" si="8"/>
        <v>8.3744746991810705E-3</v>
      </c>
      <c r="O59" s="13">
        <f t="shared" si="9"/>
        <v>1.4333327782036555E-2</v>
      </c>
    </row>
    <row r="60" spans="1:15" x14ac:dyDescent="0.35">
      <c r="A60" s="2">
        <v>45019</v>
      </c>
      <c r="B60">
        <v>163.95033264160159</v>
      </c>
      <c r="C60">
        <v>477.86685180664063</v>
      </c>
      <c r="D60">
        <v>144.20600891113281</v>
      </c>
      <c r="E60">
        <v>121.2317352294922</v>
      </c>
      <c r="F60">
        <v>70.716880798339844</v>
      </c>
      <c r="G60">
        <v>139.4744567871094</v>
      </c>
      <c r="H60">
        <v>4124.509765625</v>
      </c>
      <c r="I60" s="13">
        <f t="shared" si="3"/>
        <v>7.6723243643311862E-3</v>
      </c>
      <c r="J60" s="13">
        <f t="shared" si="4"/>
        <v>3.2198064938782648E-4</v>
      </c>
      <c r="K60" s="13">
        <f t="shared" si="5"/>
        <v>1.1864595750281173E-2</v>
      </c>
      <c r="L60" s="13">
        <f t="shared" si="6"/>
        <v>-1.151816007877489E-3</v>
      </c>
      <c r="M60" s="13">
        <f t="shared" si="7"/>
        <v>-5.3332535832230363E-3</v>
      </c>
      <c r="N60" s="13">
        <f t="shared" si="8"/>
        <v>5.4996380197801101E-3</v>
      </c>
      <c r="O60" s="13">
        <f t="shared" si="9"/>
        <v>3.6920225658028231E-3</v>
      </c>
    </row>
    <row r="61" spans="1:15" x14ac:dyDescent="0.35">
      <c r="A61" s="2">
        <v>45020</v>
      </c>
      <c r="B61">
        <v>163.41754150390619</v>
      </c>
      <c r="C61">
        <v>478.53988647460938</v>
      </c>
      <c r="D61">
        <v>145.7138366699219</v>
      </c>
      <c r="E61">
        <v>119.61106872558589</v>
      </c>
      <c r="F61">
        <v>71.168838500976563</v>
      </c>
      <c r="G61">
        <v>140.1461486816406</v>
      </c>
      <c r="H61">
        <v>4100.60009765625</v>
      </c>
      <c r="I61" s="13">
        <f t="shared" si="3"/>
        <v>-3.2550024005745188E-3</v>
      </c>
      <c r="J61" s="13">
        <f t="shared" si="4"/>
        <v>1.4074237500170575E-3</v>
      </c>
      <c r="K61" s="13">
        <f t="shared" si="5"/>
        <v>1.0401780885000456E-2</v>
      </c>
      <c r="L61" s="13">
        <f t="shared" si="6"/>
        <v>-1.3458496081086157E-2</v>
      </c>
      <c r="M61" s="13">
        <f t="shared" si="7"/>
        <v>6.3707501146853789E-3</v>
      </c>
      <c r="N61" s="13">
        <f t="shared" si="8"/>
        <v>4.804318232374879E-3</v>
      </c>
      <c r="O61" s="13">
        <f t="shared" si="9"/>
        <v>-5.8138397451625292E-3</v>
      </c>
    </row>
    <row r="62" spans="1:15" x14ac:dyDescent="0.35">
      <c r="A62" s="2">
        <v>45021</v>
      </c>
      <c r="B62">
        <v>161.572509765625</v>
      </c>
      <c r="C62">
        <v>477.96298217773438</v>
      </c>
      <c r="D62">
        <v>152.2598571777344</v>
      </c>
      <c r="E62">
        <v>119.7894287109375</v>
      </c>
      <c r="F62">
        <v>72.248001098632813</v>
      </c>
      <c r="G62">
        <v>141.10697937011719</v>
      </c>
      <c r="H62">
        <v>4090.3798828125</v>
      </c>
      <c r="I62" s="13">
        <f t="shared" si="3"/>
        <v>-1.1354511029360441E-2</v>
      </c>
      <c r="J62" s="13">
        <f t="shared" si="4"/>
        <v>-1.2062783829235426E-3</v>
      </c>
      <c r="K62" s="13">
        <f t="shared" si="5"/>
        <v>4.394397232071022E-2</v>
      </c>
      <c r="L62" s="13">
        <f t="shared" si="6"/>
        <v>1.4900555367429039E-3</v>
      </c>
      <c r="M62" s="13">
        <f t="shared" si="7"/>
        <v>1.5049599041866295E-2</v>
      </c>
      <c r="N62" s="13">
        <f t="shared" si="8"/>
        <v>6.8325243742685011E-3</v>
      </c>
      <c r="O62" s="13">
        <f t="shared" si="9"/>
        <v>-2.4954816571214232E-3</v>
      </c>
    </row>
    <row r="63" spans="1:15" x14ac:dyDescent="0.35">
      <c r="A63" s="2">
        <v>45022</v>
      </c>
      <c r="B63">
        <v>162.4604797363281</v>
      </c>
      <c r="C63">
        <v>467.24285888671881</v>
      </c>
      <c r="D63">
        <v>151.83692932128909</v>
      </c>
      <c r="E63">
        <v>119.6580123901367</v>
      </c>
      <c r="F63">
        <v>72.838294982910156</v>
      </c>
      <c r="G63">
        <v>142.00254821777341</v>
      </c>
      <c r="H63">
        <v>4105.02001953125</v>
      </c>
      <c r="I63" s="13">
        <f t="shared" si="3"/>
        <v>5.4807517891991304E-3</v>
      </c>
      <c r="J63" s="13">
        <f t="shared" si="4"/>
        <v>-2.2684123412384793E-2</v>
      </c>
      <c r="K63" s="13">
        <f t="shared" si="5"/>
        <v>-2.7815363259513165E-3</v>
      </c>
      <c r="L63" s="13">
        <f t="shared" si="6"/>
        <v>-1.0976632983956758E-3</v>
      </c>
      <c r="M63" s="13">
        <f t="shared" si="7"/>
        <v>8.137186727488116E-3</v>
      </c>
      <c r="N63" s="13">
        <f t="shared" si="8"/>
        <v>6.3266810023741892E-3</v>
      </c>
      <c r="O63" s="13">
        <f t="shared" si="9"/>
        <v>3.5727731328032467E-3</v>
      </c>
    </row>
    <row r="64" spans="1:15" x14ac:dyDescent="0.35">
      <c r="A64" s="2">
        <v>45026</v>
      </c>
      <c r="B64">
        <v>159.86561584472659</v>
      </c>
      <c r="C64">
        <v>474.79019165039063</v>
      </c>
      <c r="D64">
        <v>151.07386779785159</v>
      </c>
      <c r="E64">
        <v>120.05226898193359</v>
      </c>
      <c r="F64">
        <v>72.340225219726563</v>
      </c>
      <c r="G64">
        <v>140.82713317871091</v>
      </c>
      <c r="H64">
        <v>4109.10986328125</v>
      </c>
      <c r="I64" s="13">
        <f t="shared" si="3"/>
        <v>-1.6101209219960111E-2</v>
      </c>
      <c r="J64" s="13">
        <f t="shared" si="4"/>
        <v>1.6023841729638971E-2</v>
      </c>
      <c r="K64" s="13">
        <f t="shared" si="5"/>
        <v>-5.0382036216034386E-3</v>
      </c>
      <c r="L64" s="13">
        <f t="shared" si="6"/>
        <v>3.2894454509252557E-3</v>
      </c>
      <c r="M64" s="13">
        <f t="shared" si="7"/>
        <v>-6.8615070134635048E-3</v>
      </c>
      <c r="N64" s="13">
        <f t="shared" si="8"/>
        <v>-8.3118702423844466E-3</v>
      </c>
      <c r="O64" s="13">
        <f t="shared" si="9"/>
        <v>9.9580701701008434E-4</v>
      </c>
    </row>
    <row r="65" spans="1:15" x14ac:dyDescent="0.35">
      <c r="A65" s="2">
        <v>45027</v>
      </c>
      <c r="B65">
        <v>158.65205383300781</v>
      </c>
      <c r="C65">
        <v>479.42437744140619</v>
      </c>
      <c r="D65">
        <v>151.02789306640619</v>
      </c>
      <c r="E65">
        <v>120.643669128418</v>
      </c>
      <c r="F65">
        <v>72.257225036621094</v>
      </c>
      <c r="G65">
        <v>140.5472717285156</v>
      </c>
      <c r="H65">
        <v>4108.93994140625</v>
      </c>
      <c r="I65" s="13">
        <f t="shared" si="3"/>
        <v>-7.6200977179951054E-3</v>
      </c>
      <c r="J65" s="13">
        <f t="shared" si="4"/>
        <v>9.7131659390879681E-3</v>
      </c>
      <c r="K65" s="13">
        <f t="shared" si="5"/>
        <v>-3.0436586446094745E-4</v>
      </c>
      <c r="L65" s="13">
        <f t="shared" si="6"/>
        <v>4.9140948637296285E-3</v>
      </c>
      <c r="M65" s="13">
        <f t="shared" si="7"/>
        <v>-1.1480173692429527E-3</v>
      </c>
      <c r="N65" s="13">
        <f t="shared" si="8"/>
        <v>-1.9892466237238387E-3</v>
      </c>
      <c r="O65" s="13">
        <f t="shared" si="9"/>
        <v>-4.1353332983520818E-5</v>
      </c>
    </row>
    <row r="66" spans="1:15" x14ac:dyDescent="0.35">
      <c r="A66" s="2">
        <v>45028</v>
      </c>
      <c r="B66">
        <v>157.9613952636719</v>
      </c>
      <c r="C66">
        <v>470.48294067382813</v>
      </c>
      <c r="D66">
        <v>150.70611572265619</v>
      </c>
      <c r="E66">
        <v>120.624885559082</v>
      </c>
      <c r="F66">
        <v>72.487808227539063</v>
      </c>
      <c r="G66">
        <v>140.9297790527344</v>
      </c>
      <c r="H66">
        <v>4091.949951171875</v>
      </c>
      <c r="I66" s="13">
        <f t="shared" si="3"/>
        <v>-4.362794232551679E-3</v>
      </c>
      <c r="J66" s="13">
        <f t="shared" si="4"/>
        <v>-1.8826470104471089E-2</v>
      </c>
      <c r="K66" s="13">
        <f t="shared" si="5"/>
        <v>-2.1328551396887162E-3</v>
      </c>
      <c r="L66" s="13">
        <f t="shared" si="6"/>
        <v>-1.5570673433402997E-4</v>
      </c>
      <c r="M66" s="13">
        <f t="shared" si="7"/>
        <v>3.1860628412888744E-3</v>
      </c>
      <c r="N66" s="13">
        <f t="shared" si="8"/>
        <v>2.7178596522497685E-3</v>
      </c>
      <c r="O66" s="13">
        <f t="shared" si="9"/>
        <v>-4.1434563234613855E-3</v>
      </c>
    </row>
    <row r="67" spans="1:15" x14ac:dyDescent="0.35">
      <c r="A67" s="2">
        <v>45029</v>
      </c>
      <c r="B67">
        <v>163.34846496582031</v>
      </c>
      <c r="C67">
        <v>478.69369506835938</v>
      </c>
      <c r="D67">
        <v>152.71955871582031</v>
      </c>
      <c r="E67">
        <v>121.08485412597661</v>
      </c>
      <c r="F67">
        <v>72.727615356445313</v>
      </c>
      <c r="G67">
        <v>141.58274841308591</v>
      </c>
      <c r="H67">
        <v>4146.22021484375</v>
      </c>
      <c r="I67" s="13">
        <f t="shared" si="3"/>
        <v>3.3535071394998242E-2</v>
      </c>
      <c r="J67" s="13">
        <f t="shared" si="4"/>
        <v>1.7301224864526607E-2</v>
      </c>
      <c r="K67" s="13">
        <f t="shared" si="5"/>
        <v>1.3271603004767865E-2</v>
      </c>
      <c r="L67" s="13">
        <f t="shared" si="6"/>
        <v>3.8059626618908229E-3</v>
      </c>
      <c r="M67" s="13">
        <f t="shared" si="7"/>
        <v>3.3027806686030487E-3</v>
      </c>
      <c r="N67" s="13">
        <f t="shared" si="8"/>
        <v>4.6225951744519964E-3</v>
      </c>
      <c r="O67" s="13">
        <f t="shared" si="9"/>
        <v>1.3175510497831548E-2</v>
      </c>
    </row>
    <row r="68" spans="1:15" x14ac:dyDescent="0.35">
      <c r="A68" s="2">
        <v>45030</v>
      </c>
      <c r="B68">
        <v>163.003173828125</v>
      </c>
      <c r="C68">
        <v>472.3577880859375</v>
      </c>
      <c r="D68">
        <v>152.4713134765625</v>
      </c>
      <c r="E68">
        <v>130.2279357910156</v>
      </c>
      <c r="F68">
        <v>71.962059020996094</v>
      </c>
      <c r="G68">
        <v>140.86445617675781</v>
      </c>
      <c r="H68">
        <v>4137.64013671875</v>
      </c>
      <c r="I68" s="13">
        <f t="shared" si="3"/>
        <v>-2.1160688379885401E-3</v>
      </c>
      <c r="J68" s="13">
        <f t="shared" si="4"/>
        <v>-1.3324201331112494E-2</v>
      </c>
      <c r="K68" s="13">
        <f t="shared" si="5"/>
        <v>-1.6268199125603902E-3</v>
      </c>
      <c r="L68" s="13">
        <f t="shared" si="6"/>
        <v>7.2794693778920561E-2</v>
      </c>
      <c r="M68" s="13">
        <f t="shared" si="7"/>
        <v>-1.0582143926432223E-2</v>
      </c>
      <c r="N68" s="13">
        <f t="shared" si="8"/>
        <v>-5.0862162779388657E-3</v>
      </c>
      <c r="O68" s="13">
        <f t="shared" si="9"/>
        <v>-2.0715175845779886E-3</v>
      </c>
    </row>
    <row r="69" spans="1:15" x14ac:dyDescent="0.35">
      <c r="A69" s="2">
        <v>45033</v>
      </c>
      <c r="B69">
        <v>163.02287292480469</v>
      </c>
      <c r="C69">
        <v>474.89596557617188</v>
      </c>
      <c r="D69">
        <v>152.31500244140619</v>
      </c>
      <c r="E69">
        <v>131.2605285644531</v>
      </c>
      <c r="F69">
        <v>72.441688537597656</v>
      </c>
      <c r="G69">
        <v>140.9111022949219</v>
      </c>
      <c r="H69">
        <v>4151.31982421875</v>
      </c>
      <c r="I69" s="13">
        <f t="shared" ref="I69:I132" si="19">LN(B69/B68)</f>
        <v>1.2084369883854622E-4</v>
      </c>
      <c r="J69" s="13">
        <f t="shared" ref="J69:J132" si="20">LN(C69/C68)</f>
        <v>5.359036171604283E-3</v>
      </c>
      <c r="K69" s="13">
        <f t="shared" ref="K69:K132" si="21">LN(D69/D68)</f>
        <v>-1.0257090997659289E-3</v>
      </c>
      <c r="L69" s="13">
        <f t="shared" ref="L69:L132" si="22">LN(E69/E68)</f>
        <v>7.8978485218867221E-3</v>
      </c>
      <c r="M69" s="13">
        <f t="shared" ref="M69:M132" si="23">LN(F69/F68)</f>
        <v>6.6429201247531931E-3</v>
      </c>
      <c r="N69" s="13">
        <f t="shared" ref="N69:N132" si="24">LN(G69/G68)</f>
        <v>3.3108704561310702E-4</v>
      </c>
      <c r="O69" s="13">
        <f t="shared" ref="O69:O132" si="25">LN(H69/H68)</f>
        <v>3.3007035826147536E-3</v>
      </c>
    </row>
    <row r="70" spans="1:15" x14ac:dyDescent="0.35">
      <c r="A70" s="2">
        <v>45034</v>
      </c>
      <c r="B70">
        <v>164.2463073730469</v>
      </c>
      <c r="C70">
        <v>477.74185180664063</v>
      </c>
      <c r="D70">
        <v>148.03068542480469</v>
      </c>
      <c r="E70">
        <v>132.73429870605469</v>
      </c>
      <c r="F70">
        <v>72.220344543457031</v>
      </c>
      <c r="G70">
        <v>141.06037902832031</v>
      </c>
      <c r="H70">
        <v>4154.8701171875</v>
      </c>
      <c r="I70" s="13">
        <f t="shared" si="19"/>
        <v>7.4766597107238453E-3</v>
      </c>
      <c r="J70" s="13">
        <f t="shared" si="20"/>
        <v>5.9747674184987493E-3</v>
      </c>
      <c r="K70" s="13">
        <f t="shared" si="21"/>
        <v>-2.8531174677910862E-2</v>
      </c>
      <c r="L70" s="13">
        <f t="shared" si="22"/>
        <v>1.1165260071157061E-2</v>
      </c>
      <c r="M70" s="13">
        <f t="shared" si="23"/>
        <v>-3.0601556214665186E-3</v>
      </c>
      <c r="N70" s="13">
        <f t="shared" si="24"/>
        <v>1.0588074130314469E-3</v>
      </c>
      <c r="O70" s="13">
        <f t="shared" si="25"/>
        <v>8.5485480346597534E-4</v>
      </c>
    </row>
    <row r="71" spans="1:15" x14ac:dyDescent="0.35">
      <c r="A71" s="2">
        <v>45035</v>
      </c>
      <c r="B71">
        <v>165.39085388183591</v>
      </c>
      <c r="C71">
        <v>476.90542602539063</v>
      </c>
      <c r="D71">
        <v>149.42816162109381</v>
      </c>
      <c r="E71">
        <v>132.56536865234381</v>
      </c>
      <c r="F71">
        <v>72.810623168945313</v>
      </c>
      <c r="G71">
        <v>141.0883483886719</v>
      </c>
      <c r="H71">
        <v>4154.52001953125</v>
      </c>
      <c r="I71" s="13">
        <f t="shared" si="19"/>
        <v>6.9443087297808665E-3</v>
      </c>
      <c r="J71" s="13">
        <f t="shared" si="20"/>
        <v>-1.7523246851545381E-3</v>
      </c>
      <c r="K71" s="13">
        <f t="shared" si="21"/>
        <v>9.3961668435491377E-3</v>
      </c>
      <c r="L71" s="13">
        <f t="shared" si="22"/>
        <v>-1.2735038699745709E-3</v>
      </c>
      <c r="M71" s="13">
        <f t="shared" si="23"/>
        <v>8.1400806208769289E-3</v>
      </c>
      <c r="N71" s="13">
        <f t="shared" si="24"/>
        <v>1.9825969586505154E-4</v>
      </c>
      <c r="O71" s="13">
        <f t="shared" si="25"/>
        <v>-8.4265547939628261E-5</v>
      </c>
    </row>
    <row r="72" spans="1:15" x14ac:dyDescent="0.35">
      <c r="A72" s="2">
        <v>45036</v>
      </c>
      <c r="B72">
        <v>164.42388916015619</v>
      </c>
      <c r="C72">
        <v>486.087158203125</v>
      </c>
      <c r="D72">
        <v>150.3935241699219</v>
      </c>
      <c r="E72">
        <v>132.18046569824219</v>
      </c>
      <c r="F72">
        <v>72.635383605957031</v>
      </c>
      <c r="G72">
        <v>141.6055603027344</v>
      </c>
      <c r="H72">
        <v>4129.7900390625</v>
      </c>
      <c r="I72" s="13">
        <f t="shared" si="19"/>
        <v>-5.8637008361368493E-3</v>
      </c>
      <c r="J72" s="13">
        <f t="shared" si="20"/>
        <v>1.9069742747893654E-2</v>
      </c>
      <c r="K72" s="13">
        <f t="shared" si="21"/>
        <v>6.4396001395712445E-3</v>
      </c>
      <c r="L72" s="13">
        <f t="shared" si="22"/>
        <v>-2.9077188408758261E-3</v>
      </c>
      <c r="M72" s="13">
        <f t="shared" si="23"/>
        <v>-2.4096866138762934E-3</v>
      </c>
      <c r="N72" s="13">
        <f t="shared" si="24"/>
        <v>3.6591696903430374E-3</v>
      </c>
      <c r="O72" s="13">
        <f t="shared" si="25"/>
        <v>-5.9703351883111308E-3</v>
      </c>
    </row>
    <row r="73" spans="1:15" x14ac:dyDescent="0.35">
      <c r="A73" s="2">
        <v>45037</v>
      </c>
      <c r="B73">
        <v>162.8157043457031</v>
      </c>
      <c r="C73">
        <v>486.8275146484375</v>
      </c>
      <c r="D73">
        <v>149.57525634765619</v>
      </c>
      <c r="E73">
        <v>131.92701721191409</v>
      </c>
      <c r="F73">
        <v>72.856742858886719</v>
      </c>
      <c r="G73">
        <v>146.50567626953119</v>
      </c>
      <c r="H73">
        <v>4133.52001953125</v>
      </c>
      <c r="I73" s="13">
        <f t="shared" si="19"/>
        <v>-9.8288703025660416E-3</v>
      </c>
      <c r="J73" s="13">
        <f t="shared" si="20"/>
        <v>1.521935291712694E-3</v>
      </c>
      <c r="K73" s="13">
        <f t="shared" si="21"/>
        <v>-5.455700093023149E-3</v>
      </c>
      <c r="L73" s="13">
        <f t="shared" si="22"/>
        <v>-1.9192834775952343E-3</v>
      </c>
      <c r="M73" s="13">
        <f t="shared" si="23"/>
        <v>3.0429058824067729E-3</v>
      </c>
      <c r="N73" s="13">
        <f t="shared" si="24"/>
        <v>3.4018725410285049E-2</v>
      </c>
      <c r="O73" s="13">
        <f t="shared" si="25"/>
        <v>9.0278125730088607E-4</v>
      </c>
    </row>
    <row r="74" spans="1:15" x14ac:dyDescent="0.35">
      <c r="A74" s="2">
        <v>45040</v>
      </c>
      <c r="B74">
        <v>163.1215515136719</v>
      </c>
      <c r="C74">
        <v>491.70205688476563</v>
      </c>
      <c r="D74">
        <v>150.4854431152344</v>
      </c>
      <c r="E74">
        <v>132.1053771972656</v>
      </c>
      <c r="F74">
        <v>72.902854919433594</v>
      </c>
      <c r="G74">
        <v>146.7685241699219</v>
      </c>
      <c r="H74">
        <v>4137.0400390625</v>
      </c>
      <c r="I74" s="13">
        <f t="shared" si="19"/>
        <v>1.8767247514002315E-3</v>
      </c>
      <c r="J74" s="13">
        <f t="shared" si="20"/>
        <v>9.9630766403691062E-3</v>
      </c>
      <c r="K74" s="13">
        <f t="shared" si="21"/>
        <v>6.0667029092155616E-3</v>
      </c>
      <c r="L74" s="13">
        <f t="shared" si="22"/>
        <v>1.3510464341396885E-3</v>
      </c>
      <c r="M74" s="13">
        <f t="shared" si="23"/>
        <v>6.3271390410021833E-4</v>
      </c>
      <c r="N74" s="13">
        <f t="shared" si="24"/>
        <v>1.7925066056006409E-3</v>
      </c>
      <c r="O74" s="13">
        <f t="shared" si="25"/>
        <v>8.5121677827231261E-4</v>
      </c>
    </row>
    <row r="75" spans="1:15" x14ac:dyDescent="0.35">
      <c r="A75" s="2">
        <v>45041</v>
      </c>
      <c r="B75">
        <v>161.58238220214841</v>
      </c>
      <c r="C75">
        <v>483.7701416015625</v>
      </c>
      <c r="D75">
        <v>151.8645324707031</v>
      </c>
      <c r="E75">
        <v>129.2329406738281</v>
      </c>
      <c r="F75">
        <v>71.777595520019531</v>
      </c>
      <c r="G75">
        <v>146.80604553222659</v>
      </c>
      <c r="H75">
        <v>4071.6298828125</v>
      </c>
      <c r="I75" s="13">
        <f t="shared" si="19"/>
        <v>-9.4805185899675942E-3</v>
      </c>
      <c r="J75" s="13">
        <f t="shared" si="20"/>
        <v>-1.6263077757094929E-2</v>
      </c>
      <c r="K75" s="13">
        <f t="shared" si="21"/>
        <v>9.1225336918836601E-3</v>
      </c>
      <c r="L75" s="13">
        <f t="shared" si="22"/>
        <v>-2.1983398577454683E-2</v>
      </c>
      <c r="M75" s="13">
        <f t="shared" si="23"/>
        <v>-1.5555413131559838E-2</v>
      </c>
      <c r="N75" s="13">
        <f t="shared" si="24"/>
        <v>2.5561725286395035E-4</v>
      </c>
      <c r="O75" s="13">
        <f t="shared" si="25"/>
        <v>-1.593718381857645E-2</v>
      </c>
    </row>
    <row r="76" spans="1:15" x14ac:dyDescent="0.35">
      <c r="A76" s="2">
        <v>45042</v>
      </c>
      <c r="B76">
        <v>161.572509765625</v>
      </c>
      <c r="C76">
        <v>475.58819580078119</v>
      </c>
      <c r="D76">
        <v>149.51087951660159</v>
      </c>
      <c r="E76">
        <v>126.9424514770508</v>
      </c>
      <c r="F76">
        <v>68.318771362304688</v>
      </c>
      <c r="G76">
        <v>145.10700988769531</v>
      </c>
      <c r="H76">
        <v>4055.989990234375</v>
      </c>
      <c r="I76" s="13">
        <f t="shared" si="19"/>
        <v>-6.1100337775247681E-5</v>
      </c>
      <c r="J76" s="13">
        <f t="shared" si="20"/>
        <v>-1.7057534948921597E-2</v>
      </c>
      <c r="K76" s="13">
        <f t="shared" si="21"/>
        <v>-1.5619726846745605E-2</v>
      </c>
      <c r="L76" s="13">
        <f t="shared" si="22"/>
        <v>-1.7882671843220236E-2</v>
      </c>
      <c r="M76" s="13">
        <f t="shared" si="23"/>
        <v>-4.9387821502600016E-2</v>
      </c>
      <c r="N76" s="13">
        <f t="shared" si="24"/>
        <v>-1.1640827973553243E-2</v>
      </c>
      <c r="O76" s="13">
        <f t="shared" si="25"/>
        <v>-3.8485835033448754E-3</v>
      </c>
    </row>
    <row r="77" spans="1:15" x14ac:dyDescent="0.35">
      <c r="A77" s="2">
        <v>45043</v>
      </c>
      <c r="B77">
        <v>166.16038513183591</v>
      </c>
      <c r="C77">
        <v>481.94332885742188</v>
      </c>
      <c r="D77">
        <v>149.86024475097659</v>
      </c>
      <c r="E77">
        <v>128.65093994140619</v>
      </c>
      <c r="F77">
        <v>69.960548400878906</v>
      </c>
      <c r="G77">
        <v>146.88116455078119</v>
      </c>
      <c r="H77">
        <v>4135.35009765625</v>
      </c>
      <c r="I77" s="13">
        <f t="shared" si="19"/>
        <v>2.7999478622725091E-2</v>
      </c>
      <c r="J77" s="13">
        <f t="shared" si="20"/>
        <v>1.3274187239559487E-2</v>
      </c>
      <c r="K77" s="13">
        <f t="shared" si="21"/>
        <v>2.3339952630900391E-3</v>
      </c>
      <c r="L77" s="13">
        <f t="shared" si="22"/>
        <v>1.3368999106975114E-2</v>
      </c>
      <c r="M77" s="13">
        <f t="shared" si="23"/>
        <v>2.3746923151465454E-2</v>
      </c>
      <c r="N77" s="13">
        <f t="shared" si="24"/>
        <v>1.2152385968683644E-2</v>
      </c>
      <c r="O77" s="13">
        <f t="shared" si="25"/>
        <v>1.9377193402696356E-2</v>
      </c>
    </row>
    <row r="78" spans="1:15" x14ac:dyDescent="0.35">
      <c r="A78" s="2">
        <v>45044</v>
      </c>
      <c r="B78">
        <v>167.41340637207031</v>
      </c>
      <c r="C78">
        <v>483.81820678710938</v>
      </c>
      <c r="D78">
        <v>150.50384521484381</v>
      </c>
      <c r="E78">
        <v>129.76799011230469</v>
      </c>
      <c r="F78">
        <v>70.67999267578125</v>
      </c>
      <c r="G78">
        <v>146.7966613769531</v>
      </c>
      <c r="H78">
        <v>4169.47998046875</v>
      </c>
      <c r="I78" s="13">
        <f t="shared" si="19"/>
        <v>7.512743300924025E-3</v>
      </c>
      <c r="J78" s="13">
        <f t="shared" si="20"/>
        <v>3.8826981938248932E-3</v>
      </c>
      <c r="K78" s="13">
        <f t="shared" si="21"/>
        <v>4.2854753305100511E-3</v>
      </c>
      <c r="L78" s="13">
        <f t="shared" si="22"/>
        <v>8.6453196610864185E-3</v>
      </c>
      <c r="M78" s="13">
        <f t="shared" si="23"/>
        <v>1.0231054929187475E-2</v>
      </c>
      <c r="N78" s="13">
        <f t="shared" si="24"/>
        <v>-5.7548216923286794E-4</v>
      </c>
      <c r="O78" s="13">
        <f t="shared" si="25"/>
        <v>8.2193313132434675E-3</v>
      </c>
    </row>
    <row r="79" spans="1:15" x14ac:dyDescent="0.35">
      <c r="A79" s="2">
        <v>45047</v>
      </c>
      <c r="B79">
        <v>167.3246154785156</v>
      </c>
      <c r="C79">
        <v>474.55950927734381</v>
      </c>
      <c r="D79">
        <v>150.41188049316409</v>
      </c>
      <c r="E79">
        <v>132.5466003417969</v>
      </c>
      <c r="F79">
        <v>70.836799621582031</v>
      </c>
      <c r="G79">
        <v>146.9750671386719</v>
      </c>
      <c r="H79">
        <v>4167.8701171875</v>
      </c>
      <c r="I79" s="13">
        <f t="shared" si="19"/>
        <v>-5.3050977087264336E-4</v>
      </c>
      <c r="J79" s="13">
        <f t="shared" si="20"/>
        <v>-1.9322205456503514E-2</v>
      </c>
      <c r="K79" s="13">
        <f t="shared" si="21"/>
        <v>-6.1123242613220598E-4</v>
      </c>
      <c r="L79" s="13">
        <f t="shared" si="22"/>
        <v>2.1186119734255611E-2</v>
      </c>
      <c r="M79" s="13">
        <f t="shared" si="23"/>
        <v>2.2160905067050989E-3</v>
      </c>
      <c r="N79" s="13">
        <f t="shared" si="24"/>
        <v>1.2145878335714584E-3</v>
      </c>
      <c r="O79" s="13">
        <f t="shared" si="25"/>
        <v>-3.8618104851078711E-4</v>
      </c>
    </row>
    <row r="80" spans="1:15" x14ac:dyDescent="0.35">
      <c r="A80" s="2">
        <v>45048</v>
      </c>
      <c r="B80">
        <v>166.28865051269531</v>
      </c>
      <c r="C80">
        <v>475.732421875</v>
      </c>
      <c r="D80">
        <v>151.72662353515619</v>
      </c>
      <c r="E80">
        <v>130.4062805175781</v>
      </c>
      <c r="F80">
        <v>70.043571472167969</v>
      </c>
      <c r="G80">
        <v>146.84361267089841</v>
      </c>
      <c r="H80">
        <v>4119.580078125</v>
      </c>
      <c r="I80" s="13">
        <f t="shared" si="19"/>
        <v>-6.2105941298942549E-3</v>
      </c>
      <c r="J80" s="13">
        <f t="shared" si="20"/>
        <v>2.4685323631949028E-3</v>
      </c>
      <c r="K80" s="13">
        <f t="shared" si="21"/>
        <v>8.7029711397869462E-3</v>
      </c>
      <c r="L80" s="13">
        <f t="shared" si="22"/>
        <v>-1.627947247580314E-2</v>
      </c>
      <c r="M80" s="13">
        <f t="shared" si="23"/>
        <v>-1.1261136322786882E-2</v>
      </c>
      <c r="N80" s="13">
        <f t="shared" si="24"/>
        <v>-8.9479999453829845E-4</v>
      </c>
      <c r="O80" s="13">
        <f t="shared" si="25"/>
        <v>-1.1653906680571788E-2</v>
      </c>
    </row>
    <row r="81" spans="1:15" x14ac:dyDescent="0.35">
      <c r="A81" s="2">
        <v>45049</v>
      </c>
      <c r="B81">
        <v>165.2132263183594</v>
      </c>
      <c r="C81">
        <v>471.16552734375</v>
      </c>
      <c r="D81">
        <v>149.7407531738281</v>
      </c>
      <c r="E81">
        <v>127.6464920043945</v>
      </c>
      <c r="F81">
        <v>69.536270141601563</v>
      </c>
      <c r="G81">
        <v>146.6558532714844</v>
      </c>
      <c r="H81">
        <v>4090.75</v>
      </c>
      <c r="I81" s="13">
        <f t="shared" si="19"/>
        <v>-6.4882164607158507E-3</v>
      </c>
      <c r="J81" s="13">
        <f t="shared" si="20"/>
        <v>-9.64608688038604E-3</v>
      </c>
      <c r="K81" s="13">
        <f t="shared" si="21"/>
        <v>-1.3174885509293403E-2</v>
      </c>
      <c r="L81" s="13">
        <f t="shared" si="22"/>
        <v>-2.1390149861227573E-2</v>
      </c>
      <c r="M81" s="13">
        <f t="shared" si="23"/>
        <v>-7.2690090266947574E-3</v>
      </c>
      <c r="N81" s="13">
        <f t="shared" si="24"/>
        <v>-1.2794532652702392E-3</v>
      </c>
      <c r="O81" s="13">
        <f t="shared" si="25"/>
        <v>-7.0229080548929708E-3</v>
      </c>
    </row>
    <row r="82" spans="1:15" x14ac:dyDescent="0.35">
      <c r="A82" s="2">
        <v>45050</v>
      </c>
      <c r="B82">
        <v>163.57537841796881</v>
      </c>
      <c r="C82">
        <v>472.41806030273438</v>
      </c>
      <c r="D82">
        <v>149.06037902832031</v>
      </c>
      <c r="E82">
        <v>125.90048980712891</v>
      </c>
      <c r="F82">
        <v>69.646965026855469</v>
      </c>
      <c r="G82">
        <v>145.97999572753909</v>
      </c>
      <c r="H82">
        <v>4061.219970703125</v>
      </c>
      <c r="I82" s="13">
        <f t="shared" si="19"/>
        <v>-9.9630061669392245E-3</v>
      </c>
      <c r="J82" s="13">
        <f t="shared" si="20"/>
        <v>2.6548441729118432E-3</v>
      </c>
      <c r="K82" s="13">
        <f t="shared" si="21"/>
        <v>-4.5540344265945915E-3</v>
      </c>
      <c r="L82" s="13">
        <f t="shared" si="22"/>
        <v>-1.3772830461306562E-2</v>
      </c>
      <c r="M82" s="13">
        <f t="shared" si="23"/>
        <v>1.5906356603828475E-3</v>
      </c>
      <c r="N82" s="13">
        <f t="shared" si="24"/>
        <v>-4.6191110757068752E-3</v>
      </c>
      <c r="O82" s="13">
        <f t="shared" si="25"/>
        <v>-7.2449134550627422E-3</v>
      </c>
    </row>
    <row r="83" spans="1:15" x14ac:dyDescent="0.35">
      <c r="A83" s="2">
        <v>45051</v>
      </c>
      <c r="B83">
        <v>171.25146484375</v>
      </c>
      <c r="C83">
        <v>480.8193359375</v>
      </c>
      <c r="D83">
        <v>149.5660705566406</v>
      </c>
      <c r="E83">
        <v>128.35992431640619</v>
      </c>
      <c r="F83">
        <v>69.646965026855469</v>
      </c>
      <c r="G83">
        <v>146.46812438964841</v>
      </c>
      <c r="H83">
        <v>4136.25</v>
      </c>
      <c r="I83" s="13">
        <f t="shared" si="19"/>
        <v>4.5859116762954233E-2</v>
      </c>
      <c r="J83" s="13">
        <f t="shared" si="20"/>
        <v>1.7627284041953684E-2</v>
      </c>
      <c r="K83" s="13">
        <f t="shared" si="21"/>
        <v>3.3867864845423786E-3</v>
      </c>
      <c r="L83" s="13">
        <f t="shared" si="22"/>
        <v>1.9346395133156207E-2</v>
      </c>
      <c r="M83" s="13">
        <f t="shared" si="23"/>
        <v>0</v>
      </c>
      <c r="N83" s="13">
        <f t="shared" si="24"/>
        <v>3.3382270688742922E-3</v>
      </c>
      <c r="O83" s="13">
        <f t="shared" si="25"/>
        <v>1.8306166381879797E-2</v>
      </c>
    </row>
    <row r="84" spans="1:15" x14ac:dyDescent="0.35">
      <c r="A84" s="2">
        <v>45054</v>
      </c>
      <c r="B84">
        <v>171.1824035644531</v>
      </c>
      <c r="C84">
        <v>480.8193359375</v>
      </c>
      <c r="D84">
        <v>149.22590637207031</v>
      </c>
      <c r="E84">
        <v>128.66969299316409</v>
      </c>
      <c r="F84">
        <v>70.154251098632813</v>
      </c>
      <c r="G84">
        <v>145.78285217285159</v>
      </c>
      <c r="H84">
        <v>4138.1201171875</v>
      </c>
      <c r="I84" s="13">
        <f t="shared" si="19"/>
        <v>-4.0335543066616602E-4</v>
      </c>
      <c r="J84" s="13">
        <f t="shared" si="20"/>
        <v>0</v>
      </c>
      <c r="K84" s="13">
        <f t="shared" si="21"/>
        <v>-2.2769308267878291E-3</v>
      </c>
      <c r="L84" s="13">
        <f t="shared" si="22"/>
        <v>2.410374570662887E-3</v>
      </c>
      <c r="M84" s="13">
        <f t="shared" si="23"/>
        <v>7.2572801913755227E-3</v>
      </c>
      <c r="N84" s="13">
        <f t="shared" si="24"/>
        <v>-4.6896231503790698E-3</v>
      </c>
      <c r="O84" s="13">
        <f t="shared" si="25"/>
        <v>4.5202648488206561E-4</v>
      </c>
    </row>
    <row r="85" spans="1:15" x14ac:dyDescent="0.35">
      <c r="A85" s="2">
        <v>45055</v>
      </c>
      <c r="B85">
        <v>169.4754943847656</v>
      </c>
      <c r="C85">
        <v>482.48614501953119</v>
      </c>
      <c r="D85">
        <v>148.06745910644531</v>
      </c>
      <c r="E85">
        <v>128.05012512207031</v>
      </c>
      <c r="F85">
        <v>69.711509704589844</v>
      </c>
      <c r="G85">
        <v>144.29029846191409</v>
      </c>
      <c r="H85">
        <v>4119.169921875</v>
      </c>
      <c r="I85" s="13">
        <f t="shared" si="19"/>
        <v>-1.0021335039887435E-2</v>
      </c>
      <c r="J85" s="13">
        <f t="shared" si="20"/>
        <v>3.4606067928161016E-3</v>
      </c>
      <c r="K85" s="13">
        <f t="shared" si="21"/>
        <v>-7.793333208403792E-3</v>
      </c>
      <c r="L85" s="13">
        <f t="shared" si="22"/>
        <v>-4.8268114128363097E-3</v>
      </c>
      <c r="M85" s="13">
        <f t="shared" si="23"/>
        <v>-6.3309686416260155E-3</v>
      </c>
      <c r="N85" s="13">
        <f t="shared" si="24"/>
        <v>-1.0290968881036602E-2</v>
      </c>
      <c r="O85" s="13">
        <f t="shared" si="25"/>
        <v>-4.5899389490595948E-3</v>
      </c>
    </row>
    <row r="86" spans="1:15" x14ac:dyDescent="0.35">
      <c r="A86" s="2">
        <v>45056</v>
      </c>
      <c r="B86">
        <v>171.24159240722659</v>
      </c>
      <c r="C86">
        <v>481.39739990234381</v>
      </c>
      <c r="D86">
        <v>148.61906433105469</v>
      </c>
      <c r="E86">
        <v>128.11582946777341</v>
      </c>
      <c r="F86">
        <v>70.919807434082031</v>
      </c>
      <c r="G86">
        <v>144.59071350097659</v>
      </c>
      <c r="H86">
        <v>4137.64013671875</v>
      </c>
      <c r="I86" s="13">
        <f t="shared" si="19"/>
        <v>1.0367040037547058E-2</v>
      </c>
      <c r="J86" s="13">
        <f t="shared" si="20"/>
        <v>-2.2590811638040181E-3</v>
      </c>
      <c r="K86" s="13">
        <f t="shared" si="21"/>
        <v>3.7184423060183259E-3</v>
      </c>
      <c r="L86" s="13">
        <f t="shared" si="22"/>
        <v>5.1298266585920462E-4</v>
      </c>
      <c r="M86" s="13">
        <f t="shared" si="23"/>
        <v>1.7184329753057469E-2</v>
      </c>
      <c r="N86" s="13">
        <f t="shared" si="24"/>
        <v>2.0798538838925377E-3</v>
      </c>
      <c r="O86" s="13">
        <f t="shared" si="25"/>
        <v>4.4739422419144319E-3</v>
      </c>
    </row>
    <row r="87" spans="1:15" x14ac:dyDescent="0.35">
      <c r="A87" s="2">
        <v>45057</v>
      </c>
      <c r="B87">
        <v>171.42909240722659</v>
      </c>
      <c r="C87">
        <v>483.54595947265619</v>
      </c>
      <c r="D87">
        <v>148.0122985839844</v>
      </c>
      <c r="E87">
        <v>127.7122039794922</v>
      </c>
      <c r="F87">
        <v>70.191139221191406</v>
      </c>
      <c r="G87">
        <v>144.9286193847656</v>
      </c>
      <c r="H87">
        <v>4130.6201171875</v>
      </c>
      <c r="I87" s="13">
        <f t="shared" si="19"/>
        <v>1.0943452534546419E-3</v>
      </c>
      <c r="J87" s="13">
        <f t="shared" si="20"/>
        <v>4.4532419445671E-3</v>
      </c>
      <c r="K87" s="13">
        <f t="shared" si="21"/>
        <v>-4.0910481439140976E-3</v>
      </c>
      <c r="L87" s="13">
        <f t="shared" si="22"/>
        <v>-3.1554463969038224E-3</v>
      </c>
      <c r="M87" s="13">
        <f t="shared" si="23"/>
        <v>-1.0327684802092228E-2</v>
      </c>
      <c r="N87" s="13">
        <f t="shared" si="24"/>
        <v>2.3342554284808302E-3</v>
      </c>
      <c r="O87" s="13">
        <f t="shared" si="25"/>
        <v>-1.6980648897067581E-3</v>
      </c>
    </row>
    <row r="88" spans="1:15" x14ac:dyDescent="0.35">
      <c r="A88" s="2">
        <v>45058</v>
      </c>
      <c r="B88">
        <v>170.50035095214841</v>
      </c>
      <c r="C88">
        <v>485.646240234375</v>
      </c>
      <c r="D88">
        <v>147.81919860839841</v>
      </c>
      <c r="E88">
        <v>125.88169860839839</v>
      </c>
      <c r="F88">
        <v>71.906715393066406</v>
      </c>
      <c r="G88">
        <v>146.40245056152341</v>
      </c>
      <c r="H88">
        <v>4124.080078125</v>
      </c>
      <c r="I88" s="13">
        <f t="shared" si="19"/>
        <v>-5.4323706664906784E-3</v>
      </c>
      <c r="J88" s="13">
        <f t="shared" si="20"/>
        <v>4.3340919377061991E-3</v>
      </c>
      <c r="K88" s="13">
        <f t="shared" si="21"/>
        <v>-1.3054729117284592E-3</v>
      </c>
      <c r="L88" s="13">
        <f t="shared" si="22"/>
        <v>-1.4436760072988795E-2</v>
      </c>
      <c r="M88" s="13">
        <f t="shared" si="23"/>
        <v>2.4147578289895204E-2</v>
      </c>
      <c r="N88" s="13">
        <f t="shared" si="24"/>
        <v>1.0117999089461399E-2</v>
      </c>
      <c r="O88" s="13">
        <f t="shared" si="25"/>
        <v>-1.5845615894390477E-3</v>
      </c>
    </row>
    <row r="89" spans="1:15" x14ac:dyDescent="0.35">
      <c r="A89" s="2">
        <v>45061</v>
      </c>
      <c r="B89">
        <v>170.00634765625</v>
      </c>
      <c r="C89">
        <v>483.69039916992188</v>
      </c>
      <c r="D89">
        <v>146.68836975097659</v>
      </c>
      <c r="E89">
        <v>126.9424514770508</v>
      </c>
      <c r="F89">
        <v>71.519317626953125</v>
      </c>
      <c r="G89">
        <v>146.4493408203125</v>
      </c>
      <c r="H89">
        <v>4136.27978515625</v>
      </c>
      <c r="I89" s="13">
        <f t="shared" si="19"/>
        <v>-2.9015795842403315E-3</v>
      </c>
      <c r="J89" s="13">
        <f t="shared" si="20"/>
        <v>-4.0354271965626458E-3</v>
      </c>
      <c r="K89" s="13">
        <f t="shared" si="21"/>
        <v>-7.6794930685971773E-3</v>
      </c>
      <c r="L89" s="13">
        <f t="shared" si="22"/>
        <v>8.3912798090705794E-3</v>
      </c>
      <c r="M89" s="13">
        <f t="shared" si="23"/>
        <v>-5.402069625073635E-3</v>
      </c>
      <c r="N89" s="13">
        <f t="shared" si="24"/>
        <v>3.2023201202594013E-4</v>
      </c>
      <c r="O89" s="13">
        <f t="shared" si="25"/>
        <v>2.9537976803169349E-3</v>
      </c>
    </row>
    <row r="90" spans="1:15" x14ac:dyDescent="0.35">
      <c r="A90" s="2">
        <v>45062</v>
      </c>
      <c r="B90">
        <v>170.00634765625</v>
      </c>
      <c r="C90">
        <v>478.01571655273438</v>
      </c>
      <c r="D90">
        <v>146.49530029296881</v>
      </c>
      <c r="E90">
        <v>126.08823394775391</v>
      </c>
      <c r="F90">
        <v>69.951332092285156</v>
      </c>
      <c r="G90">
        <v>146.1958923339844</v>
      </c>
      <c r="H90">
        <v>4109.89990234375</v>
      </c>
      <c r="I90" s="13">
        <f t="shared" si="19"/>
        <v>0</v>
      </c>
      <c r="J90" s="13">
        <f t="shared" si="20"/>
        <v>-1.180141913487404E-2</v>
      </c>
      <c r="K90" s="13">
        <f t="shared" si="21"/>
        <v>-1.3170548406571988E-3</v>
      </c>
      <c r="L90" s="13">
        <f t="shared" si="22"/>
        <v>-6.7519144807085072E-3</v>
      </c>
      <c r="M90" s="13">
        <f t="shared" si="23"/>
        <v>-2.2167845387132096E-2</v>
      </c>
      <c r="N90" s="13">
        <f t="shared" si="24"/>
        <v>-1.7321214971696695E-3</v>
      </c>
      <c r="O90" s="13">
        <f t="shared" si="25"/>
        <v>-6.3981076819174627E-3</v>
      </c>
    </row>
    <row r="91" spans="1:15" x14ac:dyDescent="0.35">
      <c r="A91" s="2">
        <v>45063</v>
      </c>
      <c r="B91">
        <v>170.61888122558591</v>
      </c>
      <c r="C91">
        <v>476.90774536132813</v>
      </c>
      <c r="D91">
        <v>146.17353820800781</v>
      </c>
      <c r="E91">
        <v>129.965087890625</v>
      </c>
      <c r="F91">
        <v>69.490142822265625</v>
      </c>
      <c r="G91">
        <v>145.57633972167969</v>
      </c>
      <c r="H91">
        <v>4158.77001953125</v>
      </c>
      <c r="I91" s="13">
        <f t="shared" si="19"/>
        <v>3.5965288396733477E-3</v>
      </c>
      <c r="J91" s="13">
        <f t="shared" si="20"/>
        <v>-2.3205455364582483E-3</v>
      </c>
      <c r="K91" s="13">
        <f t="shared" si="21"/>
        <v>-2.1988143066173044E-3</v>
      </c>
      <c r="L91" s="13">
        <f t="shared" si="22"/>
        <v>3.0283928396948052E-2</v>
      </c>
      <c r="M91" s="13">
        <f t="shared" si="23"/>
        <v>-6.6148318059705653E-3</v>
      </c>
      <c r="N91" s="13">
        <f t="shared" si="24"/>
        <v>-4.2468300640164311E-3</v>
      </c>
      <c r="O91" s="13">
        <f t="shared" si="25"/>
        <v>1.1820688622071574E-2</v>
      </c>
    </row>
    <row r="92" spans="1:15" x14ac:dyDescent="0.35">
      <c r="A92" s="2">
        <v>45064</v>
      </c>
      <c r="B92">
        <v>172.95060729980469</v>
      </c>
      <c r="C92">
        <v>479.89447021484381</v>
      </c>
      <c r="D92">
        <v>145.7046203613281</v>
      </c>
      <c r="E92">
        <v>130.95075988769531</v>
      </c>
      <c r="F92">
        <v>69.268791198730469</v>
      </c>
      <c r="G92">
        <v>143.18260192871091</v>
      </c>
      <c r="H92">
        <v>4198.0498046875</v>
      </c>
      <c r="I92" s="13">
        <f t="shared" si="19"/>
        <v>1.3573742448110887E-2</v>
      </c>
      <c r="J92" s="13">
        <f t="shared" si="20"/>
        <v>6.2431597795852061E-3</v>
      </c>
      <c r="K92" s="13">
        <f t="shared" si="21"/>
        <v>-3.2131095550732422E-3</v>
      </c>
      <c r="L92" s="13">
        <f t="shared" si="22"/>
        <v>7.5555141203405302E-3</v>
      </c>
      <c r="M92" s="13">
        <f t="shared" si="23"/>
        <v>-3.1904513083499137E-3</v>
      </c>
      <c r="N92" s="13">
        <f t="shared" si="24"/>
        <v>-1.6579868411974768E-2</v>
      </c>
      <c r="O92" s="13">
        <f t="shared" si="25"/>
        <v>9.4007230637271552E-3</v>
      </c>
    </row>
    <row r="93" spans="1:15" x14ac:dyDescent="0.35">
      <c r="A93" s="2">
        <v>45065</v>
      </c>
      <c r="B93">
        <v>173.05926513671881</v>
      </c>
      <c r="C93">
        <v>478.3721923828125</v>
      </c>
      <c r="D93">
        <v>146.09992980957031</v>
      </c>
      <c r="E93">
        <v>130.65032958984381</v>
      </c>
      <c r="F93">
        <v>68.696937561035156</v>
      </c>
      <c r="G93">
        <v>143.78338623046881</v>
      </c>
      <c r="H93">
        <v>4191.97998046875</v>
      </c>
      <c r="I93" s="13">
        <f t="shared" si="19"/>
        <v>6.2806208227959989E-4</v>
      </c>
      <c r="J93" s="13">
        <f t="shared" si="20"/>
        <v>-3.177151354573401E-3</v>
      </c>
      <c r="K93" s="13">
        <f t="shared" si="21"/>
        <v>2.7094141598460277E-3</v>
      </c>
      <c r="L93" s="13">
        <f t="shared" si="22"/>
        <v>-2.2968591646902571E-3</v>
      </c>
      <c r="M93" s="13">
        <f t="shared" si="23"/>
        <v>-8.2898400597947036E-3</v>
      </c>
      <c r="N93" s="13">
        <f t="shared" si="24"/>
        <v>4.1871525149703784E-3</v>
      </c>
      <c r="O93" s="13">
        <f t="shared" si="25"/>
        <v>-1.4469138806754414E-3</v>
      </c>
    </row>
    <row r="94" spans="1:15" x14ac:dyDescent="0.35">
      <c r="A94" s="2">
        <v>45068</v>
      </c>
      <c r="B94">
        <v>172.11077880859381</v>
      </c>
      <c r="C94">
        <v>473.89215087890619</v>
      </c>
      <c r="D94">
        <v>145.31257629394531</v>
      </c>
      <c r="E94">
        <v>129.57084655761719</v>
      </c>
      <c r="F94">
        <v>68.789161682128906</v>
      </c>
      <c r="G94">
        <v>140.01914978027341</v>
      </c>
      <c r="H94">
        <v>4192.6298828125</v>
      </c>
      <c r="I94" s="13">
        <f t="shared" si="19"/>
        <v>-5.4957765429920549E-3</v>
      </c>
      <c r="J94" s="13">
        <f t="shared" si="20"/>
        <v>-9.4093086420068001E-3</v>
      </c>
      <c r="K94" s="13">
        <f t="shared" si="21"/>
        <v>-5.4037175140906621E-3</v>
      </c>
      <c r="L94" s="13">
        <f t="shared" si="22"/>
        <v>-8.29670544430435E-3</v>
      </c>
      <c r="M94" s="13">
        <f t="shared" si="23"/>
        <v>1.3415775912437107E-3</v>
      </c>
      <c r="N94" s="13">
        <f t="shared" si="24"/>
        <v>-2.6528707349158159E-2</v>
      </c>
      <c r="O94" s="13">
        <f t="shared" si="25"/>
        <v>1.5502267980239146E-4</v>
      </c>
    </row>
    <row r="95" spans="1:15" x14ac:dyDescent="0.35">
      <c r="A95" s="2">
        <v>45069</v>
      </c>
      <c r="B95">
        <v>169.50245666503909</v>
      </c>
      <c r="C95">
        <v>467.14797973632813</v>
      </c>
      <c r="D95">
        <v>145.25703430175781</v>
      </c>
      <c r="E95">
        <v>128.2190856933594</v>
      </c>
      <c r="F95">
        <v>68.401779174804688</v>
      </c>
      <c r="G95">
        <v>138.5078125</v>
      </c>
      <c r="H95">
        <v>4145.580078125</v>
      </c>
      <c r="I95" s="13">
        <f t="shared" si="19"/>
        <v>-1.5270912020131932E-2</v>
      </c>
      <c r="J95" s="13">
        <f t="shared" si="20"/>
        <v>-1.4333685442626374E-2</v>
      </c>
      <c r="K95" s="13">
        <f t="shared" si="21"/>
        <v>-3.8229732799717519E-4</v>
      </c>
      <c r="L95" s="13">
        <f t="shared" si="22"/>
        <v>-1.0487401443101575E-2</v>
      </c>
      <c r="M95" s="13">
        <f t="shared" si="23"/>
        <v>-5.6473632218061402E-3</v>
      </c>
      <c r="N95" s="13">
        <f t="shared" si="24"/>
        <v>-1.0852465421252877E-2</v>
      </c>
      <c r="O95" s="13">
        <f t="shared" si="25"/>
        <v>-1.1285468768284297E-2</v>
      </c>
    </row>
    <row r="96" spans="1:15" x14ac:dyDescent="0.35">
      <c r="A96" s="2">
        <v>45070</v>
      </c>
      <c r="B96">
        <v>169.7790832519531</v>
      </c>
      <c r="C96">
        <v>465.11514282226563</v>
      </c>
      <c r="D96">
        <v>145.11808776855469</v>
      </c>
      <c r="E96">
        <v>127.0457305908203</v>
      </c>
      <c r="F96">
        <v>68.475555419921875</v>
      </c>
      <c r="G96">
        <v>137.36256408691409</v>
      </c>
      <c r="H96">
        <v>4115.240234375</v>
      </c>
      <c r="I96" s="13">
        <f t="shared" si="19"/>
        <v>1.630661357401326E-3</v>
      </c>
      <c r="J96" s="13">
        <f t="shared" si="20"/>
        <v>-4.3610866648301919E-3</v>
      </c>
      <c r="K96" s="13">
        <f t="shared" si="21"/>
        <v>-9.5701410518421036E-4</v>
      </c>
      <c r="L96" s="13">
        <f t="shared" si="22"/>
        <v>-9.1933027326482949E-3</v>
      </c>
      <c r="M96" s="13">
        <f t="shared" si="23"/>
        <v>1.0779907788243178E-3</v>
      </c>
      <c r="N96" s="13">
        <f t="shared" si="24"/>
        <v>-8.3028486526285847E-3</v>
      </c>
      <c r="O96" s="13">
        <f t="shared" si="25"/>
        <v>-7.3455126783052108E-3</v>
      </c>
    </row>
    <row r="97" spans="1:15" x14ac:dyDescent="0.35">
      <c r="A97" s="2">
        <v>45071</v>
      </c>
      <c r="B97">
        <v>170.9153137207031</v>
      </c>
      <c r="C97">
        <v>468.76657104492188</v>
      </c>
      <c r="D97">
        <v>143.03385925292969</v>
      </c>
      <c r="E97">
        <v>127.3554763793945</v>
      </c>
      <c r="F97">
        <v>67.691551208496094</v>
      </c>
      <c r="G97">
        <v>136.48016357421881</v>
      </c>
      <c r="H97">
        <v>4151.27978515625</v>
      </c>
      <c r="I97" s="13">
        <f t="shared" si="19"/>
        <v>6.6701107588117772E-3</v>
      </c>
      <c r="J97" s="13">
        <f t="shared" si="20"/>
        <v>7.8199343148159517E-3</v>
      </c>
      <c r="K97" s="13">
        <f t="shared" si="21"/>
        <v>-1.4466429157020497E-2</v>
      </c>
      <c r="L97" s="13">
        <f t="shared" si="22"/>
        <v>2.4350980509996226E-3</v>
      </c>
      <c r="M97" s="13">
        <f t="shared" si="23"/>
        <v>-1.1515451777358316E-2</v>
      </c>
      <c r="N97" s="13">
        <f t="shared" si="24"/>
        <v>-6.4446010619511641E-3</v>
      </c>
      <c r="O97" s="13">
        <f t="shared" si="25"/>
        <v>8.7194560790118825E-3</v>
      </c>
    </row>
    <row r="98" spans="1:15" x14ac:dyDescent="0.35">
      <c r="A98" s="2">
        <v>45072</v>
      </c>
      <c r="B98">
        <v>173.32603454589841</v>
      </c>
      <c r="C98">
        <v>488.71969604492188</v>
      </c>
      <c r="D98">
        <v>142.97825622558591</v>
      </c>
      <c r="E98">
        <v>128.54768371582031</v>
      </c>
      <c r="F98">
        <v>68.61798095703125</v>
      </c>
      <c r="G98">
        <v>136.48954772949219</v>
      </c>
      <c r="H98">
        <v>4205.4501953125</v>
      </c>
      <c r="I98" s="13">
        <f t="shared" si="19"/>
        <v>1.400622120099505E-2</v>
      </c>
      <c r="J98" s="13">
        <f t="shared" si="20"/>
        <v>4.1684178177900745E-2</v>
      </c>
      <c r="K98" s="13">
        <f t="shared" si="21"/>
        <v>-3.8881589299979589E-4</v>
      </c>
      <c r="L98" s="13">
        <f t="shared" si="22"/>
        <v>9.3177119154411129E-3</v>
      </c>
      <c r="M98" s="13">
        <f t="shared" si="23"/>
        <v>1.3593238843229995E-2</v>
      </c>
      <c r="N98" s="13">
        <f t="shared" si="24"/>
        <v>6.875601862385756E-5</v>
      </c>
      <c r="O98" s="13">
        <f t="shared" si="25"/>
        <v>1.2964680931640788E-2</v>
      </c>
    </row>
    <row r="99" spans="1:15" x14ac:dyDescent="0.35">
      <c r="A99" s="2">
        <v>45076</v>
      </c>
      <c r="B99">
        <v>175.17362976074219</v>
      </c>
      <c r="C99">
        <v>489.46151733398438</v>
      </c>
      <c r="D99">
        <v>142.99676513671881</v>
      </c>
      <c r="E99">
        <v>129.0357666015625</v>
      </c>
      <c r="F99">
        <v>67.476203918457031</v>
      </c>
      <c r="G99">
        <v>134.4056396484375</v>
      </c>
      <c r="H99">
        <v>4205.52001953125</v>
      </c>
      <c r="I99" s="13">
        <f t="shared" si="19"/>
        <v>1.0603238477772579E-2</v>
      </c>
      <c r="J99" s="13">
        <f t="shared" si="20"/>
        <v>1.5167362061936703E-3</v>
      </c>
      <c r="K99" s="13">
        <f t="shared" si="21"/>
        <v>1.2944425055418739E-4</v>
      </c>
      <c r="L99" s="13">
        <f t="shared" si="22"/>
        <v>3.7897114064661627E-3</v>
      </c>
      <c r="M99" s="13">
        <f t="shared" si="23"/>
        <v>-1.677961228026879E-2</v>
      </c>
      <c r="N99" s="13">
        <f t="shared" si="24"/>
        <v>-1.5385649404202738E-2</v>
      </c>
      <c r="O99" s="13">
        <f t="shared" si="25"/>
        <v>1.660313066576836E-5</v>
      </c>
    </row>
    <row r="100" spans="1:15" x14ac:dyDescent="0.35">
      <c r="A100" s="2">
        <v>45077</v>
      </c>
      <c r="B100">
        <v>175.12422180175781</v>
      </c>
      <c r="C100">
        <v>492.86245727539063</v>
      </c>
      <c r="D100">
        <v>143.63594055175781</v>
      </c>
      <c r="E100">
        <v>127.3930587768555</v>
      </c>
      <c r="F100">
        <v>68.190956115722656</v>
      </c>
      <c r="G100">
        <v>133.76728820800781</v>
      </c>
      <c r="H100">
        <v>4179.830078125</v>
      </c>
      <c r="I100" s="13">
        <f t="shared" si="19"/>
        <v>-2.820911352531966E-4</v>
      </c>
      <c r="J100" s="13">
        <f t="shared" si="20"/>
        <v>6.9243011831982698E-3</v>
      </c>
      <c r="K100" s="13">
        <f t="shared" si="21"/>
        <v>4.459899110074857E-3</v>
      </c>
      <c r="L100" s="13">
        <f t="shared" si="22"/>
        <v>-1.2812368453696973E-2</v>
      </c>
      <c r="M100" s="13">
        <f t="shared" si="23"/>
        <v>1.0536946600103512E-2</v>
      </c>
      <c r="N100" s="13">
        <f t="shared" si="24"/>
        <v>-4.760753825571562E-3</v>
      </c>
      <c r="O100" s="13">
        <f t="shared" si="25"/>
        <v>-6.1273581862140991E-3</v>
      </c>
    </row>
    <row r="101" spans="1:15" x14ac:dyDescent="0.35">
      <c r="A101" s="2">
        <v>45078</v>
      </c>
      <c r="B101">
        <v>177.93016052246091</v>
      </c>
      <c r="C101">
        <v>493.86444091796881</v>
      </c>
      <c r="D101">
        <v>143.15423583984381</v>
      </c>
      <c r="E101">
        <v>129.1484375</v>
      </c>
      <c r="F101">
        <v>67.726829528808594</v>
      </c>
      <c r="G101">
        <v>135.13783264160159</v>
      </c>
      <c r="H101">
        <v>4221.02001953125</v>
      </c>
      <c r="I101" s="13">
        <f t="shared" si="19"/>
        <v>1.5895555710448747E-2</v>
      </c>
      <c r="J101" s="13">
        <f t="shared" si="20"/>
        <v>2.0309246435174246E-3</v>
      </c>
      <c r="K101" s="13">
        <f t="shared" si="21"/>
        <v>-3.3592863672672105E-3</v>
      </c>
      <c r="L101" s="13">
        <f t="shared" si="22"/>
        <v>1.3685163177774072E-2</v>
      </c>
      <c r="M101" s="13">
        <f t="shared" si="23"/>
        <v>-6.8295460924630369E-3</v>
      </c>
      <c r="N101" s="13">
        <f t="shared" si="24"/>
        <v>1.0193605067602567E-2</v>
      </c>
      <c r="O101" s="13">
        <f t="shared" si="25"/>
        <v>9.806215085853812E-3</v>
      </c>
    </row>
    <row r="102" spans="1:15" x14ac:dyDescent="0.35">
      <c r="A102" s="2">
        <v>45079</v>
      </c>
      <c r="B102">
        <v>178.77983093261719</v>
      </c>
      <c r="C102">
        <v>493.8548583984375</v>
      </c>
      <c r="D102">
        <v>145.40521240234381</v>
      </c>
      <c r="E102">
        <v>131.861328125</v>
      </c>
      <c r="F102">
        <v>68.553001403808594</v>
      </c>
      <c r="G102">
        <v>137.54093933105469</v>
      </c>
      <c r="H102">
        <v>4282.3701171875</v>
      </c>
      <c r="I102" s="13">
        <f t="shared" si="19"/>
        <v>4.7639373017607494E-3</v>
      </c>
      <c r="J102" s="13">
        <f t="shared" si="20"/>
        <v>-1.9403325495874222E-5</v>
      </c>
      <c r="K102" s="13">
        <f t="shared" si="21"/>
        <v>1.560179184094908E-2</v>
      </c>
      <c r="L102" s="13">
        <f t="shared" si="22"/>
        <v>2.0788404736738424E-2</v>
      </c>
      <c r="M102" s="13">
        <f t="shared" si="23"/>
        <v>1.2124787514744729E-2</v>
      </c>
      <c r="N102" s="13">
        <f t="shared" si="24"/>
        <v>1.7626373259545799E-2</v>
      </c>
      <c r="O102" s="13">
        <f t="shared" si="25"/>
        <v>1.4429812390107408E-2</v>
      </c>
    </row>
    <row r="103" spans="1:15" x14ac:dyDescent="0.35">
      <c r="A103" s="2">
        <v>45082</v>
      </c>
      <c r="B103">
        <v>177.42626953125</v>
      </c>
      <c r="C103">
        <v>499.30792236328119</v>
      </c>
      <c r="D103">
        <v>146.65576171875</v>
      </c>
      <c r="E103">
        <v>130.56585693359381</v>
      </c>
      <c r="F103">
        <v>68.3116455078125</v>
      </c>
      <c r="G103">
        <v>136.99647521972659</v>
      </c>
      <c r="H103">
        <v>4273.7900390625</v>
      </c>
      <c r="I103" s="13">
        <f t="shared" si="19"/>
        <v>-7.5999142889102691E-3</v>
      </c>
      <c r="J103" s="13">
        <f t="shared" si="20"/>
        <v>1.0981319213380688E-2</v>
      </c>
      <c r="K103" s="13">
        <f t="shared" si="21"/>
        <v>8.5636703960935388E-3</v>
      </c>
      <c r="L103" s="13">
        <f t="shared" si="22"/>
        <v>-9.8730755686561606E-3</v>
      </c>
      <c r="M103" s="13">
        <f t="shared" si="23"/>
        <v>-3.5269319233680488E-3</v>
      </c>
      <c r="N103" s="13">
        <f t="shared" si="24"/>
        <v>-3.9664162061991415E-3</v>
      </c>
      <c r="O103" s="13">
        <f t="shared" si="25"/>
        <v>-2.005591490657713E-3</v>
      </c>
    </row>
    <row r="104" spans="1:15" x14ac:dyDescent="0.35">
      <c r="A104" s="2">
        <v>45083</v>
      </c>
      <c r="B104">
        <v>177.06071472167969</v>
      </c>
      <c r="C104">
        <v>497.39071655273438</v>
      </c>
      <c r="D104">
        <v>146.52607727050781</v>
      </c>
      <c r="E104">
        <v>130.80055236816409</v>
      </c>
      <c r="F104">
        <v>68.116706848144531</v>
      </c>
      <c r="G104">
        <v>135.63531494140619</v>
      </c>
      <c r="H104">
        <v>4283.85009765625</v>
      </c>
      <c r="I104" s="13">
        <f t="shared" si="19"/>
        <v>-2.0624449155452144E-3</v>
      </c>
      <c r="J104" s="13">
        <f t="shared" si="20"/>
        <v>-3.847117072889053E-3</v>
      </c>
      <c r="K104" s="13">
        <f t="shared" si="21"/>
        <v>-8.8466909919991178E-4</v>
      </c>
      <c r="L104" s="13">
        <f t="shared" si="22"/>
        <v>1.7959117109005677E-3</v>
      </c>
      <c r="M104" s="13">
        <f t="shared" si="23"/>
        <v>-2.8577460471949879E-3</v>
      </c>
      <c r="N104" s="13">
        <f t="shared" si="24"/>
        <v>-9.9854209037720312E-3</v>
      </c>
      <c r="O104" s="13">
        <f t="shared" si="25"/>
        <v>2.3511302338505759E-3</v>
      </c>
    </row>
    <row r="105" spans="1:15" x14ac:dyDescent="0.35">
      <c r="A105" s="2">
        <v>45084</v>
      </c>
      <c r="B105">
        <v>175.6874084472656</v>
      </c>
      <c r="C105">
        <v>492.54458618164063</v>
      </c>
      <c r="D105">
        <v>146.8410339355469</v>
      </c>
      <c r="E105">
        <v>132.06781005859381</v>
      </c>
      <c r="F105">
        <v>68.850044250488281</v>
      </c>
      <c r="G105">
        <v>135.92634582519531</v>
      </c>
      <c r="H105">
        <v>4267.52001953125</v>
      </c>
      <c r="I105" s="13">
        <f t="shared" si="19"/>
        <v>-7.7863672266506069E-3</v>
      </c>
      <c r="J105" s="13">
        <f t="shared" si="20"/>
        <v>-9.7908804155010572E-3</v>
      </c>
      <c r="K105" s="13">
        <f t="shared" si="21"/>
        <v>2.1471853797840096E-3</v>
      </c>
      <c r="L105" s="13">
        <f t="shared" si="22"/>
        <v>9.6418412339701488E-3</v>
      </c>
      <c r="M105" s="13">
        <f t="shared" si="23"/>
        <v>1.0708356649055183E-2</v>
      </c>
      <c r="N105" s="13">
        <f t="shared" si="24"/>
        <v>2.143387946491407E-3</v>
      </c>
      <c r="O105" s="13">
        <f t="shared" si="25"/>
        <v>-3.8192939264206169E-3</v>
      </c>
    </row>
    <row r="106" spans="1:15" x14ac:dyDescent="0.35">
      <c r="A106" s="2">
        <v>45085</v>
      </c>
      <c r="B106">
        <v>178.4043884277344</v>
      </c>
      <c r="C106">
        <v>501.08071899414063</v>
      </c>
      <c r="D106">
        <v>148.45281982421881</v>
      </c>
      <c r="E106">
        <v>132.1053771972656</v>
      </c>
      <c r="F106">
        <v>69.527679443359375</v>
      </c>
      <c r="G106">
        <v>137.4658203125</v>
      </c>
      <c r="H106">
        <v>4293.93017578125</v>
      </c>
      <c r="I106" s="13">
        <f t="shared" si="19"/>
        <v>1.5346491098178336E-2</v>
      </c>
      <c r="J106" s="13">
        <f t="shared" si="20"/>
        <v>1.7182217031309194E-2</v>
      </c>
      <c r="K106" s="13">
        <f t="shared" si="21"/>
        <v>1.0916596297375557E-2</v>
      </c>
      <c r="L106" s="13">
        <f t="shared" si="22"/>
        <v>2.8441295890208382E-4</v>
      </c>
      <c r="M106" s="13">
        <f t="shared" si="23"/>
        <v>9.7940707731468402E-3</v>
      </c>
      <c r="N106" s="13">
        <f t="shared" si="24"/>
        <v>1.126214244345366E-2</v>
      </c>
      <c r="O106" s="13">
        <f t="shared" si="25"/>
        <v>6.16957160752325E-3</v>
      </c>
    </row>
    <row r="107" spans="1:15" x14ac:dyDescent="0.35">
      <c r="A107" s="2">
        <v>45086</v>
      </c>
      <c r="B107">
        <v>178.78971862792969</v>
      </c>
      <c r="C107">
        <v>498.37344360351563</v>
      </c>
      <c r="D107">
        <v>148.2212219238281</v>
      </c>
      <c r="E107">
        <v>132.36820983886719</v>
      </c>
      <c r="F107">
        <v>68.757225036621094</v>
      </c>
      <c r="G107">
        <v>137.57844543457031</v>
      </c>
      <c r="H107">
        <v>4298.85986328125</v>
      </c>
      <c r="I107" s="13">
        <f t="shared" si="19"/>
        <v>2.1575403516418843E-3</v>
      </c>
      <c r="J107" s="13">
        <f t="shared" si="20"/>
        <v>-5.4175211097721729E-3</v>
      </c>
      <c r="K107" s="13">
        <f t="shared" si="21"/>
        <v>-1.5612956635653692E-3</v>
      </c>
      <c r="L107" s="13">
        <f t="shared" si="22"/>
        <v>1.9875915101708256E-3</v>
      </c>
      <c r="M107" s="13">
        <f t="shared" si="23"/>
        <v>-1.1143116189497841E-2</v>
      </c>
      <c r="N107" s="13">
        <f t="shared" si="24"/>
        <v>8.1896001764777276E-4</v>
      </c>
      <c r="O107" s="13">
        <f t="shared" si="25"/>
        <v>1.1474010230505239E-3</v>
      </c>
    </row>
    <row r="108" spans="1:15" x14ac:dyDescent="0.35">
      <c r="A108" s="2">
        <v>45089</v>
      </c>
      <c r="B108">
        <v>181.58576965332031</v>
      </c>
      <c r="C108">
        <v>501.92855834960938</v>
      </c>
      <c r="D108">
        <v>148.1193542480469</v>
      </c>
      <c r="E108">
        <v>132.35882568359381</v>
      </c>
      <c r="F108">
        <v>68.673683166503906</v>
      </c>
      <c r="G108">
        <v>136.49894714355469</v>
      </c>
      <c r="H108">
        <v>4338.93017578125</v>
      </c>
      <c r="I108" s="13">
        <f t="shared" si="19"/>
        <v>1.5517743151772366E-2</v>
      </c>
      <c r="J108" s="13">
        <f t="shared" si="20"/>
        <v>7.1081127654112064E-3</v>
      </c>
      <c r="K108" s="13">
        <f t="shared" si="21"/>
        <v>-6.8750409484608489E-4</v>
      </c>
      <c r="L108" s="13">
        <f t="shared" si="22"/>
        <v>-7.0896841033162377E-5</v>
      </c>
      <c r="M108" s="13">
        <f t="shared" si="23"/>
        <v>-1.2157655290159204E-3</v>
      </c>
      <c r="N108" s="13">
        <f t="shared" si="24"/>
        <v>-7.8773653165673391E-3</v>
      </c>
      <c r="O108" s="13">
        <f t="shared" si="25"/>
        <v>9.2779749817541602E-3</v>
      </c>
    </row>
    <row r="109" spans="1:15" x14ac:dyDescent="0.35">
      <c r="A109" s="2">
        <v>45090</v>
      </c>
      <c r="B109">
        <v>181.1115417480469</v>
      </c>
      <c r="C109">
        <v>502.94015502929688</v>
      </c>
      <c r="D109">
        <v>148.89747619628909</v>
      </c>
      <c r="E109">
        <v>133.3163146972656</v>
      </c>
      <c r="F109">
        <v>69.017127990722656</v>
      </c>
      <c r="G109">
        <v>136.17039489746091</v>
      </c>
      <c r="H109">
        <v>4369.009765625</v>
      </c>
      <c r="I109" s="13">
        <f t="shared" si="19"/>
        <v>-2.6150079452339492E-3</v>
      </c>
      <c r="J109" s="13">
        <f t="shared" si="20"/>
        <v>2.0133914171047156E-3</v>
      </c>
      <c r="K109" s="13">
        <f t="shared" si="21"/>
        <v>5.2395935088785563E-3</v>
      </c>
      <c r="L109" s="13">
        <f t="shared" si="22"/>
        <v>7.2079996483278572E-3</v>
      </c>
      <c r="M109" s="13">
        <f t="shared" si="23"/>
        <v>4.9886486047525797E-3</v>
      </c>
      <c r="N109" s="13">
        <f t="shared" si="24"/>
        <v>-2.4098961961969345E-3</v>
      </c>
      <c r="O109" s="13">
        <f t="shared" si="25"/>
        <v>6.9085707259088974E-3</v>
      </c>
    </row>
    <row r="110" spans="1:15" x14ac:dyDescent="0.35">
      <c r="A110" s="2">
        <v>45091</v>
      </c>
      <c r="B110">
        <v>181.74383544921881</v>
      </c>
      <c r="C110">
        <v>507.930908203125</v>
      </c>
      <c r="D110">
        <v>149.65704345703119</v>
      </c>
      <c r="E110">
        <v>132.81880187988281</v>
      </c>
      <c r="F110">
        <v>68.135269165039063</v>
      </c>
      <c r="G110">
        <v>137.4470520019531</v>
      </c>
      <c r="H110">
        <v>4372.58984375</v>
      </c>
      <c r="I110" s="13">
        <f t="shared" si="19"/>
        <v>3.485103878242587E-3</v>
      </c>
      <c r="J110" s="13">
        <f t="shared" si="20"/>
        <v>9.8742439178367246E-3</v>
      </c>
      <c r="K110" s="13">
        <f t="shared" si="21"/>
        <v>5.0883095017039207E-3</v>
      </c>
      <c r="L110" s="13">
        <f t="shared" si="22"/>
        <v>-3.7388030811395826E-3</v>
      </c>
      <c r="M110" s="13">
        <f t="shared" si="23"/>
        <v>-1.2859723881919045E-2</v>
      </c>
      <c r="N110" s="13">
        <f t="shared" si="24"/>
        <v>9.3317614312188081E-3</v>
      </c>
      <c r="O110" s="13">
        <f t="shared" si="25"/>
        <v>8.1908998012658412E-4</v>
      </c>
    </row>
    <row r="111" spans="1:15" x14ac:dyDescent="0.35">
      <c r="A111" s="2">
        <v>45092</v>
      </c>
      <c r="B111">
        <v>183.7791442871094</v>
      </c>
      <c r="C111">
        <v>509.83840942382813</v>
      </c>
      <c r="D111">
        <v>151.6671447753906</v>
      </c>
      <c r="E111">
        <v>134.32075500488281</v>
      </c>
      <c r="F111">
        <v>69.026420593261719</v>
      </c>
      <c r="G111">
        <v>139.35264587402341</v>
      </c>
      <c r="H111">
        <v>4425.83984375</v>
      </c>
      <c r="I111" s="13">
        <f t="shared" si="19"/>
        <v>1.1136535791233786E-2</v>
      </c>
      <c r="J111" s="13">
        <f t="shared" si="20"/>
        <v>3.7484003911545135E-3</v>
      </c>
      <c r="K111" s="13">
        <f t="shared" si="21"/>
        <v>1.3341983250611334E-2</v>
      </c>
      <c r="L111" s="13">
        <f t="shared" si="22"/>
        <v>1.1244826253564995E-2</v>
      </c>
      <c r="M111" s="13">
        <f t="shared" si="23"/>
        <v>1.2994356795205044E-2</v>
      </c>
      <c r="N111" s="13">
        <f t="shared" si="24"/>
        <v>1.3768974406725077E-2</v>
      </c>
      <c r="O111" s="13">
        <f t="shared" si="25"/>
        <v>1.2104580493589997E-2</v>
      </c>
    </row>
    <row r="112" spans="1:15" x14ac:dyDescent="0.35">
      <c r="A112" s="2">
        <v>45093</v>
      </c>
      <c r="B112">
        <v>182.70222473144531</v>
      </c>
      <c r="C112">
        <v>504.51065063476563</v>
      </c>
      <c r="D112">
        <v>152.13035583496091</v>
      </c>
      <c r="E112">
        <v>134.48033142089841</v>
      </c>
      <c r="F112">
        <v>70.168174743652344</v>
      </c>
      <c r="G112">
        <v>140.3758544921875</v>
      </c>
      <c r="H112">
        <v>4409.58984375</v>
      </c>
      <c r="I112" s="13">
        <f t="shared" si="19"/>
        <v>-5.8770936066974665E-3</v>
      </c>
      <c r="J112" s="13">
        <f t="shared" si="20"/>
        <v>-1.0504880406675703E-2</v>
      </c>
      <c r="K112" s="13">
        <f t="shared" si="21"/>
        <v>3.0494748482200965E-3</v>
      </c>
      <c r="L112" s="13">
        <f t="shared" si="22"/>
        <v>1.1873198645443704E-3</v>
      </c>
      <c r="M112" s="13">
        <f t="shared" si="23"/>
        <v>1.640551855125771E-2</v>
      </c>
      <c r="N112" s="13">
        <f t="shared" si="24"/>
        <v>7.3157592476943362E-3</v>
      </c>
      <c r="O112" s="13">
        <f t="shared" si="25"/>
        <v>-3.6783764677510893E-3</v>
      </c>
    </row>
    <row r="113" spans="1:15" x14ac:dyDescent="0.35">
      <c r="A113" s="2">
        <v>45097</v>
      </c>
      <c r="B113">
        <v>182.7911376953125</v>
      </c>
      <c r="C113">
        <v>500.70498657226563</v>
      </c>
      <c r="D113">
        <v>152.03770446777341</v>
      </c>
      <c r="E113">
        <v>133.79505920410159</v>
      </c>
      <c r="F113">
        <v>69.397735595703125</v>
      </c>
      <c r="G113">
        <v>139.0804138183594</v>
      </c>
      <c r="H113">
        <v>4388.7099609375</v>
      </c>
      <c r="I113" s="13">
        <f t="shared" si="19"/>
        <v>4.8653669128634867E-4</v>
      </c>
      <c r="J113" s="13">
        <f t="shared" si="20"/>
        <v>-7.5718723509866385E-3</v>
      </c>
      <c r="K113" s="13">
        <f t="shared" si="21"/>
        <v>-6.0921169672337584E-4</v>
      </c>
      <c r="L113" s="13">
        <f t="shared" si="22"/>
        <v>-5.1087332730635334E-3</v>
      </c>
      <c r="M113" s="13">
        <f t="shared" si="23"/>
        <v>-1.1040618330549128E-2</v>
      </c>
      <c r="N113" s="13">
        <f t="shared" si="24"/>
        <v>-9.2712177174026772E-3</v>
      </c>
      <c r="O113" s="13">
        <f t="shared" si="25"/>
        <v>-4.7463538352360479E-3</v>
      </c>
    </row>
    <row r="114" spans="1:15" x14ac:dyDescent="0.35">
      <c r="A114" s="2">
        <v>45098</v>
      </c>
      <c r="B114">
        <v>181.75376892089841</v>
      </c>
      <c r="C114">
        <v>500.62786865234381</v>
      </c>
      <c r="D114">
        <v>151.8061218261719</v>
      </c>
      <c r="E114">
        <v>133.59794616699219</v>
      </c>
      <c r="F114">
        <v>70.344558715820313</v>
      </c>
      <c r="G114">
        <v>140.28199768066409</v>
      </c>
      <c r="H114">
        <v>4365.68994140625</v>
      </c>
      <c r="I114" s="13">
        <f t="shared" si="19"/>
        <v>-5.6913239258992521E-3</v>
      </c>
      <c r="J114" s="13">
        <f t="shared" si="20"/>
        <v>-1.5403053973895529E-4</v>
      </c>
      <c r="K114" s="13">
        <f t="shared" si="21"/>
        <v>-1.524353410561766E-3</v>
      </c>
      <c r="L114" s="13">
        <f t="shared" si="22"/>
        <v>-1.4743323037975584E-3</v>
      </c>
      <c r="M114" s="13">
        <f t="shared" si="23"/>
        <v>1.3551195990964719E-2</v>
      </c>
      <c r="N114" s="13">
        <f t="shared" si="24"/>
        <v>8.6023833035740131E-3</v>
      </c>
      <c r="O114" s="13">
        <f t="shared" si="25"/>
        <v>-5.2590863669252008E-3</v>
      </c>
    </row>
    <row r="115" spans="1:15" x14ac:dyDescent="0.35">
      <c r="A115" s="2">
        <v>45099</v>
      </c>
      <c r="B115">
        <v>184.75727844238281</v>
      </c>
      <c r="C115">
        <v>505.04049682617188</v>
      </c>
      <c r="D115">
        <v>153.4179382324219</v>
      </c>
      <c r="E115">
        <v>131.02587890625</v>
      </c>
      <c r="F115">
        <v>69.741195678710938</v>
      </c>
      <c r="G115">
        <v>140.76072692871091</v>
      </c>
      <c r="H115">
        <v>4381.89013671875</v>
      </c>
      <c r="I115" s="13">
        <f t="shared" si="19"/>
        <v>1.6390102182288695E-2</v>
      </c>
      <c r="J115" s="13">
        <f t="shared" si="20"/>
        <v>8.7755698469516672E-3</v>
      </c>
      <c r="K115" s="13">
        <f t="shared" si="21"/>
        <v>1.0561627342333428E-2</v>
      </c>
      <c r="L115" s="13">
        <f t="shared" si="22"/>
        <v>-1.9440035389215855E-2</v>
      </c>
      <c r="M115" s="13">
        <f t="shared" si="23"/>
        <v>-8.6142487617379138E-3</v>
      </c>
      <c r="N115" s="13">
        <f t="shared" si="24"/>
        <v>3.4068109162938261E-3</v>
      </c>
      <c r="O115" s="13">
        <f t="shared" si="25"/>
        <v>3.7039303873345254E-3</v>
      </c>
    </row>
    <row r="116" spans="1:15" x14ac:dyDescent="0.35">
      <c r="A116" s="2">
        <v>45100</v>
      </c>
      <c r="B116">
        <v>184.44111633300781</v>
      </c>
      <c r="C116">
        <v>505.27175903320313</v>
      </c>
      <c r="D116">
        <v>153.28822326660159</v>
      </c>
      <c r="E116">
        <v>130.340576171875</v>
      </c>
      <c r="F116">
        <v>68.850044250488281</v>
      </c>
      <c r="G116">
        <v>139.36204528808591</v>
      </c>
      <c r="H116">
        <v>4348.330078125</v>
      </c>
      <c r="I116" s="13">
        <f t="shared" si="19"/>
        <v>-1.7126953482622491E-3</v>
      </c>
      <c r="J116" s="13">
        <f t="shared" si="20"/>
        <v>4.5780343597554251E-4</v>
      </c>
      <c r="K116" s="13">
        <f t="shared" si="21"/>
        <v>-8.4585828286150061E-4</v>
      </c>
      <c r="L116" s="13">
        <f t="shared" si="22"/>
        <v>-5.2440111691843747E-3</v>
      </c>
      <c r="M116" s="13">
        <f t="shared" si="23"/>
        <v>-1.2860318022607103E-2</v>
      </c>
      <c r="N116" s="13">
        <f t="shared" si="24"/>
        <v>-9.9862874644097727E-3</v>
      </c>
      <c r="O116" s="13">
        <f t="shared" si="25"/>
        <v>-7.6882880565021577E-3</v>
      </c>
    </row>
    <row r="117" spans="1:15" x14ac:dyDescent="0.35">
      <c r="A117" s="2">
        <v>45103</v>
      </c>
      <c r="B117">
        <v>183.04803466796881</v>
      </c>
      <c r="C117">
        <v>504.28903198242188</v>
      </c>
      <c r="D117">
        <v>151.5745544433594</v>
      </c>
      <c r="E117">
        <v>130.6597595214844</v>
      </c>
      <c r="F117">
        <v>68.961448669433594</v>
      </c>
      <c r="G117">
        <v>139.50285339355469</v>
      </c>
      <c r="H117">
        <v>4328.81982421875</v>
      </c>
      <c r="I117" s="13">
        <f t="shared" si="19"/>
        <v>-7.5816569511016514E-3</v>
      </c>
      <c r="J117" s="13">
        <f t="shared" si="20"/>
        <v>-1.9468413787866149E-3</v>
      </c>
      <c r="K117" s="13">
        <f t="shared" si="21"/>
        <v>-1.1242349002737944E-2</v>
      </c>
      <c r="L117" s="13">
        <f t="shared" si="22"/>
        <v>2.4458474957811541E-3</v>
      </c>
      <c r="M117" s="13">
        <f t="shared" si="23"/>
        <v>1.6167656390893169E-3</v>
      </c>
      <c r="N117" s="13">
        <f t="shared" si="24"/>
        <v>1.0098661975826821E-3</v>
      </c>
      <c r="O117" s="13">
        <f t="shared" si="25"/>
        <v>-4.4969343631321712E-3</v>
      </c>
    </row>
    <row r="118" spans="1:15" x14ac:dyDescent="0.35">
      <c r="A118" s="2">
        <v>45104</v>
      </c>
      <c r="B118">
        <v>185.8045654296875</v>
      </c>
      <c r="C118">
        <v>510.9464111328125</v>
      </c>
      <c r="D118">
        <v>151.25956726074219</v>
      </c>
      <c r="E118">
        <v>130.6691589355469</v>
      </c>
      <c r="F118">
        <v>68.608695983886719</v>
      </c>
      <c r="G118">
        <v>140.826416015625</v>
      </c>
      <c r="H118">
        <v>4378.41015625</v>
      </c>
      <c r="I118" s="13">
        <f t="shared" si="19"/>
        <v>1.4946794897181538E-2</v>
      </c>
      <c r="J118" s="13">
        <f t="shared" si="20"/>
        <v>1.3115134270462979E-2</v>
      </c>
      <c r="K118" s="13">
        <f t="shared" si="21"/>
        <v>-2.0802629138143808E-3</v>
      </c>
      <c r="L118" s="13">
        <f t="shared" si="22"/>
        <v>7.1935506579594606E-5</v>
      </c>
      <c r="M118" s="13">
        <f t="shared" si="23"/>
        <v>-5.1283432106431015E-3</v>
      </c>
      <c r="N118" s="13">
        <f t="shared" si="24"/>
        <v>9.4429843877055272E-3</v>
      </c>
      <c r="O118" s="13">
        <f t="shared" si="25"/>
        <v>1.139073352418076E-2</v>
      </c>
    </row>
    <row r="119" spans="1:15" x14ac:dyDescent="0.35">
      <c r="A119" s="2">
        <v>45105</v>
      </c>
      <c r="B119">
        <v>186.98028564453119</v>
      </c>
      <c r="C119">
        <v>513.32611083984375</v>
      </c>
      <c r="D119">
        <v>150.95391845703119</v>
      </c>
      <c r="E119">
        <v>130.0965270996094</v>
      </c>
      <c r="F119">
        <v>68.172386169433594</v>
      </c>
      <c r="G119">
        <v>140.79827880859381</v>
      </c>
      <c r="H119">
        <v>4376.85986328125</v>
      </c>
      <c r="I119" s="13">
        <f t="shared" si="19"/>
        <v>6.307789116265867E-3</v>
      </c>
      <c r="J119" s="13">
        <f t="shared" si="20"/>
        <v>4.6466227252522857E-3</v>
      </c>
      <c r="K119" s="13">
        <f t="shared" si="21"/>
        <v>-2.0227350688700762E-3</v>
      </c>
      <c r="L119" s="13">
        <f t="shared" si="22"/>
        <v>-4.3919333490964685E-3</v>
      </c>
      <c r="M119" s="13">
        <f t="shared" si="23"/>
        <v>-6.379702330507768E-3</v>
      </c>
      <c r="N119" s="13">
        <f t="shared" si="24"/>
        <v>-1.9982059557933235E-4</v>
      </c>
      <c r="O119" s="13">
        <f t="shared" si="25"/>
        <v>-3.541393883898215E-4</v>
      </c>
    </row>
    <row r="120" spans="1:15" x14ac:dyDescent="0.35">
      <c r="A120" s="2">
        <v>45106</v>
      </c>
      <c r="B120">
        <v>187.31622314453119</v>
      </c>
      <c r="C120">
        <v>512.2567138671875</v>
      </c>
      <c r="D120">
        <v>152.0099182128906</v>
      </c>
      <c r="E120">
        <v>134.6399230957031</v>
      </c>
      <c r="F120">
        <v>67.58758544921875</v>
      </c>
      <c r="G120">
        <v>140.22564697265619</v>
      </c>
      <c r="H120">
        <v>4396.43994140625</v>
      </c>
      <c r="I120" s="13">
        <f t="shared" si="19"/>
        <v>1.7950345905721646E-3</v>
      </c>
      <c r="J120" s="13">
        <f t="shared" si="20"/>
        <v>-2.0854431928216208E-3</v>
      </c>
      <c r="K120" s="13">
        <f t="shared" si="21"/>
        <v>6.9711556600233404E-3</v>
      </c>
      <c r="L120" s="13">
        <f t="shared" si="22"/>
        <v>3.4327287620081831E-2</v>
      </c>
      <c r="M120" s="13">
        <f t="shared" si="23"/>
        <v>-8.6152689982125445E-3</v>
      </c>
      <c r="N120" s="13">
        <f t="shared" si="24"/>
        <v>-4.0753300764906266E-3</v>
      </c>
      <c r="O120" s="13">
        <f t="shared" si="25"/>
        <v>4.4635681144900002E-3</v>
      </c>
    </row>
    <row r="121" spans="1:15" x14ac:dyDescent="0.35">
      <c r="A121" s="2">
        <v>45107</v>
      </c>
      <c r="B121">
        <v>191.64369201660159</v>
      </c>
      <c r="C121">
        <v>518.7021484375</v>
      </c>
      <c r="D121">
        <v>153.3253173828125</v>
      </c>
      <c r="E121">
        <v>136.52674865722659</v>
      </c>
      <c r="F121">
        <v>68.877891540527344</v>
      </c>
      <c r="G121">
        <v>142.44105529785159</v>
      </c>
      <c r="H121">
        <v>4450.3798828125</v>
      </c>
      <c r="I121" s="13">
        <f t="shared" si="19"/>
        <v>2.2839655678234667E-2</v>
      </c>
      <c r="J121" s="13">
        <f t="shared" si="20"/>
        <v>1.250392965901643E-2</v>
      </c>
      <c r="K121" s="13">
        <f t="shared" si="21"/>
        <v>8.6161513922202188E-3</v>
      </c>
      <c r="L121" s="13">
        <f t="shared" si="22"/>
        <v>1.3916577588226254E-2</v>
      </c>
      <c r="M121" s="13">
        <f t="shared" si="23"/>
        <v>1.8910930048638707E-2</v>
      </c>
      <c r="N121" s="13">
        <f t="shared" si="24"/>
        <v>1.5675377898600944E-2</v>
      </c>
      <c r="O121" s="13">
        <f t="shared" si="25"/>
        <v>1.2194350261885799E-2</v>
      </c>
    </row>
    <row r="122" spans="1:15" x14ac:dyDescent="0.35">
      <c r="A122" s="2">
        <v>45110</v>
      </c>
      <c r="B122">
        <v>190.15177917480469</v>
      </c>
      <c r="C122">
        <v>521.26495361328125</v>
      </c>
      <c r="D122">
        <v>151.315185546875</v>
      </c>
      <c r="E122">
        <v>137.62504577636719</v>
      </c>
      <c r="F122">
        <v>69.04498291015625</v>
      </c>
      <c r="G122">
        <v>143.1544494628906</v>
      </c>
      <c r="H122">
        <v>4455.58984375</v>
      </c>
      <c r="I122" s="13">
        <f t="shared" si="19"/>
        <v>-7.8152861835060344E-3</v>
      </c>
      <c r="J122" s="13">
        <f t="shared" si="20"/>
        <v>4.9286373743617782E-3</v>
      </c>
      <c r="K122" s="13">
        <f t="shared" si="21"/>
        <v>-1.3196938621745256E-2</v>
      </c>
      <c r="L122" s="13">
        <f t="shared" si="22"/>
        <v>8.0123713734479192E-3</v>
      </c>
      <c r="M122" s="13">
        <f t="shared" si="23"/>
        <v>2.4229693883742473E-3</v>
      </c>
      <c r="N122" s="13">
        <f t="shared" si="24"/>
        <v>4.9958464815869769E-3</v>
      </c>
      <c r="O122" s="13">
        <f t="shared" si="25"/>
        <v>1.1699930926736418E-3</v>
      </c>
    </row>
    <row r="123" spans="1:15" x14ac:dyDescent="0.35">
      <c r="A123" s="2">
        <v>45112</v>
      </c>
      <c r="B123">
        <v>189.0353698730469</v>
      </c>
      <c r="C123">
        <v>521.3516845703125</v>
      </c>
      <c r="D123">
        <v>150.81495666503909</v>
      </c>
      <c r="E123">
        <v>136.70823669433591</v>
      </c>
      <c r="F123">
        <v>69.574111938476563</v>
      </c>
      <c r="G123">
        <v>142.910400390625</v>
      </c>
      <c r="H123">
        <v>4446.81982421875</v>
      </c>
      <c r="I123" s="13">
        <f t="shared" si="19"/>
        <v>-5.8884512853917565E-3</v>
      </c>
      <c r="J123" s="13">
        <f t="shared" si="20"/>
        <v>1.6637171143261701E-4</v>
      </c>
      <c r="K123" s="13">
        <f t="shared" si="21"/>
        <v>-3.3113501040273421E-3</v>
      </c>
      <c r="L123" s="13">
        <f t="shared" si="22"/>
        <v>-6.6839319456351697E-3</v>
      </c>
      <c r="M123" s="13">
        <f t="shared" si="23"/>
        <v>7.634324821230185E-3</v>
      </c>
      <c r="N123" s="13">
        <f t="shared" si="24"/>
        <v>-1.7062503946129863E-3</v>
      </c>
      <c r="O123" s="13">
        <f t="shared" si="25"/>
        <v>-1.9702580976127164E-3</v>
      </c>
    </row>
    <row r="124" spans="1:15" x14ac:dyDescent="0.35">
      <c r="A124" s="2">
        <v>45113</v>
      </c>
      <c r="B124">
        <v>189.5096130371094</v>
      </c>
      <c r="C124">
        <v>517.72918701171875</v>
      </c>
      <c r="D124">
        <v>149.694091796875</v>
      </c>
      <c r="E124">
        <v>135.35662841796881</v>
      </c>
      <c r="F124">
        <v>67.782524108886719</v>
      </c>
      <c r="G124">
        <v>142.67572021484381</v>
      </c>
      <c r="H124">
        <v>4411.58984375</v>
      </c>
      <c r="I124" s="13">
        <f t="shared" si="19"/>
        <v>2.5056119276945089E-3</v>
      </c>
      <c r="J124" s="13">
        <f t="shared" si="20"/>
        <v>-6.9725318474433166E-3</v>
      </c>
      <c r="K124" s="13">
        <f t="shared" si="21"/>
        <v>-7.4598090925409276E-3</v>
      </c>
      <c r="L124" s="13">
        <f t="shared" si="22"/>
        <v>-9.9360084257982522E-3</v>
      </c>
      <c r="M124" s="13">
        <f t="shared" si="23"/>
        <v>-2.608813802570676E-2</v>
      </c>
      <c r="N124" s="13">
        <f t="shared" si="24"/>
        <v>-1.6434988374643268E-3</v>
      </c>
      <c r="O124" s="13">
        <f t="shared" si="25"/>
        <v>-7.9540611758947624E-3</v>
      </c>
    </row>
    <row r="125" spans="1:15" x14ac:dyDescent="0.35">
      <c r="A125" s="2">
        <v>45114</v>
      </c>
      <c r="B125">
        <v>188.39312744140619</v>
      </c>
      <c r="C125">
        <v>505.85943603515619</v>
      </c>
      <c r="D125">
        <v>147.51725769042969</v>
      </c>
      <c r="E125">
        <v>136.42466735839841</v>
      </c>
      <c r="F125">
        <v>66.882102966308594</v>
      </c>
      <c r="G125">
        <v>139.68119812011719</v>
      </c>
      <c r="H125">
        <v>4398.9501953125</v>
      </c>
      <c r="I125" s="13">
        <f t="shared" si="19"/>
        <v>-5.9088687357509769E-3</v>
      </c>
      <c r="J125" s="13">
        <f t="shared" si="20"/>
        <v>-2.3193464254087935E-2</v>
      </c>
      <c r="K125" s="13">
        <f t="shared" si="21"/>
        <v>-1.4648653465193041E-2</v>
      </c>
      <c r="L125" s="13">
        <f t="shared" si="22"/>
        <v>7.859587506790942E-3</v>
      </c>
      <c r="M125" s="13">
        <f t="shared" si="23"/>
        <v>-1.3372993059007325E-2</v>
      </c>
      <c r="N125" s="13">
        <f t="shared" si="24"/>
        <v>-2.1211694688761148E-2</v>
      </c>
      <c r="O125" s="13">
        <f t="shared" si="25"/>
        <v>-2.869212795733482E-3</v>
      </c>
    </row>
    <row r="126" spans="1:15" x14ac:dyDescent="0.35">
      <c r="A126" s="2">
        <v>45117</v>
      </c>
      <c r="B126">
        <v>186.34797668457031</v>
      </c>
      <c r="C126">
        <v>507.747802734375</v>
      </c>
      <c r="D126">
        <v>147.75807189941409</v>
      </c>
      <c r="E126">
        <v>137.19023132324219</v>
      </c>
      <c r="F126">
        <v>66.566490173339844</v>
      </c>
      <c r="G126">
        <v>139.737548828125</v>
      </c>
      <c r="H126">
        <v>4409.52978515625</v>
      </c>
      <c r="I126" s="13">
        <f t="shared" si="19"/>
        <v>-1.0915114670741593E-2</v>
      </c>
      <c r="J126" s="13">
        <f t="shared" si="20"/>
        <v>3.7260366969135233E-3</v>
      </c>
      <c r="K126" s="13">
        <f t="shared" si="21"/>
        <v>1.6311167120548523E-3</v>
      </c>
      <c r="L126" s="13">
        <f t="shared" si="22"/>
        <v>5.5959376942097891E-3</v>
      </c>
      <c r="M126" s="13">
        <f t="shared" si="23"/>
        <v>-4.7301117831521633E-3</v>
      </c>
      <c r="N126" s="13">
        <f t="shared" si="24"/>
        <v>4.03342362580942E-4</v>
      </c>
      <c r="O126" s="13">
        <f t="shared" si="25"/>
        <v>2.4021386106263119E-3</v>
      </c>
    </row>
    <row r="127" spans="1:15" x14ac:dyDescent="0.35">
      <c r="A127" s="2">
        <v>45118</v>
      </c>
      <c r="B127">
        <v>185.82432556152341</v>
      </c>
      <c r="C127">
        <v>510.28167724609381</v>
      </c>
      <c r="D127">
        <v>146.94293212890619</v>
      </c>
      <c r="E127">
        <v>139.33573913574219</v>
      </c>
      <c r="F127">
        <v>67.012054443359375</v>
      </c>
      <c r="G127">
        <v>139.0053405761719</v>
      </c>
      <c r="H127">
        <v>4439.259765625</v>
      </c>
      <c r="I127" s="13">
        <f t="shared" si="19"/>
        <v>-2.8140270806918644E-3</v>
      </c>
      <c r="J127" s="13">
        <f t="shared" si="20"/>
        <v>4.9780085824947416E-3</v>
      </c>
      <c r="K127" s="13">
        <f t="shared" si="21"/>
        <v>-5.5319923459410947E-3</v>
      </c>
      <c r="L127" s="13">
        <f t="shared" si="22"/>
        <v>1.5517897743036016E-2</v>
      </c>
      <c r="M127" s="13">
        <f t="shared" si="23"/>
        <v>6.6712198997201733E-3</v>
      </c>
      <c r="N127" s="13">
        <f t="shared" si="24"/>
        <v>-5.2536582199641593E-3</v>
      </c>
      <c r="O127" s="13">
        <f t="shared" si="25"/>
        <v>6.7195839982548741E-3</v>
      </c>
    </row>
    <row r="128" spans="1:15" x14ac:dyDescent="0.35">
      <c r="A128" s="2">
        <v>45119</v>
      </c>
      <c r="B128">
        <v>187.4940490722656</v>
      </c>
      <c r="C128">
        <v>518.3360595703125</v>
      </c>
      <c r="D128">
        <v>146.4334411621094</v>
      </c>
      <c r="E128">
        <v>140.02571105957031</v>
      </c>
      <c r="F128">
        <v>68.20025634765625</v>
      </c>
      <c r="G128">
        <v>139.7281188964844</v>
      </c>
      <c r="H128">
        <v>4472.16015625</v>
      </c>
      <c r="I128" s="13">
        <f t="shared" si="19"/>
        <v>8.9453654488740666E-3</v>
      </c>
      <c r="J128" s="13">
        <f t="shared" si="20"/>
        <v>1.5660913974636242E-2</v>
      </c>
      <c r="K128" s="13">
        <f t="shared" si="21"/>
        <v>-3.473295911872227E-3</v>
      </c>
      <c r="L128" s="13">
        <f t="shared" si="22"/>
        <v>4.9396459410840894E-3</v>
      </c>
      <c r="M128" s="13">
        <f t="shared" si="23"/>
        <v>1.7575803332743223E-2</v>
      </c>
      <c r="N128" s="13">
        <f t="shared" si="24"/>
        <v>5.1861727809049832E-3</v>
      </c>
      <c r="O128" s="13">
        <f t="shared" si="25"/>
        <v>7.3839052353896787E-3</v>
      </c>
    </row>
    <row r="129" spans="1:15" x14ac:dyDescent="0.35">
      <c r="A129" s="2">
        <v>45120</v>
      </c>
      <c r="B129">
        <v>188.25482177734381</v>
      </c>
      <c r="C129">
        <v>518.76971435546875</v>
      </c>
      <c r="D129">
        <v>147.10966491699219</v>
      </c>
      <c r="E129">
        <v>140.70625305175781</v>
      </c>
      <c r="F129">
        <v>68.42303466796875</v>
      </c>
      <c r="G129">
        <v>139.8219909667969</v>
      </c>
      <c r="H129">
        <v>4510.0400390625</v>
      </c>
      <c r="I129" s="13">
        <f t="shared" si="19"/>
        <v>4.0493734175019707E-3</v>
      </c>
      <c r="J129" s="13">
        <f t="shared" si="20"/>
        <v>8.3627884702299447E-4</v>
      </c>
      <c r="K129" s="13">
        <f t="shared" si="21"/>
        <v>4.6073298066901455E-3</v>
      </c>
      <c r="L129" s="13">
        <f t="shared" si="22"/>
        <v>4.848349402872743E-3</v>
      </c>
      <c r="M129" s="13">
        <f t="shared" si="23"/>
        <v>3.2612084821350869E-3</v>
      </c>
      <c r="N129" s="13">
        <f t="shared" si="24"/>
        <v>6.7159389697071369E-4</v>
      </c>
      <c r="O129" s="13">
        <f t="shared" si="25"/>
        <v>8.4344829896271113E-3</v>
      </c>
    </row>
    <row r="130" spans="1:15" x14ac:dyDescent="0.35">
      <c r="A130" s="2">
        <v>45121</v>
      </c>
      <c r="B130">
        <v>188.40301513671881</v>
      </c>
      <c r="C130">
        <v>526.7181396484375</v>
      </c>
      <c r="D130">
        <v>148.09156799316409</v>
      </c>
      <c r="E130">
        <v>141.55690002441409</v>
      </c>
      <c r="F130">
        <v>67.949623107910156</v>
      </c>
      <c r="G130">
        <v>140.8545837402344</v>
      </c>
      <c r="H130">
        <v>4505.419921875</v>
      </c>
      <c r="I130" s="13">
        <f t="shared" si="19"/>
        <v>7.8688588155114477E-4</v>
      </c>
      <c r="J130" s="13">
        <f t="shared" si="20"/>
        <v>1.5205491687388346E-2</v>
      </c>
      <c r="K130" s="13">
        <f t="shared" si="21"/>
        <v>6.6524566153113194E-3</v>
      </c>
      <c r="L130" s="13">
        <f t="shared" si="22"/>
        <v>6.0273509924630353E-3</v>
      </c>
      <c r="M130" s="13">
        <f t="shared" si="23"/>
        <v>-6.9429381151272195E-3</v>
      </c>
      <c r="N130" s="13">
        <f t="shared" si="24"/>
        <v>7.3579167277082799E-3</v>
      </c>
      <c r="O130" s="13">
        <f t="shared" si="25"/>
        <v>-1.0249321969074839E-3</v>
      </c>
    </row>
    <row r="131" spans="1:15" x14ac:dyDescent="0.35">
      <c r="A131" s="2">
        <v>45124</v>
      </c>
      <c r="B131">
        <v>191.66343688964841</v>
      </c>
      <c r="C131">
        <v>532.7493896484375</v>
      </c>
      <c r="D131">
        <v>147.3504943847656</v>
      </c>
      <c r="E131">
        <v>144.96893310546881</v>
      </c>
      <c r="F131">
        <v>67.448356628417969</v>
      </c>
      <c r="G131">
        <v>139.8595886230469</v>
      </c>
      <c r="H131">
        <v>4522.7900390625</v>
      </c>
      <c r="I131" s="13">
        <f t="shared" si="19"/>
        <v>1.7157535052132245E-2</v>
      </c>
      <c r="J131" s="13">
        <f t="shared" si="20"/>
        <v>1.1385559228836569E-2</v>
      </c>
      <c r="K131" s="13">
        <f t="shared" si="21"/>
        <v>-5.0167207518106976E-3</v>
      </c>
      <c r="L131" s="13">
        <f t="shared" si="22"/>
        <v>2.3817708451301902E-2</v>
      </c>
      <c r="M131" s="13">
        <f t="shared" si="23"/>
        <v>-7.4043759089819092E-3</v>
      </c>
      <c r="N131" s="13">
        <f t="shared" si="24"/>
        <v>-7.0890562862617754E-3</v>
      </c>
      <c r="O131" s="13">
        <f t="shared" si="25"/>
        <v>3.8479695744204137E-3</v>
      </c>
    </row>
    <row r="132" spans="1:15" x14ac:dyDescent="0.35">
      <c r="A132" s="2">
        <v>45125</v>
      </c>
      <c r="B132">
        <v>191.40653991699219</v>
      </c>
      <c r="C132">
        <v>533.35626220703125</v>
      </c>
      <c r="D132">
        <v>147.34123229980469</v>
      </c>
      <c r="E132">
        <v>145.23358154296881</v>
      </c>
      <c r="F132">
        <v>66.882102966308594</v>
      </c>
      <c r="G132">
        <v>140.12239074707031</v>
      </c>
      <c r="H132">
        <v>4554.97998046875</v>
      </c>
      <c r="I132" s="13">
        <f t="shared" si="19"/>
        <v>-1.3412536963094267E-3</v>
      </c>
      <c r="J132" s="13">
        <f t="shared" si="20"/>
        <v>1.138484958009964E-3</v>
      </c>
      <c r="K132" s="13">
        <f t="shared" si="21"/>
        <v>-6.2859484167818335E-5</v>
      </c>
      <c r="L132" s="13">
        <f t="shared" si="22"/>
        <v>1.8238884744666184E-3</v>
      </c>
      <c r="M132" s="13">
        <f t="shared" si="23"/>
        <v>-8.4308059073369811E-3</v>
      </c>
      <c r="N132" s="13">
        <f t="shared" si="24"/>
        <v>1.8772794005868028E-3</v>
      </c>
      <c r="O132" s="13">
        <f t="shared" si="25"/>
        <v>7.0920669414283382E-3</v>
      </c>
    </row>
    <row r="133" spans="1:15" x14ac:dyDescent="0.35">
      <c r="A133" s="2">
        <v>45126</v>
      </c>
      <c r="B133">
        <v>192.76011657714841</v>
      </c>
      <c r="C133">
        <v>533.85723876953125</v>
      </c>
      <c r="D133">
        <v>147.04481506347659</v>
      </c>
      <c r="E133">
        <v>145.79121398925781</v>
      </c>
      <c r="F133">
        <v>66.92852783203125</v>
      </c>
      <c r="G133">
        <v>141.07987976074219</v>
      </c>
      <c r="H133">
        <v>4565.72021484375</v>
      </c>
      <c r="I133" s="13">
        <f t="shared" ref="I133:I196" si="26">LN(B133/B132)</f>
        <v>7.046849270259942E-3</v>
      </c>
      <c r="J133" s="13">
        <f t="shared" ref="J133:J196" si="27">LN(C133/C132)</f>
        <v>9.3884981559912931E-4</v>
      </c>
      <c r="K133" s="13">
        <f t="shared" ref="K133:K196" si="28">LN(D133/D132)</f>
        <v>-2.01380017264392E-3</v>
      </c>
      <c r="L133" s="13">
        <f t="shared" ref="L133:L196" si="29">LN(E133/E132)</f>
        <v>3.8322035598937266E-3</v>
      </c>
      <c r="M133" s="13">
        <f t="shared" ref="M133:M196" si="30">LN(F133/F132)</f>
        <v>6.9388907754804898E-4</v>
      </c>
      <c r="N133" s="13">
        <f t="shared" ref="N133:N196" si="31">LN(G133/G132)</f>
        <v>6.8099927665300547E-3</v>
      </c>
      <c r="O133" s="13">
        <f t="shared" ref="O133:O196" si="32">LN(H133/H132)</f>
        <v>2.3551348272336388E-3</v>
      </c>
    </row>
    <row r="134" spans="1:15" x14ac:dyDescent="0.35">
      <c r="A134" s="2">
        <v>45127</v>
      </c>
      <c r="B134">
        <v>190.81376647949219</v>
      </c>
      <c r="C134">
        <v>536.60302734375</v>
      </c>
      <c r="D134">
        <v>155.9745788574219</v>
      </c>
      <c r="E134">
        <v>147.58705139160159</v>
      </c>
      <c r="F134">
        <v>68.785079956054688</v>
      </c>
      <c r="G134">
        <v>142.2238464355469</v>
      </c>
      <c r="H134">
        <v>4534.8701171875</v>
      </c>
      <c r="I134" s="13">
        <f t="shared" si="26"/>
        <v>-1.0148588779257336E-2</v>
      </c>
      <c r="J134" s="13">
        <f t="shared" si="27"/>
        <v>5.1301196002104879E-3</v>
      </c>
      <c r="K134" s="13">
        <f t="shared" si="28"/>
        <v>5.8955633234164737E-2</v>
      </c>
      <c r="L134" s="13">
        <f t="shared" si="29"/>
        <v>1.2242623564766542E-2</v>
      </c>
      <c r="M134" s="13">
        <f t="shared" si="30"/>
        <v>2.7361559083795194E-2</v>
      </c>
      <c r="N134" s="13">
        <f t="shared" si="31"/>
        <v>8.0759466718161397E-3</v>
      </c>
      <c r="O134" s="13">
        <f t="shared" si="32"/>
        <v>-6.7798273962576911E-3</v>
      </c>
    </row>
    <row r="135" spans="1:15" x14ac:dyDescent="0.35">
      <c r="A135" s="2">
        <v>45128</v>
      </c>
      <c r="B135">
        <v>189.63801574707031</v>
      </c>
      <c r="C135">
        <v>537.47021484375</v>
      </c>
      <c r="D135">
        <v>157.65122985839841</v>
      </c>
      <c r="E135">
        <v>146.45281982421881</v>
      </c>
      <c r="F135">
        <v>70.455963134765625</v>
      </c>
      <c r="G135">
        <v>144.46260070800781</v>
      </c>
      <c r="H135">
        <v>4536.33984375</v>
      </c>
      <c r="I135" s="13">
        <f t="shared" si="26"/>
        <v>-6.1808330538458993E-3</v>
      </c>
      <c r="J135" s="13">
        <f t="shared" si="27"/>
        <v>1.6147645325638048E-3</v>
      </c>
      <c r="K135" s="13">
        <f t="shared" si="28"/>
        <v>1.06921492270915E-2</v>
      </c>
      <c r="L135" s="13">
        <f t="shared" si="29"/>
        <v>-7.714853012125553E-3</v>
      </c>
      <c r="M135" s="13">
        <f t="shared" si="30"/>
        <v>2.4001017947663503E-2</v>
      </c>
      <c r="N135" s="13">
        <f t="shared" si="31"/>
        <v>1.5618455661289318E-2</v>
      </c>
      <c r="O135" s="13">
        <f t="shared" si="32"/>
        <v>3.2404201461309109E-4</v>
      </c>
    </row>
    <row r="136" spans="1:15" x14ac:dyDescent="0.35">
      <c r="A136" s="2">
        <v>45131</v>
      </c>
      <c r="B136">
        <v>190.43833923339841</v>
      </c>
      <c r="C136">
        <v>543.31842041015625</v>
      </c>
      <c r="D136">
        <v>158.47566223144531</v>
      </c>
      <c r="E136">
        <v>149.33558654785159</v>
      </c>
      <c r="F136">
        <v>70.084648132324219</v>
      </c>
      <c r="G136">
        <v>144.92547607421881</v>
      </c>
      <c r="H136">
        <v>4554.64013671875</v>
      </c>
      <c r="I136" s="13">
        <f t="shared" si="26"/>
        <v>4.2113888891268485E-3</v>
      </c>
      <c r="J136" s="13">
        <f t="shared" si="27"/>
        <v>1.0822213435941971E-2</v>
      </c>
      <c r="K136" s="13">
        <f t="shared" si="28"/>
        <v>5.2158437813032863E-3</v>
      </c>
      <c r="L136" s="13">
        <f t="shared" si="29"/>
        <v>1.949270451635237E-2</v>
      </c>
      <c r="M136" s="13">
        <f t="shared" si="30"/>
        <v>-5.2841077475763746E-3</v>
      </c>
      <c r="N136" s="13">
        <f t="shared" si="31"/>
        <v>3.1989967665364406E-3</v>
      </c>
      <c r="O136" s="13">
        <f t="shared" si="32"/>
        <v>4.026038496874852E-3</v>
      </c>
    </row>
    <row r="137" spans="1:15" x14ac:dyDescent="0.35">
      <c r="A137" s="2">
        <v>45132</v>
      </c>
      <c r="B137">
        <v>191.2978820800781</v>
      </c>
      <c r="C137">
        <v>544.53228759765625</v>
      </c>
      <c r="D137">
        <v>159.68916320800781</v>
      </c>
      <c r="E137">
        <v>148.22029113769531</v>
      </c>
      <c r="F137">
        <v>70.028953552246094</v>
      </c>
      <c r="G137">
        <v>145.26557922363281</v>
      </c>
      <c r="H137">
        <v>4567.4599609375</v>
      </c>
      <c r="I137" s="13">
        <f t="shared" si="26"/>
        <v>4.5033415815517999E-3</v>
      </c>
      <c r="J137" s="13">
        <f t="shared" si="27"/>
        <v>2.2316806568395877E-3</v>
      </c>
      <c r="K137" s="13">
        <f t="shared" si="28"/>
        <v>7.6281647994101906E-3</v>
      </c>
      <c r="L137" s="13">
        <f t="shared" si="29"/>
        <v>-7.4964113750459081E-3</v>
      </c>
      <c r="M137" s="13">
        <f t="shared" si="30"/>
        <v>-7.9499181152752291E-4</v>
      </c>
      <c r="N137" s="13">
        <f t="shared" si="31"/>
        <v>2.3439957843252113E-3</v>
      </c>
      <c r="O137" s="13">
        <f t="shared" si="32"/>
        <v>2.8107195758387046E-3</v>
      </c>
    </row>
    <row r="138" spans="1:15" x14ac:dyDescent="0.35">
      <c r="A138" s="2">
        <v>45133</v>
      </c>
      <c r="B138">
        <v>192.16731262207031</v>
      </c>
      <c r="C138">
        <v>545.47650146484375</v>
      </c>
      <c r="D138">
        <v>159.99482727050781</v>
      </c>
      <c r="E138">
        <v>149.10874938964841</v>
      </c>
      <c r="F138">
        <v>69.035697937011719</v>
      </c>
      <c r="G138">
        <v>145.41668701171881</v>
      </c>
      <c r="H138">
        <v>4566.75</v>
      </c>
      <c r="I138" s="13">
        <f t="shared" si="26"/>
        <v>4.534607280247671E-3</v>
      </c>
      <c r="J138" s="13">
        <f t="shared" si="27"/>
        <v>1.7324889722632837E-3</v>
      </c>
      <c r="K138" s="13">
        <f t="shared" si="28"/>
        <v>1.9122894154930453E-3</v>
      </c>
      <c r="L138" s="13">
        <f t="shared" si="29"/>
        <v>5.9762806533698873E-3</v>
      </c>
      <c r="M138" s="13">
        <f t="shared" si="30"/>
        <v>-1.4285046488276335E-2</v>
      </c>
      <c r="N138" s="13">
        <f t="shared" si="31"/>
        <v>1.0396767828624971E-3</v>
      </c>
      <c r="O138" s="13">
        <f t="shared" si="32"/>
        <v>-1.5545097867591856E-4</v>
      </c>
    </row>
    <row r="139" spans="1:15" x14ac:dyDescent="0.35">
      <c r="A139" s="2">
        <v>45134</v>
      </c>
      <c r="B139">
        <v>190.90264892578119</v>
      </c>
      <c r="C139">
        <v>541.295166015625</v>
      </c>
      <c r="D139">
        <v>160.89337158203119</v>
      </c>
      <c r="E139">
        <v>147.46417236328119</v>
      </c>
      <c r="F139">
        <v>68.014610290527344</v>
      </c>
      <c r="G139">
        <v>143.68803405761719</v>
      </c>
      <c r="H139">
        <v>4537.41015625</v>
      </c>
      <c r="I139" s="13">
        <f t="shared" si="26"/>
        <v>-6.6028058467912393E-3</v>
      </c>
      <c r="J139" s="13">
        <f t="shared" si="27"/>
        <v>-7.6950038481826792E-3</v>
      </c>
      <c r="K139" s="13">
        <f t="shared" si="28"/>
        <v>5.6003721124251232E-3</v>
      </c>
      <c r="L139" s="13">
        <f t="shared" si="29"/>
        <v>-1.1090654358360649E-2</v>
      </c>
      <c r="M139" s="13">
        <f t="shared" si="30"/>
        <v>-1.4901192906717086E-2</v>
      </c>
      <c r="N139" s="13">
        <f t="shared" si="31"/>
        <v>-1.1958805441268799E-2</v>
      </c>
      <c r="O139" s="13">
        <f t="shared" si="32"/>
        <v>-6.4453930551970759E-3</v>
      </c>
    </row>
    <row r="140" spans="1:15" x14ac:dyDescent="0.35">
      <c r="A140" s="2">
        <v>45135</v>
      </c>
      <c r="B140">
        <v>193.48136901855469</v>
      </c>
      <c r="C140">
        <v>542.73052978515625</v>
      </c>
      <c r="D140">
        <v>161.62518310546881</v>
      </c>
      <c r="E140">
        <v>148.30535888671881</v>
      </c>
      <c r="F140">
        <v>67.624717712402344</v>
      </c>
      <c r="G140">
        <v>147.74993896484381</v>
      </c>
      <c r="H140">
        <v>4582.22998046875</v>
      </c>
      <c r="I140" s="13">
        <f t="shared" si="26"/>
        <v>1.3417617070671633E-2</v>
      </c>
      <c r="J140" s="13">
        <f t="shared" si="27"/>
        <v>2.6482114103839201E-3</v>
      </c>
      <c r="K140" s="13">
        <f t="shared" si="28"/>
        <v>4.5381127301980352E-3</v>
      </c>
      <c r="L140" s="13">
        <f t="shared" si="29"/>
        <v>5.6881368944499472E-3</v>
      </c>
      <c r="M140" s="13">
        <f t="shared" si="30"/>
        <v>-5.7489764615888212E-3</v>
      </c>
      <c r="N140" s="13">
        <f t="shared" si="31"/>
        <v>2.7876723872701726E-2</v>
      </c>
      <c r="O140" s="13">
        <f t="shared" si="32"/>
        <v>9.8293758104338481E-3</v>
      </c>
    </row>
    <row r="141" spans="1:15" x14ac:dyDescent="0.35">
      <c r="A141" s="2">
        <v>45138</v>
      </c>
      <c r="B141">
        <v>194.09391784667969</v>
      </c>
      <c r="C141">
        <v>540.177490234375</v>
      </c>
      <c r="D141">
        <v>155.18721008300781</v>
      </c>
      <c r="E141">
        <v>149.29779052734381</v>
      </c>
      <c r="F141">
        <v>68.042442321777344</v>
      </c>
      <c r="G141">
        <v>147.6460266113281</v>
      </c>
      <c r="H141">
        <v>4588.9599609375</v>
      </c>
      <c r="I141" s="13">
        <f t="shared" si="26"/>
        <v>3.1609308379898084E-3</v>
      </c>
      <c r="J141" s="13">
        <f t="shared" si="27"/>
        <v>-4.7151636772036045E-3</v>
      </c>
      <c r="K141" s="13">
        <f t="shared" si="28"/>
        <v>-4.0647774900193882E-2</v>
      </c>
      <c r="L141" s="13">
        <f t="shared" si="29"/>
        <v>6.669521618960025E-3</v>
      </c>
      <c r="M141" s="13">
        <f t="shared" si="30"/>
        <v>6.1580994155824914E-3</v>
      </c>
      <c r="N141" s="13">
        <f t="shared" si="31"/>
        <v>-7.0354622209696266E-4</v>
      </c>
      <c r="O141" s="13">
        <f t="shared" si="32"/>
        <v>1.4676354365687912E-3</v>
      </c>
    </row>
    <row r="142" spans="1:15" x14ac:dyDescent="0.35">
      <c r="A142" s="2">
        <v>45139</v>
      </c>
      <c r="B142">
        <v>193.26402282714841</v>
      </c>
      <c r="C142">
        <v>535.16748046875</v>
      </c>
      <c r="D142">
        <v>156.447021484375</v>
      </c>
      <c r="E142">
        <v>148.56056213378909</v>
      </c>
      <c r="F142">
        <v>66.993499755859375</v>
      </c>
      <c r="G142">
        <v>147.59881591796881</v>
      </c>
      <c r="H142">
        <v>4576.72998046875</v>
      </c>
      <c r="I142" s="13">
        <f t="shared" si="26"/>
        <v>-4.2849065536436524E-3</v>
      </c>
      <c r="J142" s="13">
        <f t="shared" si="27"/>
        <v>-9.3180256602795088E-3</v>
      </c>
      <c r="K142" s="13">
        <f t="shared" si="28"/>
        <v>8.0852367081529989E-3</v>
      </c>
      <c r="L142" s="13">
        <f t="shared" si="29"/>
        <v>-4.9502046353255766E-3</v>
      </c>
      <c r="M142" s="13">
        <f t="shared" si="30"/>
        <v>-1.5536066150135228E-2</v>
      </c>
      <c r="N142" s="13">
        <f t="shared" si="31"/>
        <v>-3.1980706831139243E-4</v>
      </c>
      <c r="O142" s="13">
        <f t="shared" si="32"/>
        <v>-2.6686453076827116E-3</v>
      </c>
    </row>
    <row r="143" spans="1:15" x14ac:dyDescent="0.35">
      <c r="A143" s="2">
        <v>45140</v>
      </c>
      <c r="B143">
        <v>190.27037048339841</v>
      </c>
      <c r="C143">
        <v>532.16168212890625</v>
      </c>
      <c r="D143">
        <v>157.39186096191409</v>
      </c>
      <c r="E143">
        <v>146.87815856933591</v>
      </c>
      <c r="F143">
        <v>66.752143859863281</v>
      </c>
      <c r="G143">
        <v>147.91998291015619</v>
      </c>
      <c r="H143">
        <v>4513.39013671875</v>
      </c>
      <c r="I143" s="13">
        <f t="shared" si="26"/>
        <v>-1.561118478069053E-2</v>
      </c>
      <c r="J143" s="13">
        <f t="shared" si="27"/>
        <v>-5.632388566621932E-3</v>
      </c>
      <c r="K143" s="13">
        <f t="shared" si="28"/>
        <v>6.021193580291369E-3</v>
      </c>
      <c r="L143" s="13">
        <f t="shared" si="29"/>
        <v>-1.1389311101054395E-2</v>
      </c>
      <c r="M143" s="13">
        <f t="shared" si="30"/>
        <v>-3.6091815997414648E-3</v>
      </c>
      <c r="N143" s="13">
        <f t="shared" si="31"/>
        <v>2.1735816462839759E-3</v>
      </c>
      <c r="O143" s="13">
        <f t="shared" si="32"/>
        <v>-1.3936200638336184E-2</v>
      </c>
    </row>
    <row r="144" spans="1:15" x14ac:dyDescent="0.35">
      <c r="A144" s="2">
        <v>45141</v>
      </c>
      <c r="B144">
        <v>188.87724304199219</v>
      </c>
      <c r="C144">
        <v>537.30645751953125</v>
      </c>
      <c r="D144">
        <v>158.0680847167969</v>
      </c>
      <c r="E144">
        <v>147.77607727050781</v>
      </c>
      <c r="F144">
        <v>65.071983337402344</v>
      </c>
      <c r="G144">
        <v>148.30726623535159</v>
      </c>
      <c r="H144">
        <v>4501.89013671875</v>
      </c>
      <c r="I144" s="13">
        <f t="shared" si="26"/>
        <v>-7.3487668722389612E-3</v>
      </c>
      <c r="J144" s="13">
        <f t="shared" si="27"/>
        <v>9.6212591790189889E-3</v>
      </c>
      <c r="K144" s="13">
        <f t="shared" si="28"/>
        <v>4.2872307556927206E-3</v>
      </c>
      <c r="L144" s="13">
        <f t="shared" si="29"/>
        <v>6.0947468012031835E-3</v>
      </c>
      <c r="M144" s="13">
        <f t="shared" si="30"/>
        <v>-2.5492321414535994E-2</v>
      </c>
      <c r="N144" s="13">
        <f t="shared" si="31"/>
        <v>2.6147732659197922E-3</v>
      </c>
      <c r="O144" s="13">
        <f t="shared" si="32"/>
        <v>-2.5512254502915274E-3</v>
      </c>
    </row>
    <row r="145" spans="1:15" x14ac:dyDescent="0.35">
      <c r="A145" s="2">
        <v>45142</v>
      </c>
      <c r="B145">
        <v>179.80732727050781</v>
      </c>
      <c r="C145">
        <v>531.86285400390625</v>
      </c>
      <c r="D145">
        <v>156.5859680175781</v>
      </c>
      <c r="E145">
        <v>147.46417236328119</v>
      </c>
      <c r="F145">
        <v>64.208671569824219</v>
      </c>
      <c r="G145">
        <v>146.6824951171875</v>
      </c>
      <c r="H145">
        <v>4478.02978515625</v>
      </c>
      <c r="I145" s="13">
        <f t="shared" si="26"/>
        <v>-4.9211422777882471E-2</v>
      </c>
      <c r="J145" s="13">
        <f t="shared" si="27"/>
        <v>-1.0182953242847289E-2</v>
      </c>
      <c r="K145" s="13">
        <f t="shared" si="28"/>
        <v>-9.4206805710258714E-3</v>
      </c>
      <c r="L145" s="13">
        <f t="shared" si="29"/>
        <v>-2.1128895782331733E-3</v>
      </c>
      <c r="M145" s="13">
        <f t="shared" si="30"/>
        <v>-1.3355820345132328E-2</v>
      </c>
      <c r="N145" s="13">
        <f t="shared" si="31"/>
        <v>-1.1015891135745132E-2</v>
      </c>
      <c r="O145" s="13">
        <f t="shared" si="32"/>
        <v>-5.3141693739379705E-3</v>
      </c>
    </row>
    <row r="146" spans="1:15" x14ac:dyDescent="0.35">
      <c r="A146" s="2">
        <v>45145</v>
      </c>
      <c r="B146">
        <v>176.70501708984381</v>
      </c>
      <c r="C146">
        <v>538</v>
      </c>
      <c r="D146">
        <v>160.34684753417969</v>
      </c>
      <c r="E146">
        <v>148.16358947753909</v>
      </c>
      <c r="F146">
        <v>63.716697692871087</v>
      </c>
      <c r="G146">
        <v>148.231689453125</v>
      </c>
      <c r="H146">
        <v>4518.43994140625</v>
      </c>
      <c r="I146" s="13">
        <f t="shared" si="26"/>
        <v>-1.7404101358811749E-2</v>
      </c>
      <c r="J146" s="13">
        <f t="shared" si="27"/>
        <v>1.1472897280265648E-2</v>
      </c>
      <c r="K146" s="13">
        <f t="shared" si="28"/>
        <v>2.3734090473141654E-2</v>
      </c>
      <c r="L146" s="13">
        <f t="shared" si="29"/>
        <v>4.731750596539061E-3</v>
      </c>
      <c r="M146" s="13">
        <f t="shared" si="30"/>
        <v>-7.6916143413251741E-3</v>
      </c>
      <c r="N146" s="13">
        <f t="shared" si="31"/>
        <v>1.050616529761721E-2</v>
      </c>
      <c r="O146" s="13">
        <f t="shared" si="32"/>
        <v>8.9836189648565719E-3</v>
      </c>
    </row>
    <row r="147" spans="1:15" x14ac:dyDescent="0.35">
      <c r="A147" s="2">
        <v>45146</v>
      </c>
      <c r="B147">
        <v>177.64363098144531</v>
      </c>
      <c r="C147">
        <v>535.79388427734375</v>
      </c>
      <c r="D147">
        <v>160.42094421386719</v>
      </c>
      <c r="E147">
        <v>147.33183288574219</v>
      </c>
      <c r="F147">
        <v>63.78167724609375</v>
      </c>
      <c r="G147">
        <v>148.3923034667969</v>
      </c>
      <c r="H147">
        <v>4499.3798828125</v>
      </c>
      <c r="I147" s="13">
        <f t="shared" si="26"/>
        <v>5.2976981396145369E-3</v>
      </c>
      <c r="J147" s="13">
        <f t="shared" si="27"/>
        <v>-4.1090173057731069E-3</v>
      </c>
      <c r="K147" s="13">
        <f t="shared" si="28"/>
        <v>4.6199576710387021E-4</v>
      </c>
      <c r="L147" s="13">
        <f t="shared" si="29"/>
        <v>-5.6295883153187074E-3</v>
      </c>
      <c r="M147" s="13">
        <f t="shared" si="30"/>
        <v>1.0193001891947613E-3</v>
      </c>
      <c r="N147" s="13">
        <f t="shared" si="31"/>
        <v>1.08294698475224E-3</v>
      </c>
      <c r="O147" s="13">
        <f t="shared" si="32"/>
        <v>-4.2272051000588661E-3</v>
      </c>
    </row>
    <row r="148" spans="1:15" x14ac:dyDescent="0.35">
      <c r="A148" s="2">
        <v>45147</v>
      </c>
      <c r="B148">
        <v>176.05293273925781</v>
      </c>
      <c r="C148">
        <v>539.24298095703125</v>
      </c>
      <c r="D148">
        <v>160.3190612792969</v>
      </c>
      <c r="E148">
        <v>145.35646057128909</v>
      </c>
      <c r="F148">
        <v>63.976608276367188</v>
      </c>
      <c r="G148">
        <v>148.2033386230469</v>
      </c>
      <c r="H148">
        <v>4467.7099609375</v>
      </c>
      <c r="I148" s="13">
        <f t="shared" si="26"/>
        <v>-8.994766305719987E-3</v>
      </c>
      <c r="J148" s="13">
        <f t="shared" si="27"/>
        <v>6.4167260226189711E-3</v>
      </c>
      <c r="K148" s="13">
        <f t="shared" si="28"/>
        <v>-6.3529922212443818E-4</v>
      </c>
      <c r="L148" s="13">
        <f t="shared" si="29"/>
        <v>-1.3498334932339645E-2</v>
      </c>
      <c r="M148" s="13">
        <f t="shared" si="30"/>
        <v>3.0515622645255923E-3</v>
      </c>
      <c r="N148" s="13">
        <f t="shared" si="31"/>
        <v>-1.2742255279698559E-3</v>
      </c>
      <c r="O148" s="13">
        <f t="shared" si="32"/>
        <v>-7.0636191020451164E-3</v>
      </c>
    </row>
    <row r="149" spans="1:15" x14ac:dyDescent="0.35">
      <c r="A149" s="2">
        <v>45148</v>
      </c>
      <c r="B149">
        <v>175.8355712890625</v>
      </c>
      <c r="C149">
        <v>540.96746826171875</v>
      </c>
      <c r="D149">
        <v>159.4853515625</v>
      </c>
      <c r="E149">
        <v>145.1390686035156</v>
      </c>
      <c r="F149">
        <v>63.391799926757813</v>
      </c>
      <c r="G149">
        <v>147.46653747558591</v>
      </c>
      <c r="H149">
        <v>4468.830078125</v>
      </c>
      <c r="I149" s="13">
        <f t="shared" si="26"/>
        <v>-1.2353997095784245E-3</v>
      </c>
      <c r="J149" s="13">
        <f t="shared" si="27"/>
        <v>3.192875556706136E-3</v>
      </c>
      <c r="K149" s="13">
        <f t="shared" si="28"/>
        <v>-5.2138843117205576E-3</v>
      </c>
      <c r="L149" s="13">
        <f t="shared" si="29"/>
        <v>-1.4966977906527856E-3</v>
      </c>
      <c r="M149" s="13">
        <f t="shared" si="30"/>
        <v>-9.1830064845445352E-3</v>
      </c>
      <c r="N149" s="13">
        <f t="shared" si="31"/>
        <v>-4.9839549591525183E-3</v>
      </c>
      <c r="O149" s="13">
        <f t="shared" si="32"/>
        <v>2.5068252108086326E-4</v>
      </c>
    </row>
    <row r="150" spans="1:15" x14ac:dyDescent="0.35">
      <c r="A150" s="2">
        <v>45149</v>
      </c>
      <c r="B150">
        <v>175.89494323730469</v>
      </c>
      <c r="C150">
        <v>542.3839111328125</v>
      </c>
      <c r="D150">
        <v>161.04158020019531</v>
      </c>
      <c r="E150">
        <v>145.98023986816409</v>
      </c>
      <c r="F150">
        <v>63.976608276367188</v>
      </c>
      <c r="G150">
        <v>148.326171875</v>
      </c>
      <c r="H150">
        <v>4464.0498046875</v>
      </c>
      <c r="I150" s="13">
        <f t="shared" si="26"/>
        <v>3.3759907857876893E-4</v>
      </c>
      <c r="J150" s="13">
        <f t="shared" si="27"/>
        <v>2.6149293851540196E-3</v>
      </c>
      <c r="K150" s="13">
        <f t="shared" si="28"/>
        <v>9.7105154797283658E-3</v>
      </c>
      <c r="L150" s="13">
        <f t="shared" si="29"/>
        <v>5.7788925785426989E-3</v>
      </c>
      <c r="M150" s="13">
        <f t="shared" si="30"/>
        <v>9.1830064845444884E-3</v>
      </c>
      <c r="N150" s="13">
        <f t="shared" si="31"/>
        <v>5.8124273683404079E-3</v>
      </c>
      <c r="O150" s="13">
        <f t="shared" si="32"/>
        <v>-1.0702648992294865E-3</v>
      </c>
    </row>
    <row r="151" spans="1:15" x14ac:dyDescent="0.35">
      <c r="A151" s="2">
        <v>45152</v>
      </c>
      <c r="B151">
        <v>177.54713439941409</v>
      </c>
      <c r="C151">
        <v>540.9483642578125</v>
      </c>
      <c r="D151">
        <v>160.66178894042969</v>
      </c>
      <c r="E151">
        <v>146.28271484375</v>
      </c>
      <c r="F151">
        <v>63.642448425292969</v>
      </c>
      <c r="G151">
        <v>147.16426086425781</v>
      </c>
      <c r="H151">
        <v>4489.72021484375</v>
      </c>
      <c r="I151" s="13">
        <f t="shared" si="26"/>
        <v>9.3492161865849997E-3</v>
      </c>
      <c r="J151" s="13">
        <f t="shared" si="27"/>
        <v>-2.6502445239736136E-3</v>
      </c>
      <c r="K151" s="13">
        <f t="shared" si="28"/>
        <v>-2.3611281238520979E-3</v>
      </c>
      <c r="L151" s="13">
        <f t="shared" si="29"/>
        <v>2.069883156270077E-3</v>
      </c>
      <c r="M151" s="13">
        <f t="shared" si="30"/>
        <v>-5.2368450824222985E-3</v>
      </c>
      <c r="N151" s="13">
        <f t="shared" si="31"/>
        <v>-7.86432906420928E-3</v>
      </c>
      <c r="O151" s="13">
        <f t="shared" si="32"/>
        <v>5.7340048794190506E-3</v>
      </c>
    </row>
    <row r="152" spans="1:15" x14ac:dyDescent="0.35">
      <c r="A152" s="2">
        <v>45153</v>
      </c>
      <c r="B152">
        <v>175.5585632324219</v>
      </c>
      <c r="C152">
        <v>538.09637451171875</v>
      </c>
      <c r="D152">
        <v>160.19859313964841</v>
      </c>
      <c r="E152">
        <v>142.55877685546881</v>
      </c>
      <c r="F152">
        <v>62.519214630126953</v>
      </c>
      <c r="G152">
        <v>146.2196350097656</v>
      </c>
      <c r="H152">
        <v>4437.85986328125</v>
      </c>
      <c r="I152" s="13">
        <f t="shared" si="26"/>
        <v>-1.1263438701970458E-2</v>
      </c>
      <c r="J152" s="13">
        <f t="shared" si="27"/>
        <v>-5.2861503973050056E-3</v>
      </c>
      <c r="K152" s="13">
        <f t="shared" si="28"/>
        <v>-2.8872129338315218E-3</v>
      </c>
      <c r="L152" s="13">
        <f t="shared" si="29"/>
        <v>-2.5786768508257816E-2</v>
      </c>
      <c r="M152" s="13">
        <f t="shared" si="30"/>
        <v>-1.7806732209447274E-2</v>
      </c>
      <c r="N152" s="13">
        <f t="shared" si="31"/>
        <v>-6.4395430837500545E-3</v>
      </c>
      <c r="O152" s="13">
        <f t="shared" si="32"/>
        <v>-1.1618139396096483E-2</v>
      </c>
    </row>
    <row r="153" spans="1:15" x14ac:dyDescent="0.35">
      <c r="A153" s="2">
        <v>45154</v>
      </c>
      <c r="B153">
        <v>174.6879577636719</v>
      </c>
      <c r="C153">
        <v>538.61669921875</v>
      </c>
      <c r="D153">
        <v>159.68916320800781</v>
      </c>
      <c r="E153">
        <v>141.95387268066409</v>
      </c>
      <c r="F153">
        <v>62.714157104492188</v>
      </c>
      <c r="G153">
        <v>144.72711181640619</v>
      </c>
      <c r="H153">
        <v>4404.330078125</v>
      </c>
      <c r="I153" s="13">
        <f t="shared" si="26"/>
        <v>-4.971397056807071E-3</v>
      </c>
      <c r="J153" s="13">
        <f t="shared" si="27"/>
        <v>9.6650585978846524E-4</v>
      </c>
      <c r="K153" s="13">
        <f t="shared" si="28"/>
        <v>-3.1850569594788158E-3</v>
      </c>
      <c r="L153" s="13">
        <f t="shared" si="29"/>
        <v>-4.2522192756534408E-3</v>
      </c>
      <c r="M153" s="13">
        <f t="shared" si="30"/>
        <v>3.1132697159050446E-3</v>
      </c>
      <c r="N153" s="13">
        <f t="shared" si="31"/>
        <v>-1.0259858906271097E-2</v>
      </c>
      <c r="O153" s="13">
        <f t="shared" si="32"/>
        <v>-7.5840817926245271E-3</v>
      </c>
    </row>
    <row r="154" spans="1:15" x14ac:dyDescent="0.35">
      <c r="A154" s="2">
        <v>45155</v>
      </c>
      <c r="B154">
        <v>172.14532470703119</v>
      </c>
      <c r="C154">
        <v>527.11309814453125</v>
      </c>
      <c r="D154">
        <v>161.18977355957031</v>
      </c>
      <c r="E154">
        <v>140.47943115234381</v>
      </c>
      <c r="F154">
        <v>62.667743682861328</v>
      </c>
      <c r="G154">
        <v>143.68803405761719</v>
      </c>
      <c r="H154">
        <v>4370.35986328125</v>
      </c>
      <c r="I154" s="13">
        <f t="shared" si="26"/>
        <v>-1.4662252653412597E-2</v>
      </c>
      <c r="J154" s="13">
        <f t="shared" si="27"/>
        <v>-2.1589051757651051E-2</v>
      </c>
      <c r="K154" s="13">
        <f t="shared" si="28"/>
        <v>9.3531928670042615E-3</v>
      </c>
      <c r="L154" s="13">
        <f t="shared" si="29"/>
        <v>-1.044108398778917E-2</v>
      </c>
      <c r="M154" s="13">
        <f t="shared" si="30"/>
        <v>-7.4035284932548408E-4</v>
      </c>
      <c r="N154" s="13">
        <f t="shared" si="31"/>
        <v>-7.2054624681090725E-3</v>
      </c>
      <c r="O154" s="13">
        <f t="shared" si="32"/>
        <v>-7.7428113775290805E-3</v>
      </c>
    </row>
    <row r="155" spans="1:15" x14ac:dyDescent="0.35">
      <c r="A155" s="2">
        <v>45156</v>
      </c>
      <c r="B155">
        <v>172.6300964355469</v>
      </c>
      <c r="C155">
        <v>525.0224609375</v>
      </c>
      <c r="D155">
        <v>159.78175354003909</v>
      </c>
      <c r="E155">
        <v>140.80078125</v>
      </c>
      <c r="F155">
        <v>62.964797973632813</v>
      </c>
      <c r="G155">
        <v>144.09419250488281</v>
      </c>
      <c r="H155">
        <v>4369.7099609375</v>
      </c>
      <c r="I155" s="13">
        <f t="shared" si="26"/>
        <v>2.8121032895597154E-3</v>
      </c>
      <c r="J155" s="13">
        <f t="shared" si="27"/>
        <v>-3.9740885867854793E-3</v>
      </c>
      <c r="K155" s="13">
        <f t="shared" si="28"/>
        <v>-8.7735448942483692E-3</v>
      </c>
      <c r="L155" s="13">
        <f t="shared" si="29"/>
        <v>2.2849117946898956E-3</v>
      </c>
      <c r="M155" s="13">
        <f t="shared" si="30"/>
        <v>4.728947459608601E-3</v>
      </c>
      <c r="N155" s="13">
        <f t="shared" si="31"/>
        <v>2.822681037604823E-3</v>
      </c>
      <c r="O155" s="13">
        <f t="shared" si="32"/>
        <v>-1.4871788395720285E-4</v>
      </c>
    </row>
    <row r="156" spans="1:15" x14ac:dyDescent="0.35">
      <c r="A156" s="2">
        <v>45159</v>
      </c>
      <c r="B156">
        <v>173.96571350097659</v>
      </c>
      <c r="C156">
        <v>523.35565185546875</v>
      </c>
      <c r="D156">
        <v>155.02049255371091</v>
      </c>
      <c r="E156">
        <v>141.2828063964844</v>
      </c>
      <c r="F156">
        <v>62.268592834472663</v>
      </c>
      <c r="G156">
        <v>143.3668518066406</v>
      </c>
      <c r="H156">
        <v>4399.77001953125</v>
      </c>
      <c r="I156" s="13">
        <f t="shared" si="26"/>
        <v>7.7070964989356264E-3</v>
      </c>
      <c r="J156" s="13">
        <f t="shared" si="27"/>
        <v>-3.1797887920874779E-3</v>
      </c>
      <c r="K156" s="13">
        <f t="shared" si="28"/>
        <v>-3.0251525504939269E-2</v>
      </c>
      <c r="L156" s="13">
        <f t="shared" si="29"/>
        <v>3.4176083740216617E-3</v>
      </c>
      <c r="M156" s="13">
        <f t="shared" si="30"/>
        <v>-1.11186370817472E-2</v>
      </c>
      <c r="N156" s="13">
        <f t="shared" si="31"/>
        <v>-5.060457858857231E-3</v>
      </c>
      <c r="O156" s="13">
        <f t="shared" si="32"/>
        <v>6.8556348597997854E-3</v>
      </c>
    </row>
    <row r="157" spans="1:15" x14ac:dyDescent="0.35">
      <c r="A157" s="2">
        <v>45160</v>
      </c>
      <c r="B157">
        <v>175.3409118652344</v>
      </c>
      <c r="C157">
        <v>518.692626953125</v>
      </c>
      <c r="D157">
        <v>153.78843688964841</v>
      </c>
      <c r="E157">
        <v>138.3528137207031</v>
      </c>
      <c r="F157">
        <v>62.677021026611328</v>
      </c>
      <c r="G157">
        <v>143.42352294921881</v>
      </c>
      <c r="H157">
        <v>4387.5498046875</v>
      </c>
      <c r="I157" s="13">
        <f t="shared" si="26"/>
        <v>7.8739157485719011E-3</v>
      </c>
      <c r="J157" s="13">
        <f t="shared" si="27"/>
        <v>-8.9497888386276311E-3</v>
      </c>
      <c r="K157" s="13">
        <f t="shared" si="28"/>
        <v>-7.97944673115265E-3</v>
      </c>
      <c r="L157" s="13">
        <f t="shared" si="29"/>
        <v>-2.0956557007675666E-2</v>
      </c>
      <c r="M157" s="13">
        <f t="shared" si="30"/>
        <v>6.5377188404063214E-3</v>
      </c>
      <c r="N157" s="13">
        <f t="shared" si="31"/>
        <v>3.9520952098962356E-4</v>
      </c>
      <c r="O157" s="13">
        <f t="shared" si="32"/>
        <v>-2.7813310465456837E-3</v>
      </c>
    </row>
    <row r="158" spans="1:15" x14ac:dyDescent="0.35">
      <c r="A158" s="2">
        <v>45161</v>
      </c>
      <c r="B158">
        <v>179.1894226074219</v>
      </c>
      <c r="C158">
        <v>521.09161376953125</v>
      </c>
      <c r="D158">
        <v>152.40826416015619</v>
      </c>
      <c r="E158">
        <v>139.28849792480469</v>
      </c>
      <c r="F158">
        <v>63.020492553710938</v>
      </c>
      <c r="G158">
        <v>144.76487731933591</v>
      </c>
      <c r="H158">
        <v>4436.009765625</v>
      </c>
      <c r="I158" s="13">
        <f t="shared" si="26"/>
        <v>2.1711326469058628E-2</v>
      </c>
      <c r="J158" s="13">
        <f t="shared" si="27"/>
        <v>4.6144016791025396E-3</v>
      </c>
      <c r="K158" s="13">
        <f t="shared" si="28"/>
        <v>-9.0150029180543073E-3</v>
      </c>
      <c r="L158" s="13">
        <f t="shared" si="29"/>
        <v>6.7402631185338787E-3</v>
      </c>
      <c r="M158" s="13">
        <f t="shared" si="30"/>
        <v>5.4650624691804069E-3</v>
      </c>
      <c r="N158" s="13">
        <f t="shared" si="31"/>
        <v>9.3089385642020888E-3</v>
      </c>
      <c r="O158" s="13">
        <f t="shared" si="32"/>
        <v>1.0984330710791359E-2</v>
      </c>
    </row>
    <row r="159" spans="1:15" x14ac:dyDescent="0.35">
      <c r="A159" s="2">
        <v>45162</v>
      </c>
      <c r="B159">
        <v>174.49995422363281</v>
      </c>
      <c r="C159">
        <v>513.24395751953125</v>
      </c>
      <c r="D159">
        <v>152.9269714355469</v>
      </c>
      <c r="E159">
        <v>139.1561584472656</v>
      </c>
      <c r="F159">
        <v>62.398544311523438</v>
      </c>
      <c r="G159">
        <v>144.09419250488281</v>
      </c>
      <c r="H159">
        <v>4376.31005859375</v>
      </c>
      <c r="I159" s="13">
        <f t="shared" si="26"/>
        <v>-2.6518993856827478E-2</v>
      </c>
      <c r="J159" s="13">
        <f t="shared" si="27"/>
        <v>-1.5174585610256105E-2</v>
      </c>
      <c r="K159" s="13">
        <f t="shared" si="28"/>
        <v>3.3976280095526267E-3</v>
      </c>
      <c r="L159" s="13">
        <f t="shared" si="29"/>
        <v>-9.5056223544167609E-4</v>
      </c>
      <c r="M159" s="13">
        <f t="shared" si="30"/>
        <v>-9.9180053679392855E-3</v>
      </c>
      <c r="N159" s="13">
        <f t="shared" si="31"/>
        <v>-4.6436902263343773E-3</v>
      </c>
      <c r="O159" s="13">
        <f t="shared" si="32"/>
        <v>-1.3549353984008011E-2</v>
      </c>
    </row>
    <row r="160" spans="1:15" x14ac:dyDescent="0.35">
      <c r="A160" s="2">
        <v>45163</v>
      </c>
      <c r="B160">
        <v>176.7062072753906</v>
      </c>
      <c r="C160">
        <v>515.46405029296875</v>
      </c>
      <c r="D160">
        <v>155.11962890625</v>
      </c>
      <c r="E160">
        <v>138.9860534667969</v>
      </c>
      <c r="F160">
        <v>63.085472106933587</v>
      </c>
      <c r="G160">
        <v>145.038818359375</v>
      </c>
      <c r="H160">
        <v>4405.7099609375</v>
      </c>
      <c r="I160" s="13">
        <f t="shared" si="26"/>
        <v>1.2564028287935696E-2</v>
      </c>
      <c r="J160" s="13">
        <f t="shared" si="27"/>
        <v>4.3162806225312857E-3</v>
      </c>
      <c r="K160" s="13">
        <f t="shared" si="28"/>
        <v>1.4236122065854468E-2</v>
      </c>
      <c r="L160" s="13">
        <f t="shared" si="29"/>
        <v>-1.2231512829780904E-3</v>
      </c>
      <c r="M160" s="13">
        <f t="shared" si="30"/>
        <v>1.0948560253244526E-2</v>
      </c>
      <c r="N160" s="13">
        <f t="shared" si="31"/>
        <v>6.534219061645339E-3</v>
      </c>
      <c r="O160" s="13">
        <f t="shared" si="32"/>
        <v>6.6955010602951564E-3</v>
      </c>
    </row>
    <row r="161" spans="1:15" x14ac:dyDescent="0.35">
      <c r="A161" s="2">
        <v>45166</v>
      </c>
      <c r="B161">
        <v>178.26936340332031</v>
      </c>
      <c r="C161">
        <v>517.56829833984375</v>
      </c>
      <c r="D161">
        <v>153.2908630371094</v>
      </c>
      <c r="E161">
        <v>139.46809387207031</v>
      </c>
      <c r="F161">
        <v>63.141159057617188</v>
      </c>
      <c r="G161">
        <v>145.26557922363281</v>
      </c>
      <c r="H161">
        <v>4433.31005859375</v>
      </c>
      <c r="I161" s="13">
        <f t="shared" si="26"/>
        <v>8.807176386560589E-3</v>
      </c>
      <c r="J161" s="13">
        <f t="shared" si="27"/>
        <v>4.0739304243348207E-3</v>
      </c>
      <c r="K161" s="13">
        <f t="shared" si="28"/>
        <v>-1.1859436374245087E-2</v>
      </c>
      <c r="L161" s="13">
        <f t="shared" si="29"/>
        <v>3.4622640130104734E-3</v>
      </c>
      <c r="M161" s="13">
        <f t="shared" si="30"/>
        <v>8.8233289255341572E-4</v>
      </c>
      <c r="N161" s="13">
        <f t="shared" si="31"/>
        <v>1.5622285591560551E-3</v>
      </c>
      <c r="O161" s="13">
        <f t="shared" si="32"/>
        <v>6.2450785941964614E-3</v>
      </c>
    </row>
    <row r="162" spans="1:15" x14ac:dyDescent="0.35">
      <c r="A162" s="2">
        <v>45167</v>
      </c>
      <c r="B162">
        <v>182.157470703125</v>
      </c>
      <c r="C162">
        <v>523.9197998046875</v>
      </c>
      <c r="D162">
        <v>153.30952453613281</v>
      </c>
      <c r="E162">
        <v>140.602294921875</v>
      </c>
      <c r="F162">
        <v>63.101905822753913</v>
      </c>
      <c r="G162">
        <v>145.3505554199219</v>
      </c>
      <c r="H162">
        <v>4497.6298828125</v>
      </c>
      <c r="I162" s="13">
        <f t="shared" si="26"/>
        <v>2.1575852641936132E-2</v>
      </c>
      <c r="J162" s="13">
        <f t="shared" si="27"/>
        <v>1.2197124899703198E-2</v>
      </c>
      <c r="K162" s="13">
        <f t="shared" si="28"/>
        <v>1.2173173813746478E-4</v>
      </c>
      <c r="L162" s="13">
        <f t="shared" si="29"/>
        <v>8.0994442509642068E-3</v>
      </c>
      <c r="M162" s="13">
        <f t="shared" si="30"/>
        <v>-6.2186760382396285E-4</v>
      </c>
      <c r="N162" s="13">
        <f t="shared" si="31"/>
        <v>5.8480028175353198E-4</v>
      </c>
      <c r="O162" s="13">
        <f t="shared" si="32"/>
        <v>1.4404068712056505E-2</v>
      </c>
    </row>
    <row r="163" spans="1:15" x14ac:dyDescent="0.35">
      <c r="A163" s="2">
        <v>45168</v>
      </c>
      <c r="B163">
        <v>185.64982604980469</v>
      </c>
      <c r="C163">
        <v>523.4276123046875</v>
      </c>
      <c r="D163">
        <v>152.7683410644531</v>
      </c>
      <c r="E163">
        <v>140.03517150878909</v>
      </c>
      <c r="F163">
        <v>62.709320068359382</v>
      </c>
      <c r="G163">
        <v>145.51115417480469</v>
      </c>
      <c r="H163">
        <v>4514.8701171875</v>
      </c>
      <c r="I163" s="13">
        <f t="shared" si="26"/>
        <v>1.8990707013285025E-2</v>
      </c>
      <c r="J163" s="13">
        <f t="shared" si="27"/>
        <v>-9.3987444956868951E-4</v>
      </c>
      <c r="K163" s="13">
        <f t="shared" si="28"/>
        <v>-3.5362507156737636E-3</v>
      </c>
      <c r="L163" s="13">
        <f t="shared" si="29"/>
        <v>-4.0416854691996077E-3</v>
      </c>
      <c r="M163" s="13">
        <f t="shared" si="30"/>
        <v>-6.2408902836581055E-3</v>
      </c>
      <c r="N163" s="13">
        <f t="shared" si="31"/>
        <v>1.1042964123879617E-3</v>
      </c>
      <c r="O163" s="13">
        <f t="shared" si="32"/>
        <v>3.825854181192944E-3</v>
      </c>
    </row>
    <row r="164" spans="1:15" x14ac:dyDescent="0.35">
      <c r="A164" s="2">
        <v>45169</v>
      </c>
      <c r="B164">
        <v>185.86749267578119</v>
      </c>
      <c r="C164">
        <v>530.20367431640625</v>
      </c>
      <c r="D164">
        <v>150.85557556152341</v>
      </c>
      <c r="E164">
        <v>138.30552673339841</v>
      </c>
      <c r="F164">
        <v>62.438266754150391</v>
      </c>
      <c r="G164">
        <v>145.7945556640625</v>
      </c>
      <c r="H164">
        <v>4507.66015625</v>
      </c>
      <c r="I164" s="13">
        <f t="shared" si="26"/>
        <v>1.171771219865104E-3</v>
      </c>
      <c r="J164" s="13">
        <f t="shared" si="27"/>
        <v>1.2862479538565249E-2</v>
      </c>
      <c r="K164" s="13">
        <f t="shared" si="28"/>
        <v>-1.2599737391911763E-2</v>
      </c>
      <c r="L164" s="13">
        <f t="shared" si="29"/>
        <v>-1.2428416329090265E-2</v>
      </c>
      <c r="M164" s="13">
        <f t="shared" si="30"/>
        <v>-4.3317453404948195E-3</v>
      </c>
      <c r="N164" s="13">
        <f t="shared" si="31"/>
        <v>1.9457330844963542E-3</v>
      </c>
      <c r="O164" s="13">
        <f t="shared" si="32"/>
        <v>-1.5982129743398576E-3</v>
      </c>
    </row>
    <row r="165" spans="1:15" x14ac:dyDescent="0.35">
      <c r="A165" s="2">
        <v>45170</v>
      </c>
      <c r="B165">
        <v>187.44056701660159</v>
      </c>
      <c r="C165">
        <v>525.348388671875</v>
      </c>
      <c r="D165">
        <v>149.73591613769531</v>
      </c>
      <c r="E165">
        <v>138.7686767578125</v>
      </c>
      <c r="F165">
        <v>62.503700256347663</v>
      </c>
      <c r="G165">
        <v>145.95513916015619</v>
      </c>
      <c r="H165">
        <v>4515.77001953125</v>
      </c>
      <c r="I165" s="13">
        <f t="shared" si="26"/>
        <v>8.427804388246073E-3</v>
      </c>
      <c r="J165" s="13">
        <f t="shared" si="27"/>
        <v>-9.1995839098413489E-3</v>
      </c>
      <c r="K165" s="13">
        <f t="shared" si="28"/>
        <v>-7.4497424780323625E-3</v>
      </c>
      <c r="L165" s="13">
        <f t="shared" si="29"/>
        <v>3.3431510400511572E-3</v>
      </c>
      <c r="M165" s="13">
        <f t="shared" si="30"/>
        <v>1.0474224113023345E-3</v>
      </c>
      <c r="N165" s="13">
        <f t="shared" si="31"/>
        <v>1.1008307131705195E-3</v>
      </c>
      <c r="O165" s="13">
        <f t="shared" si="32"/>
        <v>1.7975127655185409E-3</v>
      </c>
    </row>
    <row r="166" spans="1:15" x14ac:dyDescent="0.35">
      <c r="A166" s="2">
        <v>45174</v>
      </c>
      <c r="B166">
        <v>187.67799377441409</v>
      </c>
      <c r="C166">
        <v>525.81182861328125</v>
      </c>
      <c r="D166">
        <v>149.92254638671881</v>
      </c>
      <c r="E166">
        <v>137.23748779296881</v>
      </c>
      <c r="F166">
        <v>61.877445220947273</v>
      </c>
      <c r="G166">
        <v>143.999755859375</v>
      </c>
      <c r="H166">
        <v>4496.830078125</v>
      </c>
      <c r="I166" s="13">
        <f t="shared" si="26"/>
        <v>1.2658759887382589E-3</v>
      </c>
      <c r="J166" s="13">
        <f t="shared" si="27"/>
        <v>8.817684760385661E-4</v>
      </c>
      <c r="K166" s="13">
        <f t="shared" si="28"/>
        <v>1.2456199072908868E-3</v>
      </c>
      <c r="L166" s="13">
        <f t="shared" si="29"/>
        <v>-1.1095438218684743E-2</v>
      </c>
      <c r="M166" s="13">
        <f t="shared" si="30"/>
        <v>-1.0070020261034335E-2</v>
      </c>
      <c r="N166" s="13">
        <f t="shared" si="31"/>
        <v>-1.3487704312574976E-2</v>
      </c>
      <c r="O166" s="13">
        <f t="shared" si="32"/>
        <v>-4.2029978213812052E-3</v>
      </c>
    </row>
    <row r="167" spans="1:15" x14ac:dyDescent="0.35">
      <c r="A167" s="2">
        <v>45175</v>
      </c>
      <c r="B167">
        <v>180.9603576660156</v>
      </c>
      <c r="C167">
        <v>527.7037353515625</v>
      </c>
      <c r="D167">
        <v>147.4313049316406</v>
      </c>
      <c r="E167">
        <v>137.0106506347656</v>
      </c>
      <c r="F167">
        <v>61.400749206542969</v>
      </c>
      <c r="G167">
        <v>143.71635437011719</v>
      </c>
      <c r="H167">
        <v>4465.47998046875</v>
      </c>
      <c r="I167" s="13">
        <f t="shared" si="26"/>
        <v>-3.6449706382277319E-2</v>
      </c>
      <c r="J167" s="13">
        <f t="shared" si="27"/>
        <v>3.5916104834898465E-3</v>
      </c>
      <c r="K167" s="13">
        <f t="shared" si="28"/>
        <v>-1.6756465298681258E-2</v>
      </c>
      <c r="L167" s="13">
        <f t="shared" si="29"/>
        <v>-1.654247946641905E-3</v>
      </c>
      <c r="M167" s="13">
        <f t="shared" si="30"/>
        <v>-7.7337016907777691E-3</v>
      </c>
      <c r="N167" s="13">
        <f t="shared" si="31"/>
        <v>-1.970008427313551E-3</v>
      </c>
      <c r="O167" s="13">
        <f t="shared" si="32"/>
        <v>-6.9960144914322613E-3</v>
      </c>
    </row>
    <row r="168" spans="1:15" x14ac:dyDescent="0.35">
      <c r="A168" s="2">
        <v>45176</v>
      </c>
      <c r="B168">
        <v>175.66737365722659</v>
      </c>
      <c r="C168">
        <v>529.5665283203125</v>
      </c>
      <c r="D168">
        <v>149.31605529785159</v>
      </c>
      <c r="E168">
        <v>135.83868408203119</v>
      </c>
      <c r="F168">
        <v>61.924175262451172</v>
      </c>
      <c r="G168">
        <v>145.0860595703125</v>
      </c>
      <c r="H168">
        <v>4451.14013671875</v>
      </c>
      <c r="I168" s="13">
        <f t="shared" si="26"/>
        <v>-2.9685704378638676E-2</v>
      </c>
      <c r="J168" s="13">
        <f t="shared" si="27"/>
        <v>3.5237818754330365E-3</v>
      </c>
      <c r="K168" s="13">
        <f t="shared" si="28"/>
        <v>1.2702897905228029E-2</v>
      </c>
      <c r="L168" s="13">
        <f t="shared" si="29"/>
        <v>-8.5906294140697722E-3</v>
      </c>
      <c r="M168" s="13">
        <f t="shared" si="30"/>
        <v>8.4886198177090803E-3</v>
      </c>
      <c r="N168" s="13">
        <f t="shared" si="31"/>
        <v>9.4854849124090777E-3</v>
      </c>
      <c r="O168" s="13">
        <f t="shared" si="32"/>
        <v>-3.2164331157329669E-3</v>
      </c>
    </row>
    <row r="169" spans="1:15" x14ac:dyDescent="0.35">
      <c r="A169" s="2">
        <v>45177</v>
      </c>
      <c r="B169">
        <v>176.28077697753909</v>
      </c>
      <c r="C169">
        <v>532.04742431640625</v>
      </c>
      <c r="D169">
        <v>149.8105773925781</v>
      </c>
      <c r="E169">
        <v>135.94267272949219</v>
      </c>
      <c r="F169">
        <v>62.466300964355469</v>
      </c>
      <c r="G169">
        <v>144.46260070800781</v>
      </c>
      <c r="H169">
        <v>4457.490234375</v>
      </c>
      <c r="I169" s="13">
        <f t="shared" si="26"/>
        <v>3.4857631176908655E-3</v>
      </c>
      <c r="J169" s="13">
        <f t="shared" si="27"/>
        <v>4.6738280071133209E-3</v>
      </c>
      <c r="K169" s="13">
        <f t="shared" si="28"/>
        <v>3.3064427651353476E-3</v>
      </c>
      <c r="L169" s="13">
        <f t="shared" si="29"/>
        <v>7.6523757004906881E-4</v>
      </c>
      <c r="M169" s="13">
        <f t="shared" si="30"/>
        <v>8.7165698024494528E-3</v>
      </c>
      <c r="N169" s="13">
        <f t="shared" si="31"/>
        <v>-4.306425215190526E-3</v>
      </c>
      <c r="O169" s="13">
        <f t="shared" si="32"/>
        <v>1.4256060622570594E-3</v>
      </c>
    </row>
    <row r="170" spans="1:15" x14ac:dyDescent="0.35">
      <c r="A170" s="2">
        <v>45180</v>
      </c>
      <c r="B170">
        <v>177.44819641113281</v>
      </c>
      <c r="C170">
        <v>539.373779296875</v>
      </c>
      <c r="D170">
        <v>151.7699890136719</v>
      </c>
      <c r="E170">
        <v>136.53810119628909</v>
      </c>
      <c r="F170">
        <v>63.120594024658203</v>
      </c>
      <c r="G170">
        <v>146.1818542480469</v>
      </c>
      <c r="H170">
        <v>4487.4599609375</v>
      </c>
      <c r="I170" s="13">
        <f t="shared" si="26"/>
        <v>6.6006675166961591E-3</v>
      </c>
      <c r="J170" s="13">
        <f t="shared" si="27"/>
        <v>1.3676169833872289E-2</v>
      </c>
      <c r="K170" s="13">
        <f t="shared" si="28"/>
        <v>1.2994465896282351E-2</v>
      </c>
      <c r="L170" s="13">
        <f t="shared" si="29"/>
        <v>4.3704324967616002E-3</v>
      </c>
      <c r="M170" s="13">
        <f t="shared" si="30"/>
        <v>1.041986077060798E-2</v>
      </c>
      <c r="N170" s="13">
        <f t="shared" si="31"/>
        <v>1.1830768238763294E-2</v>
      </c>
      <c r="O170" s="13">
        <f t="shared" si="32"/>
        <v>6.7009514981355173E-3</v>
      </c>
    </row>
    <row r="171" spans="1:15" x14ac:dyDescent="0.35">
      <c r="A171" s="2">
        <v>45181</v>
      </c>
      <c r="B171">
        <v>174.4208068847656</v>
      </c>
      <c r="C171">
        <v>539.3834228515625</v>
      </c>
      <c r="D171">
        <v>152.62840270996091</v>
      </c>
      <c r="E171">
        <v>138.3149719238281</v>
      </c>
      <c r="F171">
        <v>63.307552337646477</v>
      </c>
      <c r="G171">
        <v>143.6124572753906</v>
      </c>
      <c r="H171">
        <v>4461.89990234375</v>
      </c>
      <c r="I171" s="13">
        <f t="shared" si="26"/>
        <v>-1.7207905223280803E-2</v>
      </c>
      <c r="J171" s="13">
        <f t="shared" si="27"/>
        <v>1.787900867505763E-5</v>
      </c>
      <c r="K171" s="13">
        <f t="shared" si="28"/>
        <v>5.6400821763637797E-3</v>
      </c>
      <c r="L171" s="13">
        <f t="shared" si="29"/>
        <v>1.2929784353285977E-2</v>
      </c>
      <c r="M171" s="13">
        <f t="shared" si="30"/>
        <v>2.9575447342338823E-3</v>
      </c>
      <c r="N171" s="13">
        <f t="shared" si="31"/>
        <v>-1.7733020982024245E-2</v>
      </c>
      <c r="O171" s="13">
        <f t="shared" si="32"/>
        <v>-5.7121690230039967E-3</v>
      </c>
    </row>
    <row r="172" spans="1:15" x14ac:dyDescent="0.35">
      <c r="A172" s="2">
        <v>45182</v>
      </c>
      <c r="B172">
        <v>172.35307312011719</v>
      </c>
      <c r="C172">
        <v>540.31976318359375</v>
      </c>
      <c r="D172">
        <v>153.0109558105469</v>
      </c>
      <c r="E172">
        <v>138.38114929199219</v>
      </c>
      <c r="F172">
        <v>63.961837768554688</v>
      </c>
      <c r="G172">
        <v>144.6137390136719</v>
      </c>
      <c r="H172">
        <v>4467.43994140625</v>
      </c>
      <c r="I172" s="13">
        <f t="shared" si="26"/>
        <v>-1.1925686392507228E-2</v>
      </c>
      <c r="J172" s="13">
        <f t="shared" si="27"/>
        <v>1.7344406849463224E-3</v>
      </c>
      <c r="K172" s="13">
        <f t="shared" si="28"/>
        <v>2.5032986733797336E-3</v>
      </c>
      <c r="L172" s="13">
        <f t="shared" si="29"/>
        <v>4.7833969724708682E-4</v>
      </c>
      <c r="M172" s="13">
        <f t="shared" si="30"/>
        <v>1.0281988380202698E-2</v>
      </c>
      <c r="N172" s="13">
        <f t="shared" si="31"/>
        <v>6.9479164567352062E-3</v>
      </c>
      <c r="O172" s="13">
        <f t="shared" si="32"/>
        <v>1.2408621175346041E-3</v>
      </c>
    </row>
    <row r="173" spans="1:15" x14ac:dyDescent="0.35">
      <c r="A173" s="2">
        <v>45183</v>
      </c>
      <c r="B173">
        <v>173.86680603027341</v>
      </c>
      <c r="C173">
        <v>545.15576171875</v>
      </c>
      <c r="D173">
        <v>152.7776794433594</v>
      </c>
      <c r="E173">
        <v>141.06541442871091</v>
      </c>
      <c r="F173">
        <v>64.756324768066406</v>
      </c>
      <c r="G173">
        <v>146.20072937011719</v>
      </c>
      <c r="H173">
        <v>4505.10009765625</v>
      </c>
      <c r="I173" s="13">
        <f t="shared" si="26"/>
        <v>8.7444000005529113E-3</v>
      </c>
      <c r="J173" s="13">
        <f t="shared" si="27"/>
        <v>8.9104368006464301E-3</v>
      </c>
      <c r="K173" s="13">
        <f t="shared" si="28"/>
        <v>-1.5257363129072489E-3</v>
      </c>
      <c r="L173" s="13">
        <f t="shared" si="29"/>
        <v>1.9211885544192911E-2</v>
      </c>
      <c r="M173" s="13">
        <f t="shared" si="30"/>
        <v>1.2344754980166473E-2</v>
      </c>
      <c r="N173" s="13">
        <f t="shared" si="31"/>
        <v>1.0914217017988899E-2</v>
      </c>
      <c r="O173" s="13">
        <f t="shared" si="32"/>
        <v>8.3945855336662496E-3</v>
      </c>
    </row>
    <row r="174" spans="1:15" x14ac:dyDescent="0.35">
      <c r="A174" s="2">
        <v>45184</v>
      </c>
      <c r="B174">
        <v>173.14457702636719</v>
      </c>
      <c r="C174">
        <v>537.03790283203125</v>
      </c>
      <c r="D174">
        <v>150.64100646972659</v>
      </c>
      <c r="E174">
        <v>140.6495666503906</v>
      </c>
      <c r="F174">
        <v>64.158111572265625</v>
      </c>
      <c r="G174">
        <v>144.97273254394531</v>
      </c>
      <c r="H174">
        <v>4450.31982421875</v>
      </c>
      <c r="I174" s="13">
        <f t="shared" si="26"/>
        <v>-4.1625726532849962E-3</v>
      </c>
      <c r="J174" s="13">
        <f t="shared" si="27"/>
        <v>-1.5002880575608106E-2</v>
      </c>
      <c r="K174" s="13">
        <f t="shared" si="28"/>
        <v>-1.4084223502867916E-2</v>
      </c>
      <c r="L174" s="13">
        <f t="shared" si="29"/>
        <v>-2.9522610318139216E-3</v>
      </c>
      <c r="M174" s="13">
        <f t="shared" si="30"/>
        <v>-9.2808456004832614E-3</v>
      </c>
      <c r="N174" s="13">
        <f t="shared" si="31"/>
        <v>-8.4348628393025333E-3</v>
      </c>
      <c r="O174" s="13">
        <f t="shared" si="32"/>
        <v>-1.2234145842493929E-2</v>
      </c>
    </row>
    <row r="175" spans="1:15" x14ac:dyDescent="0.35">
      <c r="A175" s="2">
        <v>45187</v>
      </c>
      <c r="B175">
        <v>176.0730285644531</v>
      </c>
      <c r="C175">
        <v>543.17694091796875</v>
      </c>
      <c r="D175">
        <v>151.59269714355469</v>
      </c>
      <c r="E175">
        <v>140.94255065917969</v>
      </c>
      <c r="F175">
        <v>63.78424072265625</v>
      </c>
      <c r="G175">
        <v>145.5205993652344</v>
      </c>
      <c r="H175">
        <v>4453.52978515625</v>
      </c>
      <c r="I175" s="13">
        <f t="shared" si="26"/>
        <v>1.677189315650774E-2</v>
      </c>
      <c r="J175" s="13">
        <f t="shared" si="27"/>
        <v>1.1366450324848766E-2</v>
      </c>
      <c r="K175" s="13">
        <f t="shared" si="28"/>
        <v>6.2977345537692624E-3</v>
      </c>
      <c r="L175" s="13">
        <f t="shared" si="29"/>
        <v>2.0809113359525383E-3</v>
      </c>
      <c r="M175" s="13">
        <f t="shared" si="30"/>
        <v>-5.8443808025748127E-3</v>
      </c>
      <c r="N175" s="13">
        <f t="shared" si="31"/>
        <v>3.7719796682970049E-3</v>
      </c>
      <c r="O175" s="13">
        <f t="shared" si="32"/>
        <v>7.2102769417551878E-4</v>
      </c>
    </row>
    <row r="176" spans="1:15" x14ac:dyDescent="0.35">
      <c r="A176" s="2">
        <v>45188</v>
      </c>
      <c r="B176">
        <v>177.16130065917969</v>
      </c>
      <c r="C176">
        <v>544.75030517578125</v>
      </c>
      <c r="D176">
        <v>151.3407897949219</v>
      </c>
      <c r="E176">
        <v>140.762939453125</v>
      </c>
      <c r="F176">
        <v>63.176681518554688</v>
      </c>
      <c r="G176">
        <v>145.09550476074219</v>
      </c>
      <c r="H176">
        <v>4443.9501953125</v>
      </c>
      <c r="I176" s="13">
        <f t="shared" si="26"/>
        <v>6.1617767466895373E-3</v>
      </c>
      <c r="J176" s="13">
        <f t="shared" si="27"/>
        <v>2.8924091392374335E-3</v>
      </c>
      <c r="K176" s="13">
        <f t="shared" si="28"/>
        <v>-1.6631202396447263E-3</v>
      </c>
      <c r="L176" s="13">
        <f t="shared" si="29"/>
        <v>-1.2751702518916871E-3</v>
      </c>
      <c r="M176" s="13">
        <f t="shared" si="30"/>
        <v>-9.5708794668313557E-3</v>
      </c>
      <c r="N176" s="13">
        <f t="shared" si="31"/>
        <v>-2.9254738580163381E-3</v>
      </c>
      <c r="O176" s="13">
        <f t="shared" si="32"/>
        <v>-2.1533273615331264E-3</v>
      </c>
    </row>
    <row r="177" spans="1:15" x14ac:dyDescent="0.35">
      <c r="A177" s="2">
        <v>45189</v>
      </c>
      <c r="B177">
        <v>173.61946105957031</v>
      </c>
      <c r="C177">
        <v>544.2484130859375</v>
      </c>
      <c r="D177">
        <v>152.00323486328119</v>
      </c>
      <c r="E177">
        <v>140.1675109863281</v>
      </c>
      <c r="F177">
        <v>62.952350616455078</v>
      </c>
      <c r="G177">
        <v>144.97273254394531</v>
      </c>
      <c r="H177">
        <v>4402.2001953125</v>
      </c>
      <c r="I177" s="13">
        <f t="shared" si="26"/>
        <v>-2.0194721927510227E-2</v>
      </c>
      <c r="J177" s="13">
        <f t="shared" si="27"/>
        <v>-9.2174970817194104E-4</v>
      </c>
      <c r="K177" s="13">
        <f t="shared" si="28"/>
        <v>4.3676226830529821E-3</v>
      </c>
      <c r="L177" s="13">
        <f t="shared" si="29"/>
        <v>-4.2389805552765746E-3</v>
      </c>
      <c r="M177" s="13">
        <f t="shared" si="30"/>
        <v>-3.5571689538710675E-3</v>
      </c>
      <c r="N177" s="13">
        <f t="shared" si="31"/>
        <v>-8.4650581028061442E-4</v>
      </c>
      <c r="O177" s="13">
        <f t="shared" si="32"/>
        <v>-9.4392042062910412E-3</v>
      </c>
    </row>
    <row r="178" spans="1:15" x14ac:dyDescent="0.35">
      <c r="A178" s="2">
        <v>45190</v>
      </c>
      <c r="B178">
        <v>172.07606506347659</v>
      </c>
      <c r="C178">
        <v>535.80230712890625</v>
      </c>
      <c r="D178">
        <v>150.8369445800781</v>
      </c>
      <c r="E178">
        <v>139.07112121582031</v>
      </c>
      <c r="F178">
        <v>62.541084289550781</v>
      </c>
      <c r="G178">
        <v>143.71635437011719</v>
      </c>
      <c r="H178">
        <v>4330</v>
      </c>
      <c r="I178" s="13">
        <f t="shared" si="26"/>
        <v>-8.9292810250362394E-3</v>
      </c>
      <c r="J178" s="13">
        <f t="shared" si="27"/>
        <v>-1.5640521276030099E-2</v>
      </c>
      <c r="K178" s="13">
        <f t="shared" si="28"/>
        <v>-7.7023864624536104E-3</v>
      </c>
      <c r="L178" s="13">
        <f t="shared" si="29"/>
        <v>-7.8527487116590924E-3</v>
      </c>
      <c r="M178" s="13">
        <f t="shared" si="30"/>
        <v>-6.55441138503073E-3</v>
      </c>
      <c r="N178" s="13">
        <f t="shared" si="31"/>
        <v>-8.7040775893791993E-3</v>
      </c>
      <c r="O178" s="13">
        <f t="shared" si="32"/>
        <v>-1.6536918318488084E-2</v>
      </c>
    </row>
    <row r="179" spans="1:15" x14ac:dyDescent="0.35">
      <c r="A179" s="2">
        <v>45191</v>
      </c>
      <c r="B179">
        <v>172.9269104003906</v>
      </c>
      <c r="C179">
        <v>539.1904296875</v>
      </c>
      <c r="D179">
        <v>149.7546081542969</v>
      </c>
      <c r="E179">
        <v>137.73841857910159</v>
      </c>
      <c r="F179">
        <v>63.279499053955078</v>
      </c>
      <c r="G179">
        <v>143.18736267089841</v>
      </c>
      <c r="H179">
        <v>4320.06005859375</v>
      </c>
      <c r="I179" s="13">
        <f t="shared" si="26"/>
        <v>4.9324041959914197E-3</v>
      </c>
      <c r="J179" s="13">
        <f t="shared" si="27"/>
        <v>6.3035472917869987E-3</v>
      </c>
      <c r="K179" s="13">
        <f t="shared" si="28"/>
        <v>-7.201407314695582E-3</v>
      </c>
      <c r="L179" s="13">
        <f t="shared" si="29"/>
        <v>-9.6290968511010752E-3</v>
      </c>
      <c r="M179" s="13">
        <f t="shared" si="30"/>
        <v>1.1737717671087469E-2</v>
      </c>
      <c r="N179" s="13">
        <f t="shared" si="31"/>
        <v>-3.6875945988136425E-3</v>
      </c>
      <c r="O179" s="13">
        <f t="shared" si="32"/>
        <v>-2.2982374027607495E-3</v>
      </c>
    </row>
    <row r="180" spans="1:15" x14ac:dyDescent="0.35">
      <c r="A180" s="2">
        <v>45194</v>
      </c>
      <c r="B180">
        <v>174.20317077636719</v>
      </c>
      <c r="C180">
        <v>539.2193603515625</v>
      </c>
      <c r="D180">
        <v>149.5306701660156</v>
      </c>
      <c r="E180">
        <v>138.4189453125</v>
      </c>
      <c r="F180">
        <v>63.064533233642578</v>
      </c>
      <c r="G180">
        <v>142.31829833984381</v>
      </c>
      <c r="H180">
        <v>4337.43994140625</v>
      </c>
      <c r="I180" s="13">
        <f t="shared" si="26"/>
        <v>7.3532441918184597E-3</v>
      </c>
      <c r="J180" s="13">
        <f t="shared" si="27"/>
        <v>5.3654305323715114E-5</v>
      </c>
      <c r="K180" s="13">
        <f t="shared" si="28"/>
        <v>-1.4964854357685689E-3</v>
      </c>
      <c r="L180" s="13">
        <f t="shared" si="29"/>
        <v>4.9285530636838824E-3</v>
      </c>
      <c r="M180" s="13">
        <f t="shared" si="30"/>
        <v>-3.4028679289951854E-3</v>
      </c>
      <c r="N180" s="13">
        <f t="shared" si="31"/>
        <v>-6.0879144191559216E-3</v>
      </c>
      <c r="O180" s="13">
        <f t="shared" si="32"/>
        <v>4.0149942038066174E-3</v>
      </c>
    </row>
    <row r="181" spans="1:15" x14ac:dyDescent="0.35">
      <c r="A181" s="2">
        <v>45195</v>
      </c>
      <c r="B181">
        <v>170.12709045410159</v>
      </c>
      <c r="C181">
        <v>533.7559814453125</v>
      </c>
      <c r="D181">
        <v>148.3736877441406</v>
      </c>
      <c r="E181">
        <v>136.9822998046875</v>
      </c>
      <c r="F181">
        <v>61.073589324951172</v>
      </c>
      <c r="G181">
        <v>141.052490234375</v>
      </c>
      <c r="H181">
        <v>4273.52978515625</v>
      </c>
      <c r="I181" s="13">
        <f t="shared" si="26"/>
        <v>-2.3676517533818421E-2</v>
      </c>
      <c r="J181" s="13">
        <f t="shared" si="27"/>
        <v>-1.0183693715060643E-2</v>
      </c>
      <c r="K181" s="13">
        <f t="shared" si="28"/>
        <v>-7.7675146958428162E-3</v>
      </c>
      <c r="L181" s="13">
        <f t="shared" si="29"/>
        <v>-1.0433202935998561E-2</v>
      </c>
      <c r="M181" s="13">
        <f t="shared" si="30"/>
        <v>-3.2079019703231383E-2</v>
      </c>
      <c r="N181" s="13">
        <f t="shared" si="31"/>
        <v>-8.9339944400429316E-3</v>
      </c>
      <c r="O181" s="13">
        <f t="shared" si="32"/>
        <v>-1.4844165482264943E-2</v>
      </c>
    </row>
    <row r="182" spans="1:15" x14ac:dyDescent="0.35">
      <c r="A182" s="2">
        <v>45196</v>
      </c>
      <c r="B182">
        <v>168.61335754394531</v>
      </c>
      <c r="C182">
        <v>543.95880126953125</v>
      </c>
      <c r="D182">
        <v>146.5915832519531</v>
      </c>
      <c r="E182">
        <v>137.78569030761719</v>
      </c>
      <c r="F182">
        <v>56.044887542724609</v>
      </c>
      <c r="G182">
        <v>139.18211364746091</v>
      </c>
      <c r="H182">
        <v>4274.509765625</v>
      </c>
      <c r="I182" s="13">
        <f t="shared" si="26"/>
        <v>-8.9374799810378047E-3</v>
      </c>
      <c r="J182" s="13">
        <f t="shared" si="27"/>
        <v>1.8934740092676174E-2</v>
      </c>
      <c r="K182" s="13">
        <f t="shared" si="28"/>
        <v>-1.2083633917294341E-2</v>
      </c>
      <c r="L182" s="13">
        <f t="shared" si="29"/>
        <v>5.8477902905557056E-3</v>
      </c>
      <c r="M182" s="13">
        <f t="shared" si="30"/>
        <v>-8.5926586537229302E-2</v>
      </c>
      <c r="N182" s="13">
        <f t="shared" si="31"/>
        <v>-1.3348846535879824E-2</v>
      </c>
      <c r="O182" s="13">
        <f t="shared" si="32"/>
        <v>2.2928777229479233E-4</v>
      </c>
    </row>
    <row r="183" spans="1:15" x14ac:dyDescent="0.35">
      <c r="A183" s="2">
        <v>45197</v>
      </c>
      <c r="B183">
        <v>168.8706359863281</v>
      </c>
      <c r="C183">
        <v>548.88165283203125</v>
      </c>
      <c r="D183">
        <v>146.3769836425781</v>
      </c>
      <c r="E183">
        <v>139.4964294433594</v>
      </c>
      <c r="F183">
        <v>53.352939605712891</v>
      </c>
      <c r="G183">
        <v>138.23748779296881</v>
      </c>
      <c r="H183">
        <v>4299.7001953125</v>
      </c>
      <c r="I183" s="13">
        <f t="shared" si="26"/>
        <v>1.5246855978682606E-3</v>
      </c>
      <c r="J183" s="13">
        <f t="shared" si="27"/>
        <v>9.0093386316761736E-3</v>
      </c>
      <c r="K183" s="13">
        <f t="shared" si="28"/>
        <v>-1.4650011776444389E-3</v>
      </c>
      <c r="L183" s="13">
        <f t="shared" si="29"/>
        <v>1.2339496279844058E-2</v>
      </c>
      <c r="M183" s="13">
        <f t="shared" si="30"/>
        <v>-4.9223856299785311E-2</v>
      </c>
      <c r="N183" s="13">
        <f t="shared" si="31"/>
        <v>-6.8101136356500426E-3</v>
      </c>
      <c r="O183" s="13">
        <f t="shared" si="32"/>
        <v>5.8758771430006979E-3</v>
      </c>
    </row>
    <row r="184" spans="1:15" x14ac:dyDescent="0.35">
      <c r="A184" s="2">
        <v>45198</v>
      </c>
      <c r="B184">
        <v>169.38507080078119</v>
      </c>
      <c r="C184">
        <v>545.33917236328125</v>
      </c>
      <c r="D184">
        <v>145.32261657714841</v>
      </c>
      <c r="E184">
        <v>137.06736755371091</v>
      </c>
      <c r="F184">
        <v>53.549228668212891</v>
      </c>
      <c r="G184">
        <v>137.7840881347656</v>
      </c>
      <c r="H184">
        <v>4288.0498046875</v>
      </c>
      <c r="I184" s="13">
        <f t="shared" si="26"/>
        <v>3.0416942020843338E-3</v>
      </c>
      <c r="J184" s="13">
        <f t="shared" si="27"/>
        <v>-6.4749139544217973E-3</v>
      </c>
      <c r="K184" s="13">
        <f t="shared" si="28"/>
        <v>-7.2291607973910734E-3</v>
      </c>
      <c r="L184" s="13">
        <f t="shared" si="29"/>
        <v>-1.7566466610458895E-2</v>
      </c>
      <c r="M184" s="13">
        <f t="shared" si="30"/>
        <v>3.6723162170412501E-3</v>
      </c>
      <c r="N184" s="13">
        <f t="shared" si="31"/>
        <v>-3.2852509045327642E-3</v>
      </c>
      <c r="O184" s="13">
        <f t="shared" si="32"/>
        <v>-2.713259648289315E-3</v>
      </c>
    </row>
    <row r="185" spans="1:15" x14ac:dyDescent="0.35">
      <c r="A185" s="2">
        <v>45201</v>
      </c>
      <c r="B185">
        <v>171.89801025390619</v>
      </c>
      <c r="C185">
        <v>551.4686279296875</v>
      </c>
      <c r="D185">
        <v>144.76277160644531</v>
      </c>
      <c r="E185">
        <v>135.8859558105469</v>
      </c>
      <c r="F185">
        <v>48.744846343994141</v>
      </c>
      <c r="G185">
        <v>137.15116882324219</v>
      </c>
      <c r="H185">
        <v>4288.39013671875</v>
      </c>
      <c r="I185" s="13">
        <f t="shared" si="26"/>
        <v>1.4726688832135185E-2</v>
      </c>
      <c r="J185" s="13">
        <f t="shared" si="27"/>
        <v>1.1177016383686711E-2</v>
      </c>
      <c r="K185" s="13">
        <f t="shared" si="28"/>
        <v>-3.8598680842433265E-3</v>
      </c>
      <c r="L185" s="13">
        <f t="shared" si="29"/>
        <v>-8.6565652041000734E-3</v>
      </c>
      <c r="M185" s="13">
        <f t="shared" si="30"/>
        <v>-9.4001917000187674E-2</v>
      </c>
      <c r="N185" s="13">
        <f t="shared" si="31"/>
        <v>-4.6041416192611276E-3</v>
      </c>
      <c r="O185" s="13">
        <f t="shared" si="32"/>
        <v>7.9364406152993244E-5</v>
      </c>
    </row>
    <row r="186" spans="1:15" x14ac:dyDescent="0.35">
      <c r="A186" s="2">
        <v>45202</v>
      </c>
      <c r="B186">
        <v>170.5623779296875</v>
      </c>
      <c r="C186">
        <v>545.4163818359375</v>
      </c>
      <c r="D186">
        <v>144.9400634765625</v>
      </c>
      <c r="E186">
        <v>134.8840637207031</v>
      </c>
      <c r="F186">
        <v>49.333705902099609</v>
      </c>
      <c r="G186">
        <v>137.43452453613281</v>
      </c>
      <c r="H186">
        <v>4229.4501953125</v>
      </c>
      <c r="I186" s="13">
        <f t="shared" si="26"/>
        <v>-7.8002545251663674E-3</v>
      </c>
      <c r="J186" s="13">
        <f t="shared" si="27"/>
        <v>-1.1035445758649794E-2</v>
      </c>
      <c r="K186" s="13">
        <f t="shared" si="28"/>
        <v>1.223956901901648E-3</v>
      </c>
      <c r="L186" s="13">
        <f t="shared" si="29"/>
        <v>-7.4003515158438315E-3</v>
      </c>
      <c r="M186" s="13">
        <f t="shared" si="30"/>
        <v>1.2008061302184531E-2</v>
      </c>
      <c r="N186" s="13">
        <f t="shared" si="31"/>
        <v>2.0638789297846576E-3</v>
      </c>
      <c r="O186" s="13">
        <f t="shared" si="32"/>
        <v>-1.3839395863449198E-2</v>
      </c>
    </row>
    <row r="187" spans="1:15" x14ac:dyDescent="0.35">
      <c r="A187" s="2">
        <v>45203</v>
      </c>
      <c r="B187">
        <v>171.8089599609375</v>
      </c>
      <c r="C187">
        <v>551.94158935546875</v>
      </c>
      <c r="D187">
        <v>145.1080017089844</v>
      </c>
      <c r="E187">
        <v>135.48895263671881</v>
      </c>
      <c r="F187">
        <v>47.314743041992188</v>
      </c>
      <c r="G187">
        <v>137.88798522949219</v>
      </c>
      <c r="H187">
        <v>4263.75</v>
      </c>
      <c r="I187" s="13">
        <f t="shared" si="26"/>
        <v>7.2820788541545604E-3</v>
      </c>
      <c r="J187" s="13">
        <f t="shared" si="27"/>
        <v>1.189271796319848E-2</v>
      </c>
      <c r="K187" s="13">
        <f t="shared" si="28"/>
        <v>1.1580029060436182E-3</v>
      </c>
      <c r="L187" s="13">
        <f t="shared" si="29"/>
        <v>4.4744844243112519E-3</v>
      </c>
      <c r="M187" s="13">
        <f t="shared" si="30"/>
        <v>-4.1785597985408512E-2</v>
      </c>
      <c r="N187" s="13">
        <f t="shared" si="31"/>
        <v>3.2940358111275977E-3</v>
      </c>
      <c r="O187" s="13">
        <f t="shared" si="32"/>
        <v>8.0770476078289456E-3</v>
      </c>
    </row>
    <row r="188" spans="1:15" x14ac:dyDescent="0.35">
      <c r="A188" s="2">
        <v>45204</v>
      </c>
      <c r="B188">
        <v>173.0456237792969</v>
      </c>
      <c r="C188">
        <v>549.7408447265625</v>
      </c>
      <c r="D188">
        <v>146.6195373535156</v>
      </c>
      <c r="E188">
        <v>136.06024169921881</v>
      </c>
      <c r="F188">
        <v>46.221145629882813</v>
      </c>
      <c r="G188">
        <v>135.838134765625</v>
      </c>
      <c r="H188">
        <v>4258.18994140625</v>
      </c>
      <c r="I188" s="13">
        <f t="shared" si="26"/>
        <v>7.1721193671559109E-3</v>
      </c>
      <c r="J188" s="13">
        <f t="shared" si="27"/>
        <v>-3.9952485184142272E-3</v>
      </c>
      <c r="K188" s="13">
        <f t="shared" si="28"/>
        <v>1.0362745840918718E-2</v>
      </c>
      <c r="L188" s="13">
        <f t="shared" si="29"/>
        <v>4.2076346921053375E-3</v>
      </c>
      <c r="M188" s="13">
        <f t="shared" si="30"/>
        <v>-2.3384548159066994E-2</v>
      </c>
      <c r="N188" s="13">
        <f t="shared" si="31"/>
        <v>-1.4977662957944357E-2</v>
      </c>
      <c r="O188" s="13">
        <f t="shared" si="32"/>
        <v>-1.3048811469951228E-3</v>
      </c>
    </row>
    <row r="189" spans="1:15" x14ac:dyDescent="0.35">
      <c r="A189" s="2">
        <v>45205</v>
      </c>
      <c r="B189">
        <v>175.59814453125</v>
      </c>
      <c r="C189">
        <v>538.1671142578125</v>
      </c>
      <c r="D189">
        <v>147.08607482910159</v>
      </c>
      <c r="E189">
        <v>138.1549377441406</v>
      </c>
      <c r="F189">
        <v>46.959560394287109</v>
      </c>
      <c r="G189">
        <v>136.11207580566409</v>
      </c>
      <c r="H189">
        <v>4308.5</v>
      </c>
      <c r="I189" s="13">
        <f t="shared" si="26"/>
        <v>1.4642833697400338E-2</v>
      </c>
      <c r="J189" s="13">
        <f t="shared" si="27"/>
        <v>-2.1277842548685678E-2</v>
      </c>
      <c r="K189" s="13">
        <f t="shared" si="28"/>
        <v>3.1769080917857426E-3</v>
      </c>
      <c r="L189" s="13">
        <f t="shared" si="29"/>
        <v>1.5278051303682287E-2</v>
      </c>
      <c r="M189" s="13">
        <f t="shared" si="30"/>
        <v>1.5849423203337081E-2</v>
      </c>
      <c r="N189" s="13">
        <f t="shared" si="31"/>
        <v>2.0146418134347264E-3</v>
      </c>
      <c r="O189" s="13">
        <f t="shared" si="32"/>
        <v>1.1745642093961117E-2</v>
      </c>
    </row>
    <row r="190" spans="1:15" x14ac:dyDescent="0.35">
      <c r="A190" s="2">
        <v>45208</v>
      </c>
      <c r="B190">
        <v>177.0821533203125</v>
      </c>
      <c r="C190">
        <v>539.55712890625</v>
      </c>
      <c r="D190">
        <v>147.92579650878909</v>
      </c>
      <c r="E190">
        <v>137.8407287597656</v>
      </c>
      <c r="F190">
        <v>46.099636077880859</v>
      </c>
      <c r="G190">
        <v>135.4224853515625</v>
      </c>
      <c r="H190">
        <v>4335.66015625</v>
      </c>
      <c r="I190" s="13">
        <f t="shared" si="26"/>
        <v>8.4156532509232131E-3</v>
      </c>
      <c r="J190" s="13">
        <f t="shared" si="27"/>
        <v>2.5795381852440975E-3</v>
      </c>
      <c r="K190" s="13">
        <f t="shared" si="28"/>
        <v>5.6928146226531097E-3</v>
      </c>
      <c r="L190" s="13">
        <f t="shared" si="29"/>
        <v>-2.2769134320273147E-3</v>
      </c>
      <c r="M190" s="13">
        <f t="shared" si="30"/>
        <v>-1.8481758413628709E-2</v>
      </c>
      <c r="N190" s="13">
        <f t="shared" si="31"/>
        <v>-5.0792203666020098E-3</v>
      </c>
      <c r="O190" s="13">
        <f t="shared" si="32"/>
        <v>6.2840681193874091E-3</v>
      </c>
    </row>
    <row r="191" spans="1:15" x14ac:dyDescent="0.35">
      <c r="A191" s="2">
        <v>45209</v>
      </c>
      <c r="B191">
        <v>176.4885559082031</v>
      </c>
      <c r="C191">
        <v>542.56890869140625</v>
      </c>
      <c r="D191">
        <v>147.75787353515619</v>
      </c>
      <c r="E191">
        <v>138.6786193847656</v>
      </c>
      <c r="F191">
        <v>48.212062835693359</v>
      </c>
      <c r="G191">
        <v>136.76387023925781</v>
      </c>
      <c r="H191">
        <v>4358.240234375</v>
      </c>
      <c r="I191" s="13">
        <f t="shared" si="26"/>
        <v>-3.3577327211721671E-3</v>
      </c>
      <c r="J191" s="13">
        <f t="shared" si="27"/>
        <v>5.566426566227199E-3</v>
      </c>
      <c r="K191" s="13">
        <f t="shared" si="28"/>
        <v>-1.1358286486444033E-3</v>
      </c>
      <c r="L191" s="13">
        <f t="shared" si="29"/>
        <v>6.060286161236981E-3</v>
      </c>
      <c r="M191" s="13">
        <f t="shared" si="30"/>
        <v>4.480420026355194E-2</v>
      </c>
      <c r="N191" s="13">
        <f t="shared" si="31"/>
        <v>9.8564510653216496E-3</v>
      </c>
      <c r="O191" s="13">
        <f t="shared" si="32"/>
        <v>5.1944760999853542E-3</v>
      </c>
    </row>
    <row r="192" spans="1:15" x14ac:dyDescent="0.35">
      <c r="A192" s="2">
        <v>45210</v>
      </c>
      <c r="B192">
        <v>177.88349914550781</v>
      </c>
      <c r="C192">
        <v>545.879638671875</v>
      </c>
      <c r="D192">
        <v>145.72380065917969</v>
      </c>
      <c r="E192">
        <v>139.15467834472659</v>
      </c>
      <c r="F192">
        <v>50.044075012207031</v>
      </c>
      <c r="G192">
        <v>135.08241271972659</v>
      </c>
      <c r="H192">
        <v>4376.9501953125</v>
      </c>
      <c r="I192" s="13">
        <f t="shared" si="26"/>
        <v>7.8728016072514683E-3</v>
      </c>
      <c r="J192" s="13">
        <f t="shared" si="27"/>
        <v>6.0834114735967724E-3</v>
      </c>
      <c r="K192" s="13">
        <f t="shared" si="28"/>
        <v>-1.3861890711844578E-2</v>
      </c>
      <c r="L192" s="13">
        <f t="shared" si="29"/>
        <v>3.4269429168635635E-3</v>
      </c>
      <c r="M192" s="13">
        <f t="shared" si="30"/>
        <v>3.7294861333256532E-2</v>
      </c>
      <c r="N192" s="13">
        <f t="shared" si="31"/>
        <v>-1.2370807096741748E-2</v>
      </c>
      <c r="O192" s="13">
        <f t="shared" si="32"/>
        <v>4.2838195000950733E-3</v>
      </c>
    </row>
    <row r="193" spans="1:15" x14ac:dyDescent="0.35">
      <c r="A193" s="2">
        <v>45211</v>
      </c>
      <c r="B193">
        <v>178.7838439941406</v>
      </c>
      <c r="C193">
        <v>544.2001953125</v>
      </c>
      <c r="D193">
        <v>145.86378479003909</v>
      </c>
      <c r="E193">
        <v>138.8309326171875</v>
      </c>
      <c r="F193">
        <v>49.539344787597663</v>
      </c>
      <c r="G193">
        <v>135.38471984863281</v>
      </c>
      <c r="H193">
        <v>4349.60986328125</v>
      </c>
      <c r="I193" s="13">
        <f t="shared" si="26"/>
        <v>5.0486638508276593E-3</v>
      </c>
      <c r="J193" s="13">
        <f t="shared" si="27"/>
        <v>-3.0813242036301898E-3</v>
      </c>
      <c r="K193" s="13">
        <f t="shared" si="28"/>
        <v>9.6015158805835236E-4</v>
      </c>
      <c r="L193" s="13">
        <f t="shared" si="29"/>
        <v>-2.3292275653188986E-3</v>
      </c>
      <c r="M193" s="13">
        <f t="shared" si="30"/>
        <v>-1.013691933193773E-2</v>
      </c>
      <c r="N193" s="13">
        <f t="shared" si="31"/>
        <v>2.2354454082954872E-3</v>
      </c>
      <c r="O193" s="13">
        <f t="shared" si="32"/>
        <v>-6.2660249406549179E-3</v>
      </c>
    </row>
    <row r="194" spans="1:15" x14ac:dyDescent="0.35">
      <c r="A194" s="2">
        <v>45212</v>
      </c>
      <c r="B194">
        <v>176.9436340332031</v>
      </c>
      <c r="C194">
        <v>547.1539306640625</v>
      </c>
      <c r="D194">
        <v>146.34895324707031</v>
      </c>
      <c r="E194">
        <v>140.91615295410159</v>
      </c>
      <c r="F194">
        <v>50.932052612304688</v>
      </c>
      <c r="G194">
        <v>136.67884826660159</v>
      </c>
      <c r="H194">
        <v>4327.77978515625</v>
      </c>
      <c r="I194" s="13">
        <f t="shared" si="26"/>
        <v>-1.0346270614803419E-2</v>
      </c>
      <c r="J194" s="13">
        <f t="shared" si="27"/>
        <v>5.4129864787144533E-3</v>
      </c>
      <c r="K194" s="13">
        <f t="shared" si="28"/>
        <v>3.320655397225653E-3</v>
      </c>
      <c r="L194" s="13">
        <f t="shared" si="29"/>
        <v>1.4908172881656471E-2</v>
      </c>
      <c r="M194" s="13">
        <f t="shared" si="30"/>
        <v>2.7725244654615556E-2</v>
      </c>
      <c r="N194" s="13">
        <f t="shared" si="31"/>
        <v>9.5134985365530906E-3</v>
      </c>
      <c r="O194" s="13">
        <f t="shared" si="32"/>
        <v>-5.0314956602198922E-3</v>
      </c>
    </row>
    <row r="195" spans="1:15" x14ac:dyDescent="0.35">
      <c r="A195" s="2">
        <v>45215</v>
      </c>
      <c r="B195">
        <v>176.8150329589844</v>
      </c>
      <c r="C195">
        <v>552.36627197265625</v>
      </c>
      <c r="D195">
        <v>146.98345947265619</v>
      </c>
      <c r="E195">
        <v>140.7733459472656</v>
      </c>
      <c r="F195">
        <v>50.829235076904297</v>
      </c>
      <c r="G195">
        <v>137.98243713378909</v>
      </c>
      <c r="H195">
        <v>4373.6298828125</v>
      </c>
      <c r="I195" s="13">
        <f t="shared" si="26"/>
        <v>-7.2705543005971711E-4</v>
      </c>
      <c r="J195" s="13">
        <f t="shared" si="27"/>
        <v>9.4811906904642487E-3</v>
      </c>
      <c r="K195" s="13">
        <f t="shared" si="28"/>
        <v>4.3261991357906532E-3</v>
      </c>
      <c r="L195" s="13">
        <f t="shared" si="29"/>
        <v>-1.0139321460505427E-3</v>
      </c>
      <c r="M195" s="13">
        <f t="shared" si="30"/>
        <v>-2.0207600104689919E-3</v>
      </c>
      <c r="N195" s="13">
        <f t="shared" si="31"/>
        <v>9.4924091954627105E-3</v>
      </c>
      <c r="O195" s="13">
        <f t="shared" si="32"/>
        <v>1.0538642302589985E-2</v>
      </c>
    </row>
    <row r="196" spans="1:15" x14ac:dyDescent="0.35">
      <c r="A196" s="2">
        <v>45216</v>
      </c>
      <c r="B196">
        <v>175.26171875</v>
      </c>
      <c r="C196">
        <v>554.3934326171875</v>
      </c>
      <c r="D196">
        <v>145.63983154296881</v>
      </c>
      <c r="E196">
        <v>140.4686279296875</v>
      </c>
      <c r="F196">
        <v>50.632953643798828</v>
      </c>
      <c r="G196">
        <v>138.16191101074219</v>
      </c>
      <c r="H196">
        <v>4373.2001953125</v>
      </c>
      <c r="I196" s="13">
        <f t="shared" si="26"/>
        <v>-8.8237821994182133E-3</v>
      </c>
      <c r="J196" s="13">
        <f t="shared" si="27"/>
        <v>3.6632394602926846E-3</v>
      </c>
      <c r="K196" s="13">
        <f t="shared" si="28"/>
        <v>-9.1833932144186631E-3</v>
      </c>
      <c r="L196" s="13">
        <f t="shared" si="29"/>
        <v>-2.1669463673228734E-3</v>
      </c>
      <c r="M196" s="13">
        <f t="shared" si="30"/>
        <v>-3.8690605916407092E-3</v>
      </c>
      <c r="N196" s="13">
        <f t="shared" si="31"/>
        <v>1.299855698147003E-3</v>
      </c>
      <c r="O196" s="13">
        <f t="shared" si="32"/>
        <v>-9.8249879443765073E-5</v>
      </c>
    </row>
    <row r="197" spans="1:15" x14ac:dyDescent="0.35">
      <c r="A197" s="2">
        <v>45217</v>
      </c>
      <c r="B197">
        <v>173.96571350097659</v>
      </c>
      <c r="C197">
        <v>554.6829833984375</v>
      </c>
      <c r="D197">
        <v>142.50477600097659</v>
      </c>
      <c r="E197">
        <v>138.9261779785156</v>
      </c>
      <c r="F197">
        <v>49.763671875</v>
      </c>
      <c r="G197">
        <v>141.7231750488281</v>
      </c>
      <c r="H197">
        <v>4314.60009765625</v>
      </c>
      <c r="I197" s="13">
        <f t="shared" ref="I197:I260" si="33">LN(B197/B196)</f>
        <v>-7.4221614851070327E-3</v>
      </c>
      <c r="J197" s="13">
        <f t="shared" ref="J197:J260" si="34">LN(C197/C196)</f>
        <v>5.2214758811438937E-4</v>
      </c>
      <c r="K197" s="13">
        <f t="shared" ref="K197:K260" si="35">LN(D197/D196)</f>
        <v>-2.1761151695834754E-2</v>
      </c>
      <c r="L197" s="13">
        <f t="shared" ref="L197:L260" si="36">LN(E197/E196)</f>
        <v>-1.1041476713735789E-2</v>
      </c>
      <c r="M197" s="13">
        <f t="shared" ref="M197:M260" si="37">LN(F197/F196)</f>
        <v>-1.7317384691073703E-2</v>
      </c>
      <c r="N197" s="13">
        <f t="shared" ref="N197:N260" si="38">LN(G197/G196)</f>
        <v>2.5449417811617393E-2</v>
      </c>
      <c r="O197" s="13">
        <f t="shared" ref="O197:O260" si="39">LN(H197/H196)</f>
        <v>-1.3490408251151898E-2</v>
      </c>
    </row>
    <row r="198" spans="1:15" x14ac:dyDescent="0.35">
      <c r="A198" s="2">
        <v>45218</v>
      </c>
      <c r="B198">
        <v>173.58979797363281</v>
      </c>
      <c r="C198">
        <v>545.98590087890625</v>
      </c>
      <c r="D198">
        <v>142.12223815917969</v>
      </c>
      <c r="E198">
        <v>138.33583068847659</v>
      </c>
      <c r="F198">
        <v>48.969173431396477</v>
      </c>
      <c r="G198">
        <v>140.92561340332031</v>
      </c>
      <c r="H198">
        <v>4278</v>
      </c>
      <c r="I198" s="13">
        <f t="shared" si="33"/>
        <v>-2.1631978865066966E-3</v>
      </c>
      <c r="J198" s="13">
        <f t="shared" si="34"/>
        <v>-1.5803596619659254E-2</v>
      </c>
      <c r="K198" s="13">
        <f t="shared" si="35"/>
        <v>-2.687995538691079E-3</v>
      </c>
      <c r="L198" s="13">
        <f t="shared" si="36"/>
        <v>-4.2584138014037281E-3</v>
      </c>
      <c r="M198" s="13">
        <f t="shared" si="37"/>
        <v>-1.6094250917980456E-2</v>
      </c>
      <c r="N198" s="13">
        <f t="shared" si="38"/>
        <v>-5.6434967697762718E-3</v>
      </c>
      <c r="O198" s="13">
        <f t="shared" si="39"/>
        <v>-8.5190323280579759E-3</v>
      </c>
    </row>
    <row r="199" spans="1:15" x14ac:dyDescent="0.35">
      <c r="A199" s="2">
        <v>45219</v>
      </c>
      <c r="B199">
        <v>171.03727722167969</v>
      </c>
      <c r="C199">
        <v>533.72698974609375</v>
      </c>
      <c r="D199">
        <v>142.75672912597659</v>
      </c>
      <c r="E199">
        <v>136.10784912109381</v>
      </c>
      <c r="F199">
        <v>48.567245483398438</v>
      </c>
      <c r="G199">
        <v>140.73553466796881</v>
      </c>
      <c r="H199">
        <v>4224.16015625</v>
      </c>
      <c r="I199" s="13">
        <f t="shared" si="33"/>
        <v>-1.4813504872861949E-2</v>
      </c>
      <c r="J199" s="13">
        <f t="shared" si="34"/>
        <v>-2.2708699777803286E-2</v>
      </c>
      <c r="K199" s="13">
        <f t="shared" si="35"/>
        <v>4.4544672566647998E-3</v>
      </c>
      <c r="L199" s="13">
        <f t="shared" si="36"/>
        <v>-1.6236704854858411E-2</v>
      </c>
      <c r="M199" s="13">
        <f t="shared" si="37"/>
        <v>-8.2416440451042877E-3</v>
      </c>
      <c r="N199" s="13">
        <f t="shared" si="38"/>
        <v>-1.3496981426682109E-3</v>
      </c>
      <c r="O199" s="13">
        <f t="shared" si="39"/>
        <v>-1.2665149196155915E-2</v>
      </c>
    </row>
    <row r="200" spans="1:15" x14ac:dyDescent="0.35">
      <c r="A200" s="2">
        <v>45222</v>
      </c>
      <c r="B200">
        <v>171.156005859375</v>
      </c>
      <c r="C200">
        <v>533.109130859375</v>
      </c>
      <c r="D200">
        <v>141.2545471191406</v>
      </c>
      <c r="E200">
        <v>134.25117492675781</v>
      </c>
      <c r="F200">
        <v>48.155975341796882</v>
      </c>
      <c r="G200">
        <v>140.8305969238281</v>
      </c>
      <c r="H200">
        <v>4217.0400390625</v>
      </c>
      <c r="I200" s="13">
        <f t="shared" si="33"/>
        <v>6.9392736988083885E-4</v>
      </c>
      <c r="J200" s="13">
        <f t="shared" si="34"/>
        <v>-1.1583015307878976E-3</v>
      </c>
      <c r="K200" s="13">
        <f t="shared" si="35"/>
        <v>-1.0578425159049141E-2</v>
      </c>
      <c r="L200" s="13">
        <f t="shared" si="36"/>
        <v>-1.3735094581625397E-2</v>
      </c>
      <c r="M200" s="13">
        <f t="shared" si="37"/>
        <v>-8.504113421285233E-3</v>
      </c>
      <c r="N200" s="13">
        <f t="shared" si="38"/>
        <v>6.7523930476886239E-4</v>
      </c>
      <c r="O200" s="13">
        <f t="shared" si="39"/>
        <v>-1.6869920654349177E-3</v>
      </c>
    </row>
    <row r="201" spans="1:15" x14ac:dyDescent="0.35">
      <c r="A201" s="2">
        <v>45223</v>
      </c>
      <c r="B201">
        <v>171.59130859375</v>
      </c>
      <c r="C201">
        <v>532.67486572265625</v>
      </c>
      <c r="D201">
        <v>141.105224609375</v>
      </c>
      <c r="E201">
        <v>134.41304016113281</v>
      </c>
      <c r="F201">
        <v>51.520919799804688</v>
      </c>
      <c r="G201">
        <v>142.49412536621091</v>
      </c>
      <c r="H201">
        <v>4247.68017578125</v>
      </c>
      <c r="I201" s="13">
        <f t="shared" si="33"/>
        <v>2.5400809871709697E-3</v>
      </c>
      <c r="J201" s="13">
        <f t="shared" si="34"/>
        <v>-8.1492152658378799E-4</v>
      </c>
      <c r="K201" s="13">
        <f t="shared" si="35"/>
        <v>-1.057675622641349E-3</v>
      </c>
      <c r="L201" s="13">
        <f t="shared" si="36"/>
        <v>1.2049632579976865E-3</v>
      </c>
      <c r="M201" s="13">
        <f t="shared" si="37"/>
        <v>6.7542705869567995E-2</v>
      </c>
      <c r="N201" s="13">
        <f t="shared" si="38"/>
        <v>1.1743045544949439E-2</v>
      </c>
      <c r="O201" s="13">
        <f t="shared" si="39"/>
        <v>7.2395235196288195E-3</v>
      </c>
    </row>
    <row r="202" spans="1:15" x14ac:dyDescent="0.35">
      <c r="A202" s="2">
        <v>45224</v>
      </c>
      <c r="B202">
        <v>169.2762451171875</v>
      </c>
      <c r="C202">
        <v>530.88897705078125</v>
      </c>
      <c r="D202">
        <v>141.42247009277341</v>
      </c>
      <c r="E202">
        <v>133.6799011230469</v>
      </c>
      <c r="F202">
        <v>52.773418426513672</v>
      </c>
      <c r="G202">
        <v>143.15953063964841</v>
      </c>
      <c r="H202">
        <v>4186.77001953125</v>
      </c>
      <c r="I202" s="13">
        <f t="shared" si="33"/>
        <v>-1.3583569617748753E-2</v>
      </c>
      <c r="J202" s="13">
        <f t="shared" si="34"/>
        <v>-3.3583133960164414E-3</v>
      </c>
      <c r="K202" s="13">
        <f t="shared" si="35"/>
        <v>2.2457665048916907E-3</v>
      </c>
      <c r="L202" s="13">
        <f t="shared" si="36"/>
        <v>-5.4693037580391202E-3</v>
      </c>
      <c r="M202" s="13">
        <f t="shared" si="37"/>
        <v>2.4019690158712689E-2</v>
      </c>
      <c r="N202" s="13">
        <f t="shared" si="38"/>
        <v>4.6588339619251613E-3</v>
      </c>
      <c r="O202" s="13">
        <f t="shared" si="39"/>
        <v>-1.4443434657238052E-2</v>
      </c>
    </row>
    <row r="203" spans="1:15" x14ac:dyDescent="0.35">
      <c r="A203" s="2">
        <v>45225</v>
      </c>
      <c r="B203">
        <v>165.11112976074219</v>
      </c>
      <c r="C203">
        <v>528.58209228515625</v>
      </c>
      <c r="D203">
        <v>139.0245361328125</v>
      </c>
      <c r="E203">
        <v>134.02264404296881</v>
      </c>
      <c r="F203">
        <v>53.810939788818359</v>
      </c>
      <c r="G203">
        <v>142.3990478515625</v>
      </c>
      <c r="H203">
        <v>4137.22998046875</v>
      </c>
      <c r="I203" s="13">
        <f t="shared" si="33"/>
        <v>-2.4913206039343081E-2</v>
      </c>
      <c r="J203" s="13">
        <f t="shared" si="34"/>
        <v>-4.3547926471626062E-3</v>
      </c>
      <c r="K203" s="13">
        <f t="shared" si="35"/>
        <v>-1.7101215890411466E-2</v>
      </c>
      <c r="L203" s="13">
        <f t="shared" si="36"/>
        <v>2.5606264369602643E-3</v>
      </c>
      <c r="M203" s="13">
        <f t="shared" si="37"/>
        <v>1.9469163243672899E-2</v>
      </c>
      <c r="N203" s="13">
        <f t="shared" si="38"/>
        <v>-5.3262948006972694E-3</v>
      </c>
      <c r="O203" s="13">
        <f t="shared" si="39"/>
        <v>-1.1903081205584871E-2</v>
      </c>
    </row>
    <row r="204" spans="1:15" x14ac:dyDescent="0.35">
      <c r="A204" s="2">
        <v>45226</v>
      </c>
      <c r="B204">
        <v>166.42692565917969</v>
      </c>
      <c r="C204">
        <v>524.17083740234375</v>
      </c>
      <c r="D204">
        <v>135.85215759277341</v>
      </c>
      <c r="E204">
        <v>129.19532775878909</v>
      </c>
      <c r="F204">
        <v>52.567783355712891</v>
      </c>
      <c r="G204">
        <v>139.8894958496094</v>
      </c>
      <c r="H204">
        <v>4117.3701171875</v>
      </c>
      <c r="I204" s="13">
        <f t="shared" si="33"/>
        <v>7.9375672589833968E-3</v>
      </c>
      <c r="J204" s="13">
        <f t="shared" si="34"/>
        <v>-8.3804672037927543E-3</v>
      </c>
      <c r="K204" s="13">
        <f t="shared" si="35"/>
        <v>-2.3083218578072582E-2</v>
      </c>
      <c r="L204" s="13">
        <f t="shared" si="36"/>
        <v>-3.6683343232837388E-2</v>
      </c>
      <c r="M204" s="13">
        <f t="shared" si="37"/>
        <v>-2.337333992900912E-2</v>
      </c>
      <c r="N204" s="13">
        <f t="shared" si="38"/>
        <v>-1.7780516943878239E-2</v>
      </c>
      <c r="O204" s="13">
        <f t="shared" si="39"/>
        <v>-4.81183857862075E-3</v>
      </c>
    </row>
    <row r="205" spans="1:15" x14ac:dyDescent="0.35">
      <c r="A205" s="2">
        <v>45229</v>
      </c>
      <c r="B205">
        <v>168.474853515625</v>
      </c>
      <c r="C205">
        <v>535.60919189453125</v>
      </c>
      <c r="D205">
        <v>137.18638610839841</v>
      </c>
      <c r="E205">
        <v>130.842529296875</v>
      </c>
      <c r="F205">
        <v>53.465103149414063</v>
      </c>
      <c r="G205">
        <v>141.8857116699219</v>
      </c>
      <c r="H205">
        <v>4166.81982421875</v>
      </c>
      <c r="I205" s="13">
        <f t="shared" si="33"/>
        <v>1.2230173206961722E-2</v>
      </c>
      <c r="J205" s="13">
        <f t="shared" si="34"/>
        <v>2.158711877083281E-2</v>
      </c>
      <c r="K205" s="13">
        <f t="shared" si="35"/>
        <v>9.7732658372454428E-3</v>
      </c>
      <c r="L205" s="13">
        <f t="shared" si="36"/>
        <v>1.266910586678122E-2</v>
      </c>
      <c r="M205" s="13">
        <f t="shared" si="37"/>
        <v>1.692571512815565E-2</v>
      </c>
      <c r="N205" s="13">
        <f t="shared" si="38"/>
        <v>1.416909056680102E-2</v>
      </c>
      <c r="O205" s="13">
        <f t="shared" si="39"/>
        <v>1.1938474300285915E-2</v>
      </c>
    </row>
    <row r="206" spans="1:15" x14ac:dyDescent="0.35">
      <c r="A206" s="2">
        <v>45230</v>
      </c>
      <c r="B206">
        <v>168.94976806640619</v>
      </c>
      <c r="C206">
        <v>533.25396728515625</v>
      </c>
      <c r="D206">
        <v>138.40870666503909</v>
      </c>
      <c r="E206">
        <v>132.4040222167969</v>
      </c>
      <c r="F206">
        <v>54.493278503417969</v>
      </c>
      <c r="G206">
        <v>142.61769104003909</v>
      </c>
      <c r="H206">
        <v>4193.7998046875</v>
      </c>
      <c r="I206" s="13">
        <f t="shared" si="33"/>
        <v>2.8149390056464323E-3</v>
      </c>
      <c r="J206" s="13">
        <f t="shared" si="34"/>
        <v>-4.4069783881522584E-3</v>
      </c>
      <c r="K206" s="13">
        <f t="shared" si="35"/>
        <v>8.8704668810006427E-3</v>
      </c>
      <c r="L206" s="13">
        <f t="shared" si="36"/>
        <v>1.1863488618688921E-2</v>
      </c>
      <c r="M206" s="13">
        <f t="shared" si="37"/>
        <v>1.9048200355546611E-2</v>
      </c>
      <c r="N206" s="13">
        <f t="shared" si="38"/>
        <v>5.1456747318643099E-3</v>
      </c>
      <c r="O206" s="13">
        <f t="shared" si="39"/>
        <v>6.454084821688244E-3</v>
      </c>
    </row>
    <row r="207" spans="1:15" x14ac:dyDescent="0.35">
      <c r="A207" s="2">
        <v>45231</v>
      </c>
      <c r="B207">
        <v>172.1156311035156</v>
      </c>
      <c r="C207">
        <v>537.46246337890625</v>
      </c>
      <c r="D207">
        <v>138.73529052734381</v>
      </c>
      <c r="E207">
        <v>132.2897644042969</v>
      </c>
      <c r="F207">
        <v>54.614784240722663</v>
      </c>
      <c r="G207">
        <v>142.21846008300781</v>
      </c>
      <c r="H207">
        <v>4237.85986328125</v>
      </c>
      <c r="I207" s="13">
        <f t="shared" si="33"/>
        <v>1.8565084431184101E-2</v>
      </c>
      <c r="J207" s="13">
        <f t="shared" si="34"/>
        <v>7.8611248431478698E-3</v>
      </c>
      <c r="K207" s="13">
        <f t="shared" si="35"/>
        <v>2.3567821549703282E-3</v>
      </c>
      <c r="L207" s="13">
        <f t="shared" si="36"/>
        <v>-8.6332075304912349E-4</v>
      </c>
      <c r="M207" s="13">
        <f t="shared" si="37"/>
        <v>2.2272558870148904E-3</v>
      </c>
      <c r="N207" s="13">
        <f t="shared" si="38"/>
        <v>-2.8032341884339671E-3</v>
      </c>
      <c r="O207" s="13">
        <f t="shared" si="39"/>
        <v>1.0451194990191868E-2</v>
      </c>
    </row>
    <row r="208" spans="1:15" x14ac:dyDescent="0.35">
      <c r="A208" s="2">
        <v>45232</v>
      </c>
      <c r="B208">
        <v>175.6772766113281</v>
      </c>
      <c r="C208">
        <v>537.646240234375</v>
      </c>
      <c r="D208">
        <v>140.18150329589841</v>
      </c>
      <c r="E208">
        <v>134.65107727050781</v>
      </c>
      <c r="F208">
        <v>55.998153686523438</v>
      </c>
      <c r="G208">
        <v>143.95802307128909</v>
      </c>
      <c r="H208">
        <v>4317.77978515625</v>
      </c>
      <c r="I208" s="13">
        <f t="shared" si="33"/>
        <v>2.0482131420050401E-2</v>
      </c>
      <c r="J208" s="13">
        <f t="shared" si="34"/>
        <v>3.4187586174513207E-4</v>
      </c>
      <c r="K208" s="13">
        <f t="shared" si="35"/>
        <v>1.0370302265173605E-2</v>
      </c>
      <c r="L208" s="13">
        <f t="shared" si="36"/>
        <v>1.76921181798806E-2</v>
      </c>
      <c r="M208" s="13">
        <f t="shared" si="37"/>
        <v>2.5014100570217791E-2</v>
      </c>
      <c r="N208" s="13">
        <f t="shared" si="38"/>
        <v>1.2157423944138003E-2</v>
      </c>
      <c r="O208" s="13">
        <f t="shared" si="39"/>
        <v>1.8682938934086474E-2</v>
      </c>
    </row>
    <row r="209" spans="1:15" x14ac:dyDescent="0.35">
      <c r="A209" s="2">
        <v>45233</v>
      </c>
      <c r="B209">
        <v>174.76707458496091</v>
      </c>
      <c r="C209">
        <v>542.413818359375</v>
      </c>
      <c r="D209">
        <v>141.2078552246094</v>
      </c>
      <c r="E209">
        <v>136.15547180175781</v>
      </c>
      <c r="F209">
        <v>55.502758026123047</v>
      </c>
      <c r="G209">
        <v>142.65571594238281</v>
      </c>
      <c r="H209">
        <v>4358.33984375</v>
      </c>
      <c r="I209" s="13">
        <f t="shared" si="33"/>
        <v>-5.1945712348766349E-3</v>
      </c>
      <c r="J209" s="13">
        <f t="shared" si="34"/>
        <v>8.8284147771333643E-3</v>
      </c>
      <c r="K209" s="13">
        <f t="shared" si="35"/>
        <v>7.2949203596065085E-3</v>
      </c>
      <c r="L209" s="13">
        <f t="shared" si="36"/>
        <v>1.1110588072739683E-2</v>
      </c>
      <c r="M209" s="13">
        <f t="shared" si="37"/>
        <v>-8.8860066260666726E-3</v>
      </c>
      <c r="N209" s="13">
        <f t="shared" si="38"/>
        <v>-9.0876040758739104E-3</v>
      </c>
      <c r="O209" s="13">
        <f t="shared" si="39"/>
        <v>9.3498835445514593E-3</v>
      </c>
    </row>
    <row r="210" spans="1:15" x14ac:dyDescent="0.35">
      <c r="A210" s="2">
        <v>45236</v>
      </c>
      <c r="B210">
        <v>177.31956481933591</v>
      </c>
      <c r="C210">
        <v>551.03985595703125</v>
      </c>
      <c r="D210">
        <v>141.54376220703119</v>
      </c>
      <c r="E210">
        <v>137.18376159667969</v>
      </c>
      <c r="F210">
        <v>55.184959411621087</v>
      </c>
      <c r="G210">
        <v>143.4827575683594</v>
      </c>
      <c r="H210">
        <v>4365.97998046875</v>
      </c>
      <c r="I210" s="13">
        <f t="shared" si="33"/>
        <v>1.4499470681579474E-2</v>
      </c>
      <c r="J210" s="13">
        <f t="shared" si="34"/>
        <v>1.5777927769306737E-2</v>
      </c>
      <c r="K210" s="13">
        <f t="shared" si="35"/>
        <v>2.3759874019328268E-3</v>
      </c>
      <c r="L210" s="13">
        <f t="shared" si="36"/>
        <v>7.5239447558823041E-3</v>
      </c>
      <c r="M210" s="13">
        <f t="shared" si="37"/>
        <v>-5.7422719540597073E-3</v>
      </c>
      <c r="N210" s="13">
        <f t="shared" si="38"/>
        <v>5.7807251077926563E-3</v>
      </c>
      <c r="O210" s="13">
        <f t="shared" si="39"/>
        <v>1.7514577241005862E-3</v>
      </c>
    </row>
    <row r="211" spans="1:15" x14ac:dyDescent="0.35">
      <c r="A211" s="2">
        <v>45237</v>
      </c>
      <c r="B211">
        <v>179.8819885253906</v>
      </c>
      <c r="C211">
        <v>552.4420166015625</v>
      </c>
      <c r="D211">
        <v>140.79730224609381</v>
      </c>
      <c r="E211">
        <v>137.11712646484381</v>
      </c>
      <c r="F211">
        <v>54.642826080322273</v>
      </c>
      <c r="G211">
        <v>143.1500244140625</v>
      </c>
      <c r="H211">
        <v>4378.3798828125</v>
      </c>
      <c r="I211" s="13">
        <f t="shared" si="33"/>
        <v>1.4347460911493921E-2</v>
      </c>
      <c r="J211" s="13">
        <f t="shared" si="34"/>
        <v>2.5413401598053374E-3</v>
      </c>
      <c r="K211" s="13">
        <f t="shared" si="35"/>
        <v>-5.2876594596201624E-3</v>
      </c>
      <c r="L211" s="13">
        <f t="shared" si="36"/>
        <v>-4.8585430122074298E-4</v>
      </c>
      <c r="M211" s="13">
        <f t="shared" si="37"/>
        <v>-9.8725059815689912E-3</v>
      </c>
      <c r="N211" s="13">
        <f t="shared" si="38"/>
        <v>-2.3216695693522704E-3</v>
      </c>
      <c r="O211" s="13">
        <f t="shared" si="39"/>
        <v>2.8360934017119537E-3</v>
      </c>
    </row>
    <row r="212" spans="1:15" x14ac:dyDescent="0.35">
      <c r="A212" s="2">
        <v>45238</v>
      </c>
      <c r="B212">
        <v>180.9405822753906</v>
      </c>
      <c r="C212">
        <v>548.6802978515625</v>
      </c>
      <c r="D212">
        <v>140.2841491699219</v>
      </c>
      <c r="E212">
        <v>137.7931213378906</v>
      </c>
      <c r="F212">
        <v>53.745510101318359</v>
      </c>
      <c r="G212">
        <v>142.59869384765619</v>
      </c>
      <c r="H212">
        <v>4382.77978515625</v>
      </c>
      <c r="I212" s="13">
        <f t="shared" si="33"/>
        <v>5.8676860757787327E-3</v>
      </c>
      <c r="J212" s="13">
        <f t="shared" si="34"/>
        <v>-6.8325440958660125E-3</v>
      </c>
      <c r="K212" s="13">
        <f t="shared" si="35"/>
        <v>-3.6512807493582285E-3</v>
      </c>
      <c r="L212" s="13">
        <f t="shared" si="36"/>
        <v>4.9179413348553365E-3</v>
      </c>
      <c r="M212" s="13">
        <f t="shared" si="37"/>
        <v>-1.6557805226456442E-2</v>
      </c>
      <c r="N212" s="13">
        <f t="shared" si="38"/>
        <v>-3.8588537082784513E-3</v>
      </c>
      <c r="O212" s="13">
        <f t="shared" si="39"/>
        <v>1.0044110324198868E-3</v>
      </c>
    </row>
    <row r="213" spans="1:15" x14ac:dyDescent="0.35">
      <c r="A213" s="2">
        <v>45239</v>
      </c>
      <c r="B213">
        <v>180.46568298339841</v>
      </c>
      <c r="C213">
        <v>544.7056884765625</v>
      </c>
      <c r="D213">
        <v>137.55029296875</v>
      </c>
      <c r="E213">
        <v>137.38371276855469</v>
      </c>
      <c r="F213">
        <v>51.14703369140625</v>
      </c>
      <c r="G213">
        <v>142.921875</v>
      </c>
      <c r="H213">
        <v>4347.35009765625</v>
      </c>
      <c r="I213" s="13">
        <f t="shared" si="33"/>
        <v>-2.6280649284557522E-3</v>
      </c>
      <c r="J213" s="13">
        <f t="shared" si="34"/>
        <v>-7.2703088058084188E-3</v>
      </c>
      <c r="K213" s="13">
        <f t="shared" si="35"/>
        <v>-1.968038533141056E-2</v>
      </c>
      <c r="L213" s="13">
        <f t="shared" si="36"/>
        <v>-2.9756056518957757E-3</v>
      </c>
      <c r="M213" s="13">
        <f t="shared" si="37"/>
        <v>-4.9555632151828358E-2</v>
      </c>
      <c r="N213" s="13">
        <f t="shared" si="38"/>
        <v>2.2638039120491233E-3</v>
      </c>
      <c r="O213" s="13">
        <f t="shared" si="39"/>
        <v>-8.116690699068705E-3</v>
      </c>
    </row>
    <row r="214" spans="1:15" x14ac:dyDescent="0.35">
      <c r="A214" s="2">
        <v>45240</v>
      </c>
      <c r="B214">
        <v>184.6560974121094</v>
      </c>
      <c r="C214">
        <v>558.09918212890625</v>
      </c>
      <c r="D214">
        <v>137.3916931152344</v>
      </c>
      <c r="E214">
        <v>139.42127990722659</v>
      </c>
      <c r="F214">
        <v>51.539608001708977</v>
      </c>
      <c r="G214">
        <v>143.92950439453119</v>
      </c>
      <c r="H214">
        <v>4415.240234375</v>
      </c>
      <c r="I214" s="13">
        <f t="shared" si="33"/>
        <v>2.2954524488948955E-2</v>
      </c>
      <c r="J214" s="13">
        <f t="shared" si="34"/>
        <v>2.429106468174597E-2</v>
      </c>
      <c r="K214" s="13">
        <f t="shared" si="35"/>
        <v>-1.1536969916172261E-3</v>
      </c>
      <c r="L214" s="13">
        <f t="shared" si="36"/>
        <v>1.4722306283356445E-2</v>
      </c>
      <c r="M214" s="13">
        <f t="shared" si="37"/>
        <v>7.6461011172011366E-3</v>
      </c>
      <c r="N214" s="13">
        <f t="shared" si="38"/>
        <v>7.025474593449238E-3</v>
      </c>
      <c r="O214" s="13">
        <f t="shared" si="39"/>
        <v>1.5495759270772258E-2</v>
      </c>
    </row>
    <row r="215" spans="1:15" x14ac:dyDescent="0.35">
      <c r="A215" s="2">
        <v>45243</v>
      </c>
      <c r="B215">
        <v>183.07110595703119</v>
      </c>
      <c r="C215">
        <v>559.17266845703125</v>
      </c>
      <c r="D215">
        <v>137.7462463378906</v>
      </c>
      <c r="E215">
        <v>138.80238342285159</v>
      </c>
      <c r="F215">
        <v>50.941402435302727</v>
      </c>
      <c r="G215">
        <v>144.92762756347659</v>
      </c>
      <c r="H215">
        <v>4411.5498046875</v>
      </c>
      <c r="I215" s="13">
        <f t="shared" si="33"/>
        <v>-8.6205276958884209E-3</v>
      </c>
      <c r="J215" s="13">
        <f t="shared" si="34"/>
        <v>1.9216212381867543E-3</v>
      </c>
      <c r="K215" s="13">
        <f t="shared" si="35"/>
        <v>2.5772775620600784E-3</v>
      </c>
      <c r="L215" s="13">
        <f t="shared" si="36"/>
        <v>-4.448920683307862E-3</v>
      </c>
      <c r="M215" s="13">
        <f t="shared" si="37"/>
        <v>-1.167459919202485E-2</v>
      </c>
      <c r="N215" s="13">
        <f t="shared" si="38"/>
        <v>6.9108706765713098E-3</v>
      </c>
      <c r="O215" s="13">
        <f t="shared" si="39"/>
        <v>-8.3618844137008466E-4</v>
      </c>
    </row>
    <row r="216" spans="1:15" x14ac:dyDescent="0.35">
      <c r="A216" s="2">
        <v>45244</v>
      </c>
      <c r="B216">
        <v>185.6864013671875</v>
      </c>
      <c r="C216">
        <v>571.32830810546875</v>
      </c>
      <c r="D216">
        <v>137.77424621582031</v>
      </c>
      <c r="E216">
        <v>141.3350830078125</v>
      </c>
      <c r="F216">
        <v>53.792247772216797</v>
      </c>
      <c r="G216">
        <v>144.60444641113281</v>
      </c>
      <c r="H216">
        <v>4495.7001953125</v>
      </c>
      <c r="I216" s="13">
        <f t="shared" si="33"/>
        <v>1.4184602121937773E-2</v>
      </c>
      <c r="J216" s="13">
        <f t="shared" si="34"/>
        <v>2.1505701260913463E-2</v>
      </c>
      <c r="K216" s="13">
        <f t="shared" si="35"/>
        <v>2.0325078375547817E-4</v>
      </c>
      <c r="L216" s="13">
        <f t="shared" si="36"/>
        <v>1.8082326699826762E-2</v>
      </c>
      <c r="M216" s="13">
        <f t="shared" si="37"/>
        <v>5.4453363038743659E-2</v>
      </c>
      <c r="N216" s="13">
        <f t="shared" si="38"/>
        <v>-2.2324385836033412E-3</v>
      </c>
      <c r="O216" s="13">
        <f t="shared" si="39"/>
        <v>1.8895370474577251E-2</v>
      </c>
    </row>
    <row r="217" spans="1:15" x14ac:dyDescent="0.35">
      <c r="A217" s="2">
        <v>45245</v>
      </c>
      <c r="B217">
        <v>186.2510681152344</v>
      </c>
      <c r="C217">
        <v>577.11126708984375</v>
      </c>
      <c r="D217">
        <v>138.8379211425781</v>
      </c>
      <c r="E217">
        <v>142.5728454589844</v>
      </c>
      <c r="F217">
        <v>53.278163909912109</v>
      </c>
      <c r="G217">
        <v>143.9389953613281</v>
      </c>
      <c r="H217">
        <v>4502.8798828125</v>
      </c>
      <c r="I217" s="13">
        <f t="shared" si="33"/>
        <v>3.0363554532928335E-3</v>
      </c>
      <c r="J217" s="13">
        <f t="shared" si="34"/>
        <v>1.0071070325249782E-2</v>
      </c>
      <c r="K217" s="13">
        <f t="shared" si="35"/>
        <v>7.6907692077190695E-3</v>
      </c>
      <c r="L217" s="13">
        <f t="shared" si="36"/>
        <v>8.7195190363596447E-3</v>
      </c>
      <c r="M217" s="13">
        <f t="shared" si="37"/>
        <v>-9.6027988440239506E-3</v>
      </c>
      <c r="N217" s="13">
        <f t="shared" si="38"/>
        <v>-4.612492493405178E-3</v>
      </c>
      <c r="O217" s="13">
        <f t="shared" si="39"/>
        <v>1.5957382078471765E-3</v>
      </c>
    </row>
    <row r="218" spans="1:15" x14ac:dyDescent="0.35">
      <c r="A218" s="2">
        <v>45246</v>
      </c>
      <c r="B218">
        <v>187.9351501464844</v>
      </c>
      <c r="C218">
        <v>559.5111083984375</v>
      </c>
      <c r="D218">
        <v>140.0509033203125</v>
      </c>
      <c r="E218">
        <v>144.20100402832031</v>
      </c>
      <c r="F218">
        <v>52.904281616210938</v>
      </c>
      <c r="G218">
        <v>145.27935791015619</v>
      </c>
      <c r="H218">
        <v>4508.240234375</v>
      </c>
      <c r="I218" s="13">
        <f t="shared" si="33"/>
        <v>9.0013652029234115E-3</v>
      </c>
      <c r="J218" s="13">
        <f t="shared" si="34"/>
        <v>-3.0971703453892649E-2</v>
      </c>
      <c r="K218" s="13">
        <f t="shared" si="35"/>
        <v>8.6987338321579417E-3</v>
      </c>
      <c r="L218" s="13">
        <f t="shared" si="36"/>
        <v>1.1355122279178828E-2</v>
      </c>
      <c r="M218" s="13">
        <f t="shared" si="37"/>
        <v>-7.0422909744873637E-3</v>
      </c>
      <c r="N218" s="13">
        <f t="shared" si="38"/>
        <v>9.2689286822298621E-3</v>
      </c>
      <c r="O218" s="13">
        <f t="shared" si="39"/>
        <v>1.1897193967137305E-3</v>
      </c>
    </row>
    <row r="219" spans="1:15" x14ac:dyDescent="0.35">
      <c r="A219" s="2">
        <v>45247</v>
      </c>
      <c r="B219">
        <v>187.91532897949219</v>
      </c>
      <c r="C219">
        <v>558.128173828125</v>
      </c>
      <c r="D219">
        <v>139.7616271972656</v>
      </c>
      <c r="E219">
        <v>145.50544738769531</v>
      </c>
      <c r="F219">
        <v>53.624004364013672</v>
      </c>
      <c r="G219">
        <v>143.6063232421875</v>
      </c>
      <c r="H219">
        <v>4514.02001953125</v>
      </c>
      <c r="I219" s="13">
        <f t="shared" si="33"/>
        <v>-1.0547368228284224E-4</v>
      </c>
      <c r="J219" s="13">
        <f t="shared" si="34"/>
        <v>-2.4747435028516416E-3</v>
      </c>
      <c r="K219" s="13">
        <f t="shared" si="35"/>
        <v>-2.0676431149812737E-3</v>
      </c>
      <c r="L219" s="13">
        <f t="shared" si="36"/>
        <v>9.0053374263952476E-3</v>
      </c>
      <c r="M219" s="13">
        <f t="shared" si="37"/>
        <v>1.351253692383028E-2</v>
      </c>
      <c r="N219" s="13">
        <f t="shared" si="38"/>
        <v>-1.1582805807298039E-2</v>
      </c>
      <c r="O219" s="13">
        <f t="shared" si="39"/>
        <v>1.2812279371779871E-3</v>
      </c>
    </row>
    <row r="220" spans="1:15" x14ac:dyDescent="0.35">
      <c r="A220" s="2">
        <v>45250</v>
      </c>
      <c r="B220">
        <v>189.65887451171881</v>
      </c>
      <c r="C220">
        <v>561.65789794921875</v>
      </c>
      <c r="D220">
        <v>140.99372863769531</v>
      </c>
      <c r="E220">
        <v>145.95292663574219</v>
      </c>
      <c r="F220">
        <v>53.595962524414063</v>
      </c>
      <c r="G220">
        <v>142.8458251953125</v>
      </c>
      <c r="H220">
        <v>4547.3798828125</v>
      </c>
      <c r="I220" s="13">
        <f t="shared" si="33"/>
        <v>9.2355775855102844E-3</v>
      </c>
      <c r="J220" s="13">
        <f t="shared" si="34"/>
        <v>6.3043038318961412E-3</v>
      </c>
      <c r="K220" s="13">
        <f t="shared" si="35"/>
        <v>8.7771030874465115E-3</v>
      </c>
      <c r="L220" s="13">
        <f t="shared" si="36"/>
        <v>3.0706244151882584E-3</v>
      </c>
      <c r="M220" s="13">
        <f t="shared" si="37"/>
        <v>-5.2307123482231758E-4</v>
      </c>
      <c r="N220" s="13">
        <f t="shared" si="38"/>
        <v>-5.3097862089832078E-3</v>
      </c>
      <c r="O220" s="13">
        <f t="shared" si="39"/>
        <v>7.3631037937956327E-3</v>
      </c>
    </row>
    <row r="221" spans="1:15" x14ac:dyDescent="0.35">
      <c r="A221" s="2">
        <v>45251</v>
      </c>
      <c r="B221">
        <v>188.85646057128909</v>
      </c>
      <c r="C221">
        <v>565.04254150390625</v>
      </c>
      <c r="D221">
        <v>142.1317443847656</v>
      </c>
      <c r="E221">
        <v>145.64825439453119</v>
      </c>
      <c r="F221">
        <v>54.194175720214837</v>
      </c>
      <c r="G221">
        <v>142.21846008300781</v>
      </c>
      <c r="H221">
        <v>4538.18994140625</v>
      </c>
      <c r="I221" s="13">
        <f t="shared" si="33"/>
        <v>-4.2398025552359718E-3</v>
      </c>
      <c r="J221" s="13">
        <f t="shared" si="34"/>
        <v>6.0080809724801154E-3</v>
      </c>
      <c r="K221" s="13">
        <f t="shared" si="35"/>
        <v>8.0389931972064121E-3</v>
      </c>
      <c r="L221" s="13">
        <f t="shared" si="36"/>
        <v>-2.0896510158204882E-3</v>
      </c>
      <c r="M221" s="13">
        <f t="shared" si="37"/>
        <v>1.1099704432281072E-2</v>
      </c>
      <c r="N221" s="13">
        <f t="shared" si="38"/>
        <v>-4.4015764694359527E-3</v>
      </c>
      <c r="O221" s="13">
        <f t="shared" si="39"/>
        <v>-2.0229759317579679E-3</v>
      </c>
    </row>
    <row r="222" spans="1:15" x14ac:dyDescent="0.35">
      <c r="A222" s="2">
        <v>45252</v>
      </c>
      <c r="B222">
        <v>189.52018737792969</v>
      </c>
      <c r="C222">
        <v>569.6650390625</v>
      </c>
      <c r="D222">
        <v>141.84959411621091</v>
      </c>
      <c r="E222">
        <v>145.99102783203119</v>
      </c>
      <c r="F222">
        <v>54.154598236083977</v>
      </c>
      <c r="G222">
        <v>143.55877685546881</v>
      </c>
      <c r="H222">
        <v>4556.6201171875</v>
      </c>
      <c r="I222" s="13">
        <f t="shared" si="33"/>
        <v>3.5082899063972979E-3</v>
      </c>
      <c r="J222" s="13">
        <f t="shared" si="34"/>
        <v>8.1475143175479946E-3</v>
      </c>
      <c r="K222" s="13">
        <f t="shared" si="35"/>
        <v>-1.9871049477071636E-3</v>
      </c>
      <c r="L222" s="13">
        <f t="shared" si="36"/>
        <v>2.3506682139657837E-3</v>
      </c>
      <c r="M222" s="13">
        <f t="shared" si="37"/>
        <v>-7.3055715253546305E-4</v>
      </c>
      <c r="N222" s="13">
        <f t="shared" si="38"/>
        <v>9.3802194640312409E-3</v>
      </c>
      <c r="O222" s="13">
        <f t="shared" si="39"/>
        <v>4.0529050943133244E-3</v>
      </c>
    </row>
    <row r="223" spans="1:15" x14ac:dyDescent="0.35">
      <c r="A223" s="2">
        <v>45254</v>
      </c>
      <c r="B223">
        <v>188.19273376464841</v>
      </c>
      <c r="C223">
        <v>571.869873046875</v>
      </c>
      <c r="D223">
        <v>143.42967224121091</v>
      </c>
      <c r="E223">
        <v>146.19096374511719</v>
      </c>
      <c r="F223">
        <v>54.229976654052727</v>
      </c>
      <c r="G223">
        <v>143.90098571777341</v>
      </c>
      <c r="H223">
        <v>4559.33984375</v>
      </c>
      <c r="I223" s="13">
        <f t="shared" si="33"/>
        <v>-7.0289312560190597E-3</v>
      </c>
      <c r="J223" s="13">
        <f t="shared" si="34"/>
        <v>3.8629334989994037E-3</v>
      </c>
      <c r="K223" s="13">
        <f t="shared" si="35"/>
        <v>1.1077526263769561E-2</v>
      </c>
      <c r="L223" s="13">
        <f t="shared" si="36"/>
        <v>1.3685713018330467E-3</v>
      </c>
      <c r="M223" s="13">
        <f t="shared" si="37"/>
        <v>1.3909438718230618E-3</v>
      </c>
      <c r="N223" s="13">
        <f t="shared" si="38"/>
        <v>2.380917738885087E-3</v>
      </c>
      <c r="O223" s="13">
        <f t="shared" si="39"/>
        <v>5.9669560964503222E-4</v>
      </c>
    </row>
    <row r="224" spans="1:15" x14ac:dyDescent="0.35">
      <c r="A224" s="2">
        <v>45257</v>
      </c>
      <c r="B224">
        <v>188.01438903808591</v>
      </c>
      <c r="C224">
        <v>575.293212890625</v>
      </c>
      <c r="D224">
        <v>142.28224182128909</v>
      </c>
      <c r="E224">
        <v>145.85772705078119</v>
      </c>
      <c r="F224">
        <v>54.258251190185547</v>
      </c>
      <c r="G224">
        <v>143.76792907714841</v>
      </c>
      <c r="H224">
        <v>4550.43017578125</v>
      </c>
      <c r="I224" s="13">
        <f t="shared" si="33"/>
        <v>-9.4811995367772531E-4</v>
      </c>
      <c r="J224" s="13">
        <f t="shared" si="34"/>
        <v>5.9683754607385755E-3</v>
      </c>
      <c r="K224" s="13">
        <f t="shared" si="35"/>
        <v>-8.0321227944078928E-3</v>
      </c>
      <c r="L224" s="13">
        <f t="shared" si="36"/>
        <v>-2.2820635699300289E-3</v>
      </c>
      <c r="M224" s="13">
        <f t="shared" si="37"/>
        <v>5.2124617269243636E-4</v>
      </c>
      <c r="N224" s="13">
        <f t="shared" si="38"/>
        <v>-9.250679741220298E-4</v>
      </c>
      <c r="O224" s="13">
        <f t="shared" si="39"/>
        <v>-1.9560693168983586E-3</v>
      </c>
    </row>
    <row r="225" spans="1:15" x14ac:dyDescent="0.35">
      <c r="A225" s="2">
        <v>45258</v>
      </c>
      <c r="B225">
        <v>188.61869812011719</v>
      </c>
      <c r="C225">
        <v>574.4229736328125</v>
      </c>
      <c r="D225">
        <v>142.61143493652341</v>
      </c>
      <c r="E225">
        <v>146.19096374511719</v>
      </c>
      <c r="F225">
        <v>54.804790496826172</v>
      </c>
      <c r="G225">
        <v>144.76603698730469</v>
      </c>
      <c r="H225">
        <v>4554.89013671875</v>
      </c>
      <c r="I225" s="13">
        <f t="shared" si="33"/>
        <v>3.2090096235348618E-3</v>
      </c>
      <c r="J225" s="13">
        <f t="shared" si="34"/>
        <v>-1.5138334733501343E-3</v>
      </c>
      <c r="K225" s="13">
        <f t="shared" si="35"/>
        <v>2.3109902998909122E-3</v>
      </c>
      <c r="L225" s="13">
        <f t="shared" si="36"/>
        <v>2.2820635699301725E-3</v>
      </c>
      <c r="M225" s="13">
        <f t="shared" si="37"/>
        <v>1.002253143173162E-2</v>
      </c>
      <c r="N225" s="13">
        <f t="shared" si="38"/>
        <v>6.918505332523737E-3</v>
      </c>
      <c r="O225" s="13">
        <f t="shared" si="39"/>
        <v>9.7963852805029177E-4</v>
      </c>
    </row>
    <row r="226" spans="1:15" x14ac:dyDescent="0.35">
      <c r="A226" s="2">
        <v>45259</v>
      </c>
      <c r="B226">
        <v>187.59832763671881</v>
      </c>
      <c r="C226">
        <v>568.4852294921875</v>
      </c>
      <c r="D226">
        <v>143.06285095214841</v>
      </c>
      <c r="E226">
        <v>146.93363952636719</v>
      </c>
      <c r="F226">
        <v>54.993255615234382</v>
      </c>
      <c r="G226">
        <v>143.66334533691409</v>
      </c>
      <c r="H226">
        <v>4550.580078125</v>
      </c>
      <c r="I226" s="13">
        <f t="shared" si="33"/>
        <v>-5.4243849453054788E-3</v>
      </c>
      <c r="J226" s="13">
        <f t="shared" si="34"/>
        <v>-1.0390681504073206E-2</v>
      </c>
      <c r="K226" s="13">
        <f t="shared" si="35"/>
        <v>3.1603571875145654E-3</v>
      </c>
      <c r="L226" s="13">
        <f t="shared" si="36"/>
        <v>5.0673151427294959E-3</v>
      </c>
      <c r="M226" s="13">
        <f t="shared" si="37"/>
        <v>3.4329445772828967E-3</v>
      </c>
      <c r="N226" s="13">
        <f t="shared" si="38"/>
        <v>-7.6462183836721381E-3</v>
      </c>
      <c r="O226" s="13">
        <f t="shared" si="39"/>
        <v>-9.4669661510193815E-4</v>
      </c>
    </row>
    <row r="227" spans="1:15" x14ac:dyDescent="0.35">
      <c r="A227" s="2">
        <v>45260</v>
      </c>
      <c r="B227">
        <v>188.17289733886719</v>
      </c>
      <c r="C227">
        <v>573.204345703125</v>
      </c>
      <c r="D227">
        <v>145.4612121582031</v>
      </c>
      <c r="E227">
        <v>148.6094055175781</v>
      </c>
      <c r="F227">
        <v>55.134590148925781</v>
      </c>
      <c r="G227">
        <v>145.9352722167969</v>
      </c>
      <c r="H227">
        <v>4567.7998046875</v>
      </c>
      <c r="I227" s="13">
        <f t="shared" si="33"/>
        <v>3.0580848757717186E-3</v>
      </c>
      <c r="J227" s="13">
        <f t="shared" si="34"/>
        <v>8.2669460941855507E-3</v>
      </c>
      <c r="K227" s="13">
        <f t="shared" si="35"/>
        <v>1.6625417118393018E-2</v>
      </c>
      <c r="L227" s="13">
        <f t="shared" si="36"/>
        <v>1.1340371417711527E-2</v>
      </c>
      <c r="M227" s="13">
        <f t="shared" si="37"/>
        <v>2.5667370555555093E-3</v>
      </c>
      <c r="N227" s="13">
        <f t="shared" si="38"/>
        <v>1.5690499558960912E-2</v>
      </c>
      <c r="O227" s="13">
        <f t="shared" si="39"/>
        <v>3.7769312649946051E-3</v>
      </c>
    </row>
    <row r="228" spans="1:15" x14ac:dyDescent="0.35">
      <c r="A228" s="2">
        <v>45261</v>
      </c>
      <c r="B228">
        <v>189.4508361816406</v>
      </c>
      <c r="C228">
        <v>576.59869384765625</v>
      </c>
      <c r="D228">
        <v>148.95994567871091</v>
      </c>
      <c r="E228">
        <v>149.33299255371091</v>
      </c>
      <c r="F228">
        <v>55.756519317626953</v>
      </c>
      <c r="G228">
        <v>145.1177673339844</v>
      </c>
      <c r="H228">
        <v>4594.6298828125</v>
      </c>
      <c r="I228" s="13">
        <f t="shared" si="33"/>
        <v>6.7683442957294868E-3</v>
      </c>
      <c r="J228" s="13">
        <f t="shared" si="34"/>
        <v>5.9042425326265718E-3</v>
      </c>
      <c r="K228" s="13">
        <f t="shared" si="35"/>
        <v>2.3767980891560913E-2</v>
      </c>
      <c r="L228" s="13">
        <f t="shared" si="36"/>
        <v>4.857237260852635E-3</v>
      </c>
      <c r="M228" s="13">
        <f t="shared" si="37"/>
        <v>1.1217052344845147E-2</v>
      </c>
      <c r="N228" s="13">
        <f t="shared" si="38"/>
        <v>-5.6175811386229508E-3</v>
      </c>
      <c r="O228" s="13">
        <f t="shared" si="39"/>
        <v>5.8565589538466366E-3</v>
      </c>
    </row>
    <row r="229" spans="1:15" x14ac:dyDescent="0.35">
      <c r="A229" s="2">
        <v>45264</v>
      </c>
      <c r="B229">
        <v>187.6577453613281</v>
      </c>
      <c r="C229">
        <v>579.33551025390625</v>
      </c>
      <c r="D229">
        <v>149.4302062988281</v>
      </c>
      <c r="E229">
        <v>150.427978515625</v>
      </c>
      <c r="F229">
        <v>55.285362243652337</v>
      </c>
      <c r="G229">
        <v>144.54740905761719</v>
      </c>
      <c r="H229">
        <v>4569.77978515625</v>
      </c>
      <c r="I229" s="13">
        <f t="shared" si="33"/>
        <v>-9.5097508849588466E-3</v>
      </c>
      <c r="J229" s="13">
        <f t="shared" si="34"/>
        <v>4.7352548448245328E-3</v>
      </c>
      <c r="K229" s="13">
        <f t="shared" si="35"/>
        <v>3.15198746565946E-3</v>
      </c>
      <c r="L229" s="13">
        <f t="shared" si="36"/>
        <v>7.3057598414513576E-3</v>
      </c>
      <c r="M229" s="13">
        <f t="shared" si="37"/>
        <v>-8.4861656679133847E-3</v>
      </c>
      <c r="N229" s="13">
        <f t="shared" si="38"/>
        <v>-3.9380571774562086E-3</v>
      </c>
      <c r="O229" s="13">
        <f t="shared" si="39"/>
        <v>-5.4231880638269427E-3</v>
      </c>
    </row>
    <row r="230" spans="1:15" x14ac:dyDescent="0.35">
      <c r="A230" s="2">
        <v>45265</v>
      </c>
      <c r="B230">
        <v>191.61042785644531</v>
      </c>
      <c r="C230">
        <v>585.39874267578125</v>
      </c>
      <c r="D230">
        <v>149.11981201171881</v>
      </c>
      <c r="E230">
        <v>150.4089660644531</v>
      </c>
      <c r="F230">
        <v>54.870750427246087</v>
      </c>
      <c r="G230">
        <v>139.5092468261719</v>
      </c>
      <c r="H230">
        <v>4567.18017578125</v>
      </c>
      <c r="I230" s="13">
        <f t="shared" si="33"/>
        <v>2.0844488891281519E-2</v>
      </c>
      <c r="J230" s="13">
        <f t="shared" si="34"/>
        <v>1.0411451671278027E-2</v>
      </c>
      <c r="K230" s="13">
        <f t="shared" si="35"/>
        <v>-2.0793460385827201E-3</v>
      </c>
      <c r="L230" s="13">
        <f t="shared" si="36"/>
        <v>-1.2639705022770561E-4</v>
      </c>
      <c r="M230" s="13">
        <f t="shared" si="37"/>
        <v>-7.5277488330372233E-3</v>
      </c>
      <c r="N230" s="13">
        <f t="shared" si="38"/>
        <v>-3.5476659549839605E-2</v>
      </c>
      <c r="O230" s="13">
        <f t="shared" si="39"/>
        <v>-5.6903159393480261E-4</v>
      </c>
    </row>
    <row r="231" spans="1:15" x14ac:dyDescent="0.35">
      <c r="A231" s="2">
        <v>45266</v>
      </c>
      <c r="B231">
        <v>190.520751953125</v>
      </c>
      <c r="C231">
        <v>587.4102783203125</v>
      </c>
      <c r="D231">
        <v>147.30461120605469</v>
      </c>
      <c r="E231">
        <v>148.8283996582031</v>
      </c>
      <c r="F231">
        <v>56.727104187011719</v>
      </c>
      <c r="G231">
        <v>139.4046936035156</v>
      </c>
      <c r="H231">
        <v>4549.33984375</v>
      </c>
      <c r="I231" s="13">
        <f t="shared" si="33"/>
        <v>-5.7031664227871212E-3</v>
      </c>
      <c r="J231" s="13">
        <f t="shared" si="34"/>
        <v>3.4302901512172847E-3</v>
      </c>
      <c r="K231" s="13">
        <f t="shared" si="35"/>
        <v>-1.224746244566193E-2</v>
      </c>
      <c r="L231" s="13">
        <f t="shared" si="36"/>
        <v>-1.0564062423127431E-2</v>
      </c>
      <c r="M231" s="13">
        <f t="shared" si="37"/>
        <v>3.327169706906774E-2</v>
      </c>
      <c r="N231" s="13">
        <f t="shared" si="38"/>
        <v>-7.4971675773873882E-4</v>
      </c>
      <c r="O231" s="13">
        <f t="shared" si="39"/>
        <v>-3.9138519449437468E-3</v>
      </c>
    </row>
    <row r="232" spans="1:15" x14ac:dyDescent="0.35">
      <c r="A232" s="2">
        <v>45267</v>
      </c>
      <c r="B232">
        <v>192.45249938964841</v>
      </c>
      <c r="C232">
        <v>590.8143310546875</v>
      </c>
      <c r="D232">
        <v>146.15718078613281</v>
      </c>
      <c r="E232">
        <v>149.285400390625</v>
      </c>
      <c r="F232">
        <v>56.397285461425781</v>
      </c>
      <c r="G232">
        <v>139.2620849609375</v>
      </c>
      <c r="H232">
        <v>4585.58984375</v>
      </c>
      <c r="I232" s="13">
        <f t="shared" si="33"/>
        <v>1.0088244090051516E-2</v>
      </c>
      <c r="J232" s="13">
        <f t="shared" si="34"/>
        <v>5.7782907922245916E-3</v>
      </c>
      <c r="K232" s="13">
        <f t="shared" si="35"/>
        <v>-7.8200045019615905E-3</v>
      </c>
      <c r="L232" s="13">
        <f t="shared" si="36"/>
        <v>3.0659505888887256E-3</v>
      </c>
      <c r="M232" s="13">
        <f t="shared" si="37"/>
        <v>-5.8310972751922695E-3</v>
      </c>
      <c r="N232" s="13">
        <f t="shared" si="38"/>
        <v>-1.0235066825122021E-3</v>
      </c>
      <c r="O232" s="13">
        <f t="shared" si="39"/>
        <v>7.9366106848219216E-3</v>
      </c>
    </row>
    <row r="233" spans="1:15" x14ac:dyDescent="0.35">
      <c r="A233" s="2">
        <v>45268</v>
      </c>
      <c r="B233">
        <v>193.87901306152341</v>
      </c>
      <c r="C233">
        <v>590.6497802734375</v>
      </c>
      <c r="D233">
        <v>145.2355041503906</v>
      </c>
      <c r="E233">
        <v>150.9326171875</v>
      </c>
      <c r="F233">
        <v>56.255947113037109</v>
      </c>
      <c r="G233">
        <v>137.97880554199219</v>
      </c>
      <c r="H233">
        <v>4604.3701171875</v>
      </c>
      <c r="I233" s="13">
        <f t="shared" si="33"/>
        <v>7.3849536426912419E-3</v>
      </c>
      <c r="J233" s="13">
        <f t="shared" si="34"/>
        <v>-2.7855400893893258E-4</v>
      </c>
      <c r="K233" s="13">
        <f t="shared" si="35"/>
        <v>-6.3260318949399609E-3</v>
      </c>
      <c r="L233" s="13">
        <f t="shared" si="36"/>
        <v>1.0973580732286001E-2</v>
      </c>
      <c r="M233" s="13">
        <f t="shared" si="37"/>
        <v>-2.50926527928286E-3</v>
      </c>
      <c r="N233" s="13">
        <f t="shared" si="38"/>
        <v>-9.2575707835734853E-3</v>
      </c>
      <c r="O233" s="13">
        <f t="shared" si="39"/>
        <v>4.0871341465037936E-3</v>
      </c>
    </row>
    <row r="234" spans="1:15" x14ac:dyDescent="0.35">
      <c r="A234" s="2">
        <v>45271</v>
      </c>
      <c r="B234">
        <v>191.3726806640625</v>
      </c>
      <c r="C234">
        <v>603.29876708984375</v>
      </c>
      <c r="D234">
        <v>145.83741760253909</v>
      </c>
      <c r="E234">
        <v>151.4848327636719</v>
      </c>
      <c r="F234">
        <v>56.265365600585938</v>
      </c>
      <c r="G234">
        <v>138.6156921386719</v>
      </c>
      <c r="H234">
        <v>4622.43994140625</v>
      </c>
      <c r="I234" s="13">
        <f t="shared" si="33"/>
        <v>-1.3011585924941301E-2</v>
      </c>
      <c r="J234" s="13">
        <f t="shared" si="34"/>
        <v>2.1189288447828032E-2</v>
      </c>
      <c r="K234" s="13">
        <f t="shared" si="35"/>
        <v>4.1358317119024202E-3</v>
      </c>
      <c r="L234" s="13">
        <f t="shared" si="36"/>
        <v>3.6520127394207959E-3</v>
      </c>
      <c r="M234" s="13">
        <f t="shared" si="37"/>
        <v>1.6740806419130203E-4</v>
      </c>
      <c r="N234" s="13">
        <f t="shared" si="38"/>
        <v>4.6052089076828355E-3</v>
      </c>
      <c r="O234" s="13">
        <f t="shared" si="39"/>
        <v>3.9168135477814919E-3</v>
      </c>
    </row>
    <row r="235" spans="1:15" x14ac:dyDescent="0.35">
      <c r="A235" s="2">
        <v>45272</v>
      </c>
      <c r="B235">
        <v>192.88836669921881</v>
      </c>
      <c r="C235">
        <v>608.75286865234375</v>
      </c>
      <c r="D235">
        <v>145.84681701660159</v>
      </c>
      <c r="E235">
        <v>152.8368835449219</v>
      </c>
      <c r="F235">
        <v>56.086330413818359</v>
      </c>
      <c r="G235">
        <v>138.72978210449219</v>
      </c>
      <c r="H235">
        <v>4643.7001953125</v>
      </c>
      <c r="I235" s="13">
        <f t="shared" si="33"/>
        <v>7.8888760970967729E-3</v>
      </c>
      <c r="J235" s="13">
        <f t="shared" si="34"/>
        <v>8.999844916718085E-3</v>
      </c>
      <c r="K235" s="13">
        <f t="shared" si="35"/>
        <v>6.444924305239381E-5</v>
      </c>
      <c r="L235" s="13">
        <f t="shared" si="36"/>
        <v>8.8857258936115638E-3</v>
      </c>
      <c r="M235" s="13">
        <f t="shared" si="37"/>
        <v>-3.187051814285604E-3</v>
      </c>
      <c r="N235" s="13">
        <f t="shared" si="38"/>
        <v>8.2272820616279842E-4</v>
      </c>
      <c r="O235" s="13">
        <f t="shared" si="39"/>
        <v>4.5888127956924003E-3</v>
      </c>
    </row>
    <row r="236" spans="1:15" x14ac:dyDescent="0.35">
      <c r="A236" s="2">
        <v>45273</v>
      </c>
      <c r="B236">
        <v>196.10797119140619</v>
      </c>
      <c r="C236">
        <v>620.8409423828125</v>
      </c>
      <c r="D236">
        <v>146.52398681640619</v>
      </c>
      <c r="E236">
        <v>153.3510437011719</v>
      </c>
      <c r="F236">
        <v>58.903835296630859</v>
      </c>
      <c r="G236">
        <v>141.23933410644531</v>
      </c>
      <c r="H236">
        <v>4707.08984375</v>
      </c>
      <c r="I236" s="13">
        <f t="shared" si="33"/>
        <v>1.6553770305092617E-2</v>
      </c>
      <c r="J236" s="13">
        <f t="shared" si="34"/>
        <v>1.9662530946636284E-2</v>
      </c>
      <c r="K236" s="13">
        <f t="shared" si="35"/>
        <v>4.6322751917588691E-3</v>
      </c>
      <c r="L236" s="13">
        <f t="shared" si="36"/>
        <v>3.3584644839148906E-3</v>
      </c>
      <c r="M236" s="13">
        <f t="shared" si="37"/>
        <v>4.9014085730559272E-2</v>
      </c>
      <c r="N236" s="13">
        <f t="shared" si="38"/>
        <v>1.7927828977713216E-2</v>
      </c>
      <c r="O236" s="13">
        <f t="shared" si="39"/>
        <v>1.3558345175019811E-2</v>
      </c>
    </row>
    <row r="237" spans="1:15" x14ac:dyDescent="0.35">
      <c r="A237" s="2">
        <v>45274</v>
      </c>
      <c r="B237">
        <v>196.25657653808591</v>
      </c>
      <c r="C237">
        <v>609.99072265625</v>
      </c>
      <c r="D237">
        <v>147.53973388671881</v>
      </c>
      <c r="E237">
        <v>156.1407775878906</v>
      </c>
      <c r="F237">
        <v>59.158267974853523</v>
      </c>
      <c r="G237">
        <v>137.51300048828119</v>
      </c>
      <c r="H237">
        <v>4719.5498046875</v>
      </c>
      <c r="I237" s="13">
        <f t="shared" si="33"/>
        <v>7.5748614213626069E-4</v>
      </c>
      <c r="J237" s="13">
        <f t="shared" si="34"/>
        <v>-1.7631169406122332E-2</v>
      </c>
      <c r="K237" s="13">
        <f t="shared" si="35"/>
        <v>6.9083741962122393E-3</v>
      </c>
      <c r="L237" s="13">
        <f t="shared" si="36"/>
        <v>1.8028324204122783E-2</v>
      </c>
      <c r="M237" s="13">
        <f t="shared" si="37"/>
        <v>4.3101565204201114E-3</v>
      </c>
      <c r="N237" s="13">
        <f t="shared" si="38"/>
        <v>-2.6737394781808529E-2</v>
      </c>
      <c r="O237" s="13">
        <f t="shared" si="39"/>
        <v>2.6435651851544322E-3</v>
      </c>
    </row>
    <row r="238" spans="1:15" x14ac:dyDescent="0.35">
      <c r="A238" s="2">
        <v>45275</v>
      </c>
      <c r="B238">
        <v>195.72163391113281</v>
      </c>
      <c r="C238">
        <v>637.10662841796875</v>
      </c>
      <c r="D238">
        <v>145.9314880371094</v>
      </c>
      <c r="E238">
        <v>157.3214111328125</v>
      </c>
      <c r="F238">
        <v>57.952106475830078</v>
      </c>
      <c r="G238">
        <v>136.84757995605469</v>
      </c>
      <c r="H238">
        <v>4719.18994140625</v>
      </c>
      <c r="I238" s="13">
        <f t="shared" si="33"/>
        <v>-2.7294525297528035E-3</v>
      </c>
      <c r="J238" s="13">
        <f t="shared" si="34"/>
        <v>4.3493284823275496E-2</v>
      </c>
      <c r="K238" s="13">
        <f t="shared" si="35"/>
        <v>-1.0960270234223373E-2</v>
      </c>
      <c r="L238" s="13">
        <f t="shared" si="36"/>
        <v>7.5328965998086445E-3</v>
      </c>
      <c r="M238" s="13">
        <f t="shared" si="37"/>
        <v>-2.059944144073832E-2</v>
      </c>
      <c r="N238" s="13">
        <f t="shared" si="38"/>
        <v>-4.8507102288035831E-3</v>
      </c>
      <c r="O238" s="13">
        <f t="shared" si="39"/>
        <v>-7.6252400448594777E-5</v>
      </c>
    </row>
    <row r="239" spans="1:15" x14ac:dyDescent="0.35">
      <c r="A239" s="2">
        <v>45278</v>
      </c>
      <c r="B239">
        <v>194.05735778808591</v>
      </c>
      <c r="C239">
        <v>658.7874755859375</v>
      </c>
      <c r="D239">
        <v>146.19480895996091</v>
      </c>
      <c r="E239">
        <v>158.2735900878906</v>
      </c>
      <c r="F239">
        <v>57.480949401855469</v>
      </c>
      <c r="G239">
        <v>138.9483947753906</v>
      </c>
      <c r="H239">
        <v>4740.56005859375</v>
      </c>
      <c r="I239" s="13">
        <f t="shared" si="33"/>
        <v>-8.5396405269960399E-3</v>
      </c>
      <c r="J239" s="13">
        <f t="shared" si="34"/>
        <v>3.3463954057735237E-2</v>
      </c>
      <c r="K239" s="13">
        <f t="shared" si="35"/>
        <v>1.8027887038958535E-3</v>
      </c>
      <c r="L239" s="13">
        <f t="shared" si="36"/>
        <v>6.0342010525424932E-3</v>
      </c>
      <c r="M239" s="13">
        <f t="shared" si="37"/>
        <v>-8.1633408539143679E-3</v>
      </c>
      <c r="N239" s="13">
        <f t="shared" si="38"/>
        <v>1.5234852173680695E-2</v>
      </c>
      <c r="O239" s="13">
        <f t="shared" si="39"/>
        <v>4.5181222634005152E-3</v>
      </c>
    </row>
    <row r="240" spans="1:15" x14ac:dyDescent="0.35">
      <c r="A240" s="2">
        <v>45279</v>
      </c>
      <c r="B240">
        <v>195.09751892089841</v>
      </c>
      <c r="C240">
        <v>655.40289306640625</v>
      </c>
      <c r="D240">
        <v>147.1541442871094</v>
      </c>
      <c r="E240">
        <v>160.38731384277341</v>
      </c>
      <c r="F240">
        <v>58.01806640625</v>
      </c>
      <c r="G240">
        <v>138.9483947753906</v>
      </c>
      <c r="H240">
        <v>4768.3701171875</v>
      </c>
      <c r="I240" s="13">
        <f t="shared" si="33"/>
        <v>5.345756520769445E-3</v>
      </c>
      <c r="J240" s="13">
        <f t="shared" si="34"/>
        <v>-5.1508367179135288E-3</v>
      </c>
      <c r="K240" s="13">
        <f t="shared" si="35"/>
        <v>6.5405977182540747E-3</v>
      </c>
      <c r="L240" s="13">
        <f t="shared" si="36"/>
        <v>1.326648314823514E-2</v>
      </c>
      <c r="M240" s="13">
        <f t="shared" si="37"/>
        <v>9.3008736503786844E-3</v>
      </c>
      <c r="N240" s="13">
        <f t="shared" si="38"/>
        <v>0</v>
      </c>
      <c r="O240" s="13">
        <f t="shared" si="39"/>
        <v>5.8492674508189039E-3</v>
      </c>
    </row>
    <row r="241" spans="1:15" x14ac:dyDescent="0.35">
      <c r="A241" s="2">
        <v>45280</v>
      </c>
      <c r="B241">
        <v>193.00724792480469</v>
      </c>
      <c r="C241">
        <v>639.2147216796875</v>
      </c>
      <c r="D241">
        <v>144.15386962890619</v>
      </c>
      <c r="E241">
        <v>158.5782775878906</v>
      </c>
      <c r="F241">
        <v>56.387870788574219</v>
      </c>
      <c r="G241">
        <v>136.800048828125</v>
      </c>
      <c r="H241">
        <v>4698.35009765625</v>
      </c>
      <c r="I241" s="13">
        <f t="shared" si="33"/>
        <v>-1.0771788372867259E-2</v>
      </c>
      <c r="J241" s="13">
        <f t="shared" si="34"/>
        <v>-2.5009724853929067E-2</v>
      </c>
      <c r="K241" s="13">
        <f t="shared" si="35"/>
        <v>-2.0599369789662404E-2</v>
      </c>
      <c r="L241" s="13">
        <f t="shared" si="36"/>
        <v>-1.1343265234773066E-2</v>
      </c>
      <c r="M241" s="13">
        <f t="shared" si="37"/>
        <v>-2.8500373370705975E-2</v>
      </c>
      <c r="N241" s="13">
        <f t="shared" si="38"/>
        <v>-1.5582241468584267E-2</v>
      </c>
      <c r="O241" s="13">
        <f t="shared" si="39"/>
        <v>-1.4793147965305628E-2</v>
      </c>
    </row>
    <row r="242" spans="1:15" x14ac:dyDescent="0.35">
      <c r="A242" s="2">
        <v>45281</v>
      </c>
      <c r="B242">
        <v>192.858642578125</v>
      </c>
      <c r="C242">
        <v>643.237548828125</v>
      </c>
      <c r="D242">
        <v>145.63050842285159</v>
      </c>
      <c r="E242">
        <v>159.4827880859375</v>
      </c>
      <c r="F242">
        <v>56.161720275878913</v>
      </c>
      <c r="G242">
        <v>137.13273620605469</v>
      </c>
      <c r="H242">
        <v>4746.75</v>
      </c>
      <c r="I242" s="13">
        <f t="shared" si="33"/>
        <v>-7.7024353633840272E-4</v>
      </c>
      <c r="J242" s="13">
        <f t="shared" si="34"/>
        <v>6.2736687133730087E-3</v>
      </c>
      <c r="K242" s="13">
        <f t="shared" si="35"/>
        <v>1.019138150015873E-2</v>
      </c>
      <c r="L242" s="13">
        <f t="shared" si="36"/>
        <v>5.6876684010765477E-3</v>
      </c>
      <c r="M242" s="13">
        <f t="shared" si="37"/>
        <v>-4.0186874943644833E-3</v>
      </c>
      <c r="N242" s="13">
        <f t="shared" si="38"/>
        <v>2.428972066682931E-3</v>
      </c>
      <c r="O242" s="13">
        <f t="shared" si="39"/>
        <v>1.0248769307271876E-2</v>
      </c>
    </row>
    <row r="243" spans="1:15" x14ac:dyDescent="0.35">
      <c r="A243" s="2">
        <v>45282</v>
      </c>
      <c r="B243">
        <v>191.78875732421881</v>
      </c>
      <c r="C243">
        <v>649.46533203125</v>
      </c>
      <c r="D243">
        <v>146.213623046875</v>
      </c>
      <c r="E243">
        <v>159.38755798339841</v>
      </c>
      <c r="F243">
        <v>56.303058624267578</v>
      </c>
      <c r="G243">
        <v>138.10235595703119</v>
      </c>
      <c r="H243">
        <v>4754.6298828125</v>
      </c>
      <c r="I243" s="13">
        <f t="shared" si="33"/>
        <v>-5.5629546086806373E-3</v>
      </c>
      <c r="J243" s="13">
        <f t="shared" si="34"/>
        <v>9.63536397678166E-3</v>
      </c>
      <c r="K243" s="13">
        <f t="shared" si="35"/>
        <v>3.9960741855415106E-3</v>
      </c>
      <c r="L243" s="13">
        <f t="shared" si="36"/>
        <v>-5.9729671663861345E-4</v>
      </c>
      <c r="M243" s="13">
        <f t="shared" si="37"/>
        <v>2.5134699802018623E-3</v>
      </c>
      <c r="N243" s="13">
        <f t="shared" si="38"/>
        <v>7.0457858741554101E-3</v>
      </c>
      <c r="O243" s="13">
        <f t="shared" si="39"/>
        <v>1.6586821527610754E-3</v>
      </c>
    </row>
    <row r="244" spans="1:15" x14ac:dyDescent="0.35">
      <c r="A244" s="2">
        <v>45286</v>
      </c>
      <c r="B244">
        <v>191.24391174316409</v>
      </c>
      <c r="C244">
        <v>652.38580322265625</v>
      </c>
      <c r="D244">
        <v>146.85319519042969</v>
      </c>
      <c r="E244">
        <v>160.33018493652341</v>
      </c>
      <c r="F244">
        <v>56.736526489257813</v>
      </c>
      <c r="G244">
        <v>138.72978210449219</v>
      </c>
      <c r="H244">
        <v>4774.75</v>
      </c>
      <c r="I244" s="13">
        <f t="shared" si="33"/>
        <v>-2.8449058920036402E-3</v>
      </c>
      <c r="J244" s="13">
        <f t="shared" si="34"/>
        <v>4.4866513711420003E-3</v>
      </c>
      <c r="K244" s="13">
        <f t="shared" si="35"/>
        <v>4.3646917296908264E-3</v>
      </c>
      <c r="L244" s="13">
        <f t="shared" si="36"/>
        <v>5.8966366758479343E-3</v>
      </c>
      <c r="M244" s="13">
        <f t="shared" si="37"/>
        <v>7.6693485601231062E-3</v>
      </c>
      <c r="N244" s="13">
        <f t="shared" si="38"/>
        <v>4.532907386964216E-3</v>
      </c>
      <c r="O244" s="13">
        <f t="shared" si="39"/>
        <v>4.2227610469785593E-3</v>
      </c>
    </row>
    <row r="245" spans="1:15" x14ac:dyDescent="0.35">
      <c r="A245" s="2">
        <v>45287</v>
      </c>
      <c r="B245">
        <v>191.34297180175781</v>
      </c>
      <c r="C245">
        <v>659.48699951171875</v>
      </c>
      <c r="D245">
        <v>147.0506896972656</v>
      </c>
      <c r="E245">
        <v>161.2918395996094</v>
      </c>
      <c r="F245">
        <v>57.085178375244141</v>
      </c>
      <c r="G245">
        <v>138.84382629394531</v>
      </c>
      <c r="H245">
        <v>4781.580078125</v>
      </c>
      <c r="I245" s="13">
        <f t="shared" si="33"/>
        <v>5.1784347591608186E-4</v>
      </c>
      <c r="J245" s="13">
        <f t="shared" si="34"/>
        <v>1.0826149657813079E-2</v>
      </c>
      <c r="K245" s="13">
        <f t="shared" si="35"/>
        <v>1.3439396123474288E-3</v>
      </c>
      <c r="L245" s="13">
        <f t="shared" si="36"/>
        <v>5.9800477301263835E-3</v>
      </c>
      <c r="M245" s="13">
        <f t="shared" si="37"/>
        <v>6.1263003722300813E-3</v>
      </c>
      <c r="N245" s="13">
        <f t="shared" si="38"/>
        <v>8.2172218409593792E-4</v>
      </c>
      <c r="O245" s="13">
        <f t="shared" si="39"/>
        <v>1.4294356164229985E-3</v>
      </c>
    </row>
    <row r="246" spans="1:15" x14ac:dyDescent="0.35">
      <c r="A246" s="2">
        <v>45288</v>
      </c>
      <c r="B246">
        <v>191.7689514160156</v>
      </c>
      <c r="C246">
        <v>655.82757568359375</v>
      </c>
      <c r="D246">
        <v>147.26701354980469</v>
      </c>
      <c r="E246">
        <v>162.1487731933594</v>
      </c>
      <c r="F246">
        <v>57.499797821044922</v>
      </c>
      <c r="G246">
        <v>138.53013610839841</v>
      </c>
      <c r="H246">
        <v>4783.35009765625</v>
      </c>
      <c r="I246" s="13">
        <f t="shared" si="33"/>
        <v>2.2237876922610619E-3</v>
      </c>
      <c r="J246" s="13">
        <f t="shared" si="34"/>
        <v>-5.5643468703853735E-3</v>
      </c>
      <c r="K246" s="13">
        <f t="shared" si="35"/>
        <v>1.470002579573981E-3</v>
      </c>
      <c r="L246" s="13">
        <f t="shared" si="36"/>
        <v>5.2988744452101772E-3</v>
      </c>
      <c r="M246" s="13">
        <f t="shared" si="37"/>
        <v>7.236921787411945E-3</v>
      </c>
      <c r="N246" s="13">
        <f t="shared" si="38"/>
        <v>-2.2618584424197218E-3</v>
      </c>
      <c r="O246" s="13">
        <f t="shared" si="39"/>
        <v>3.701061103271183E-4</v>
      </c>
    </row>
    <row r="247" spans="1:15" x14ac:dyDescent="0.35">
      <c r="A247" s="2">
        <v>45289</v>
      </c>
      <c r="B247">
        <v>190.72877502441409</v>
      </c>
      <c r="C247">
        <v>652.8408203125</v>
      </c>
      <c r="D247">
        <v>147.41749572753909</v>
      </c>
      <c r="E247">
        <v>161.9583740234375</v>
      </c>
      <c r="F247">
        <v>57.235946655273438</v>
      </c>
      <c r="G247">
        <v>139.30010986328119</v>
      </c>
      <c r="H247">
        <v>4769.830078125</v>
      </c>
      <c r="I247" s="13">
        <f t="shared" si="33"/>
        <v>-5.4388765414870362E-3</v>
      </c>
      <c r="J247" s="13">
        <f t="shared" si="34"/>
        <v>-4.5645796384789815E-3</v>
      </c>
      <c r="K247" s="13">
        <f t="shared" si="35"/>
        <v>1.0213104936108292E-3</v>
      </c>
      <c r="L247" s="13">
        <f t="shared" si="36"/>
        <v>-1.1749151073006492E-3</v>
      </c>
      <c r="M247" s="13">
        <f t="shared" si="37"/>
        <v>-4.5992926108611512E-3</v>
      </c>
      <c r="N247" s="13">
        <f t="shared" si="38"/>
        <v>5.5427782779739884E-3</v>
      </c>
      <c r="O247" s="13">
        <f t="shared" si="39"/>
        <v>-2.8304770367338357E-3</v>
      </c>
    </row>
    <row r="248" spans="1:15" x14ac:dyDescent="0.35">
      <c r="A248" s="2">
        <v>45293</v>
      </c>
      <c r="B248">
        <v>183.9032287597656</v>
      </c>
      <c r="C248">
        <v>643.51422119140625</v>
      </c>
      <c r="D248">
        <v>150.45538330078119</v>
      </c>
      <c r="E248">
        <v>163.8435974121094</v>
      </c>
      <c r="F248">
        <v>58.01806640625</v>
      </c>
      <c r="G248">
        <v>141.39141845703119</v>
      </c>
      <c r="H248">
        <v>4742.830078125</v>
      </c>
      <c r="I248" s="13">
        <f t="shared" si="33"/>
        <v>-3.6442704198449576E-2</v>
      </c>
      <c r="J248" s="13">
        <f t="shared" si="34"/>
        <v>-1.4389206265340067E-2</v>
      </c>
      <c r="K248" s="13">
        <f t="shared" si="35"/>
        <v>2.0397915478799558E-2</v>
      </c>
      <c r="L248" s="13">
        <f t="shared" si="36"/>
        <v>1.1572946728766652E-2</v>
      </c>
      <c r="M248" s="13">
        <f t="shared" si="37"/>
        <v>1.3572312775964608E-2</v>
      </c>
      <c r="N248" s="13">
        <f t="shared" si="38"/>
        <v>1.4901392317071912E-2</v>
      </c>
      <c r="O248" s="13">
        <f t="shared" si="39"/>
        <v>-5.6766607997231619E-3</v>
      </c>
    </row>
    <row r="249" spans="1:15" x14ac:dyDescent="0.35">
      <c r="A249" s="2">
        <v>45294</v>
      </c>
      <c r="B249">
        <v>182.52622985839841</v>
      </c>
      <c r="C249">
        <v>637.6195068359375</v>
      </c>
      <c r="D249">
        <v>151.39591979980469</v>
      </c>
      <c r="E249">
        <v>163.1294860839844</v>
      </c>
      <c r="F249">
        <v>58.413841247558587</v>
      </c>
      <c r="G249">
        <v>140.535888671875</v>
      </c>
      <c r="H249">
        <v>4704.81005859375</v>
      </c>
      <c r="I249" s="13">
        <f t="shared" si="33"/>
        <v>-7.5158006589412683E-3</v>
      </c>
      <c r="J249" s="13">
        <f t="shared" si="34"/>
        <v>-9.2024053782674021E-3</v>
      </c>
      <c r="K249" s="13">
        <f t="shared" si="35"/>
        <v>6.2318070732476742E-3</v>
      </c>
      <c r="L249" s="13">
        <f t="shared" si="36"/>
        <v>-4.3680198743101155E-3</v>
      </c>
      <c r="M249" s="13">
        <f t="shared" si="37"/>
        <v>6.7984176094904201E-3</v>
      </c>
      <c r="N249" s="13">
        <f t="shared" si="38"/>
        <v>-6.0691702409023584E-3</v>
      </c>
      <c r="O249" s="13">
        <f t="shared" si="39"/>
        <v>-8.0486183271976479E-3</v>
      </c>
    </row>
    <row r="250" spans="1:15" x14ac:dyDescent="0.35">
      <c r="A250" s="2">
        <v>45295</v>
      </c>
      <c r="B250">
        <v>180.20811462402341</v>
      </c>
      <c r="C250">
        <v>641.23944091796875</v>
      </c>
      <c r="D250">
        <v>151.07609558105469</v>
      </c>
      <c r="E250">
        <v>164.21202087402341</v>
      </c>
      <c r="F250">
        <v>58.234794616699219</v>
      </c>
      <c r="G250">
        <v>141.30586242675781</v>
      </c>
      <c r="H250">
        <v>4688.68017578125</v>
      </c>
      <c r="I250" s="13">
        <f t="shared" si="33"/>
        <v>-1.2781512576300022E-2</v>
      </c>
      <c r="J250" s="13">
        <f t="shared" si="34"/>
        <v>5.6612087774164004E-3</v>
      </c>
      <c r="K250" s="13">
        <f t="shared" si="35"/>
        <v>-2.1147367139936766E-3</v>
      </c>
      <c r="L250" s="13">
        <f t="shared" si="36"/>
        <v>6.6141244752901595E-3</v>
      </c>
      <c r="M250" s="13">
        <f t="shared" si="37"/>
        <v>-3.0698476693454125E-3</v>
      </c>
      <c r="N250" s="13">
        <f t="shared" si="38"/>
        <v>5.4638865068812933E-3</v>
      </c>
      <c r="O250" s="13">
        <f t="shared" si="39"/>
        <v>-3.4342716633174288E-3</v>
      </c>
    </row>
    <row r="251" spans="1:15" x14ac:dyDescent="0.35">
      <c r="A251" s="2">
        <v>45296</v>
      </c>
      <c r="B251">
        <v>179.48493957519531</v>
      </c>
      <c r="C251">
        <v>648.81536865234375</v>
      </c>
      <c r="D251">
        <v>151.54638671875</v>
      </c>
      <c r="E251">
        <v>165.03590393066409</v>
      </c>
      <c r="F251">
        <v>58.498645782470703</v>
      </c>
      <c r="G251">
        <v>140.13664245605469</v>
      </c>
      <c r="H251">
        <v>4697.240234375</v>
      </c>
      <c r="I251" s="13">
        <f t="shared" si="33"/>
        <v>-4.0210730499517728E-3</v>
      </c>
      <c r="J251" s="13">
        <f t="shared" si="34"/>
        <v>1.1745260387845697E-2</v>
      </c>
      <c r="K251" s="13">
        <f t="shared" si="35"/>
        <v>3.1081069239700236E-3</v>
      </c>
      <c r="L251" s="13">
        <f t="shared" si="36"/>
        <v>5.0046467369143097E-3</v>
      </c>
      <c r="M251" s="13">
        <f t="shared" si="37"/>
        <v>4.5205832056422496E-3</v>
      </c>
      <c r="N251" s="13">
        <f t="shared" si="38"/>
        <v>-8.3088138925039769E-3</v>
      </c>
      <c r="O251" s="13">
        <f t="shared" si="39"/>
        <v>1.8240216394339805E-3</v>
      </c>
    </row>
    <row r="252" spans="1:15" x14ac:dyDescent="0.35">
      <c r="A252" s="2">
        <v>45299</v>
      </c>
      <c r="B252">
        <v>183.823974609375</v>
      </c>
      <c r="C252">
        <v>654.43316650390625</v>
      </c>
      <c r="D252">
        <v>151.922607421875</v>
      </c>
      <c r="E252">
        <v>164.79643249511719</v>
      </c>
      <c r="F252">
        <v>59.290184020996087</v>
      </c>
      <c r="G252">
        <v>141.3439025878906</v>
      </c>
      <c r="H252">
        <v>4763.5400390625</v>
      </c>
      <c r="I252" s="13">
        <f t="shared" si="33"/>
        <v>2.3887337666045016E-2</v>
      </c>
      <c r="J252" s="13">
        <f t="shared" si="34"/>
        <v>8.6212759820773789E-3</v>
      </c>
      <c r="K252" s="13">
        <f t="shared" si="35"/>
        <v>2.4794684342192689E-3</v>
      </c>
      <c r="L252" s="13">
        <f t="shared" si="36"/>
        <v>-1.4520800490320672E-3</v>
      </c>
      <c r="M252" s="13">
        <f t="shared" si="37"/>
        <v>1.3440156506428087E-2</v>
      </c>
      <c r="N252" s="13">
        <f t="shared" si="38"/>
        <v>8.5779820721448956E-3</v>
      </c>
      <c r="O252" s="13">
        <f t="shared" si="39"/>
        <v>1.4015945436353141E-2</v>
      </c>
    </row>
    <row r="253" spans="1:15" x14ac:dyDescent="0.35">
      <c r="A253" s="2">
        <v>45300</v>
      </c>
      <c r="B253">
        <v>183.40791320800781</v>
      </c>
      <c r="C253">
        <v>659.86285400390625</v>
      </c>
      <c r="D253">
        <v>152.01666259765619</v>
      </c>
      <c r="E253">
        <v>163.49351501464841</v>
      </c>
      <c r="F253">
        <v>58.432682037353523</v>
      </c>
      <c r="G253">
        <v>141.92375183105469</v>
      </c>
      <c r="H253">
        <v>4756.5</v>
      </c>
      <c r="I253" s="13">
        <f t="shared" si="33"/>
        <v>-2.2659338319488587E-3</v>
      </c>
      <c r="J253" s="13">
        <f t="shared" si="34"/>
        <v>8.2625501493097577E-3</v>
      </c>
      <c r="K253" s="13">
        <f t="shared" si="35"/>
        <v>6.1890770993462815E-4</v>
      </c>
      <c r="L253" s="13">
        <f t="shared" si="36"/>
        <v>-7.9376437282562707E-3</v>
      </c>
      <c r="M253" s="13">
        <f t="shared" si="37"/>
        <v>-1.4568404228307371E-2</v>
      </c>
      <c r="N253" s="13">
        <f t="shared" si="38"/>
        <v>4.0940082216802806E-3</v>
      </c>
      <c r="O253" s="13">
        <f t="shared" si="39"/>
        <v>-1.4789938523175842E-3</v>
      </c>
    </row>
    <row r="254" spans="1:15" x14ac:dyDescent="0.35">
      <c r="A254" s="2">
        <v>45301</v>
      </c>
      <c r="B254">
        <v>184.44805908203119</v>
      </c>
      <c r="C254">
        <v>665.3817138671875</v>
      </c>
      <c r="D254">
        <v>152.24237060546881</v>
      </c>
      <c r="E254">
        <v>163.8384094238281</v>
      </c>
      <c r="F254">
        <v>58.687103271484382</v>
      </c>
      <c r="G254">
        <v>142.53215026855469</v>
      </c>
      <c r="H254">
        <v>4783.4501953125</v>
      </c>
      <c r="I254" s="13">
        <f t="shared" si="33"/>
        <v>5.6551951006373596E-3</v>
      </c>
      <c r="J254" s="13">
        <f t="shared" si="34"/>
        <v>8.328865328937821E-3</v>
      </c>
      <c r="K254" s="13">
        <f t="shared" si="35"/>
        <v>1.4836571775012877E-3</v>
      </c>
      <c r="L254" s="13">
        <f t="shared" si="36"/>
        <v>2.1073076657811543E-3</v>
      </c>
      <c r="M254" s="13">
        <f t="shared" si="37"/>
        <v>4.344639697933062E-3</v>
      </c>
      <c r="N254" s="13">
        <f t="shared" si="38"/>
        <v>4.2776357299935917E-3</v>
      </c>
      <c r="O254" s="13">
        <f t="shared" si="39"/>
        <v>5.6499806504959121E-3</v>
      </c>
    </row>
    <row r="255" spans="1:15" x14ac:dyDescent="0.35">
      <c r="A255" s="2">
        <v>45302</v>
      </c>
      <c r="B255">
        <v>183.85368347167969</v>
      </c>
      <c r="C255">
        <v>666.19268798828125</v>
      </c>
      <c r="D255">
        <v>151.56517028808591</v>
      </c>
      <c r="E255">
        <v>163.1486511230469</v>
      </c>
      <c r="F255">
        <v>57.217105865478523</v>
      </c>
      <c r="G255">
        <v>143.07398986816409</v>
      </c>
      <c r="H255">
        <v>4780.240234375</v>
      </c>
      <c r="I255" s="13">
        <f t="shared" si="33"/>
        <v>-3.2276585075939842E-3</v>
      </c>
      <c r="J255" s="13">
        <f t="shared" si="34"/>
        <v>1.2180682059270117E-3</v>
      </c>
      <c r="K255" s="13">
        <f t="shared" si="35"/>
        <v>-4.4580949964693082E-3</v>
      </c>
      <c r="L255" s="13">
        <f t="shared" si="36"/>
        <v>-4.2188784027573237E-3</v>
      </c>
      <c r="M255" s="13">
        <f t="shared" si="37"/>
        <v>-2.5367089657905451E-2</v>
      </c>
      <c r="N255" s="13">
        <f t="shared" si="38"/>
        <v>3.794317933186448E-3</v>
      </c>
      <c r="O255" s="13">
        <f t="shared" si="39"/>
        <v>-6.7128083696116466E-4</v>
      </c>
    </row>
    <row r="256" spans="1:15" x14ac:dyDescent="0.35">
      <c r="A256" s="2">
        <v>45303</v>
      </c>
      <c r="B256">
        <v>184.18060302734381</v>
      </c>
      <c r="C256">
        <v>675.7467041015625</v>
      </c>
      <c r="D256">
        <v>152.73143005371091</v>
      </c>
      <c r="E256">
        <v>161.95112609863281</v>
      </c>
      <c r="F256">
        <v>57.518646240234382</v>
      </c>
      <c r="G256">
        <v>143.15953063964841</v>
      </c>
      <c r="H256">
        <v>4783.830078125</v>
      </c>
      <c r="I256" s="13">
        <f t="shared" si="33"/>
        <v>1.7765716599911334E-3</v>
      </c>
      <c r="J256" s="13">
        <f t="shared" si="34"/>
        <v>1.4239357752710973E-2</v>
      </c>
      <c r="K256" s="13">
        <f t="shared" si="35"/>
        <v>7.6653204460157146E-3</v>
      </c>
      <c r="L256" s="13">
        <f t="shared" si="36"/>
        <v>-7.3671563293489801E-3</v>
      </c>
      <c r="M256" s="13">
        <f t="shared" si="37"/>
        <v>5.2562704035561377E-3</v>
      </c>
      <c r="N256" s="13">
        <f t="shared" si="38"/>
        <v>5.9769920643207113E-4</v>
      </c>
      <c r="O256" s="13">
        <f t="shared" si="39"/>
        <v>7.5069375303395949E-4</v>
      </c>
    </row>
    <row r="257" spans="1:15" x14ac:dyDescent="0.35">
      <c r="A257" s="2">
        <v>45307</v>
      </c>
      <c r="B257">
        <v>181.91203308105469</v>
      </c>
      <c r="C257">
        <v>674.0159912109375</v>
      </c>
      <c r="D257">
        <v>150.97265625</v>
      </c>
      <c r="E257">
        <v>160.9356689453125</v>
      </c>
      <c r="F257">
        <v>56.868446350097663</v>
      </c>
      <c r="G257">
        <v>142.38954162597659</v>
      </c>
      <c r="H257">
        <v>4765.97998046875</v>
      </c>
      <c r="I257" s="13">
        <f t="shared" si="33"/>
        <v>-1.2393578893999951E-2</v>
      </c>
      <c r="J257" s="13">
        <f t="shared" si="34"/>
        <v>-2.5644712883828458E-3</v>
      </c>
      <c r="K257" s="13">
        <f t="shared" si="35"/>
        <v>-1.1582283838162385E-2</v>
      </c>
      <c r="L257" s="13">
        <f t="shared" si="36"/>
        <v>-6.2898855992472857E-3</v>
      </c>
      <c r="M257" s="13">
        <f t="shared" si="37"/>
        <v>-1.1368536051507483E-2</v>
      </c>
      <c r="N257" s="13">
        <f t="shared" si="38"/>
        <v>-5.3930546776072407E-3</v>
      </c>
      <c r="O257" s="13">
        <f t="shared" si="39"/>
        <v>-3.7383190523568345E-3</v>
      </c>
    </row>
    <row r="258" spans="1:15" x14ac:dyDescent="0.35">
      <c r="A258" s="2">
        <v>45308</v>
      </c>
      <c r="B258">
        <v>180.9709167480469</v>
      </c>
      <c r="C258">
        <v>676.686279296875</v>
      </c>
      <c r="D258">
        <v>150.8880310058594</v>
      </c>
      <c r="E258">
        <v>160.07342529296881</v>
      </c>
      <c r="F258">
        <v>54.908443450927727</v>
      </c>
      <c r="G258">
        <v>142.53215026855469</v>
      </c>
      <c r="H258">
        <v>4739.2099609375</v>
      </c>
      <c r="I258" s="13">
        <f t="shared" si="33"/>
        <v>-5.1868981081970049E-3</v>
      </c>
      <c r="J258" s="13">
        <f t="shared" si="34"/>
        <v>3.9539306671585546E-3</v>
      </c>
      <c r="K258" s="13">
        <f t="shared" si="35"/>
        <v>-5.6069074199027139E-4</v>
      </c>
      <c r="L258" s="13">
        <f t="shared" si="36"/>
        <v>-5.3720953173750875E-3</v>
      </c>
      <c r="M258" s="13">
        <f t="shared" si="37"/>
        <v>-3.5073508012159943E-2</v>
      </c>
      <c r="N258" s="13">
        <f t="shared" si="38"/>
        <v>1.0010375379886202E-3</v>
      </c>
      <c r="O258" s="13">
        <f t="shared" si="39"/>
        <v>-5.6327312711078213E-3</v>
      </c>
    </row>
    <row r="259" spans="1:15" x14ac:dyDescent="0.35">
      <c r="A259" s="2">
        <v>45309</v>
      </c>
      <c r="B259">
        <v>186.8652648925781</v>
      </c>
      <c r="C259">
        <v>679.77215576171875</v>
      </c>
      <c r="D259">
        <v>151.62164306640619</v>
      </c>
      <c r="E259">
        <v>160.38957214355469</v>
      </c>
      <c r="F259">
        <v>54.324211120605469</v>
      </c>
      <c r="G259">
        <v>141.7104187011719</v>
      </c>
      <c r="H259">
        <v>4780.93994140625</v>
      </c>
      <c r="I259" s="13">
        <f t="shared" si="33"/>
        <v>3.205151116244017E-2</v>
      </c>
      <c r="J259" s="13">
        <f t="shared" si="34"/>
        <v>4.5499098367541933E-3</v>
      </c>
      <c r="K259" s="13">
        <f t="shared" si="35"/>
        <v>4.8501820706163953E-3</v>
      </c>
      <c r="L259" s="13">
        <f t="shared" si="36"/>
        <v>1.973063696449404E-3</v>
      </c>
      <c r="M259" s="13">
        <f t="shared" si="37"/>
        <v>-1.0697129053135732E-2</v>
      </c>
      <c r="N259" s="13">
        <f t="shared" si="38"/>
        <v>-5.7819197146153183E-3</v>
      </c>
      <c r="O259" s="13">
        <f t="shared" si="39"/>
        <v>8.7667207262431476E-3</v>
      </c>
    </row>
    <row r="260" spans="1:15" x14ac:dyDescent="0.35">
      <c r="A260" s="2">
        <v>45310</v>
      </c>
      <c r="B260">
        <v>189.76783752441409</v>
      </c>
      <c r="C260">
        <v>687.34808349609375</v>
      </c>
      <c r="D260">
        <v>152.06365966796881</v>
      </c>
      <c r="E260">
        <v>163.158203125</v>
      </c>
      <c r="F260">
        <v>53.956699371337891</v>
      </c>
      <c r="G260">
        <v>141.1651611328125</v>
      </c>
      <c r="H260">
        <v>4839.81005859375</v>
      </c>
      <c r="I260" s="13">
        <f t="shared" si="33"/>
        <v>1.5413568688583488E-2</v>
      </c>
      <c r="J260" s="13">
        <f t="shared" si="34"/>
        <v>1.1083158696132616E-2</v>
      </c>
      <c r="K260" s="13">
        <f t="shared" si="35"/>
        <v>2.9110194646979779E-3</v>
      </c>
      <c r="L260" s="13">
        <f t="shared" si="36"/>
        <v>1.7114619680756987E-2</v>
      </c>
      <c r="M260" s="13">
        <f t="shared" si="37"/>
        <v>-6.7881431511399356E-3</v>
      </c>
      <c r="N260" s="13">
        <f t="shared" si="38"/>
        <v>-3.8551100379537241E-3</v>
      </c>
      <c r="O260" s="13">
        <f t="shared" si="39"/>
        <v>1.2238308232548512E-2</v>
      </c>
    </row>
    <row r="261" spans="1:15" x14ac:dyDescent="0.35">
      <c r="A261" s="2">
        <v>45313</v>
      </c>
      <c r="B261">
        <v>192.07603454589841</v>
      </c>
      <c r="C261">
        <v>684.9150390625</v>
      </c>
      <c r="D261">
        <v>152.8066711425781</v>
      </c>
      <c r="E261">
        <v>162.96662902832031</v>
      </c>
      <c r="F261">
        <v>53.570354461669922</v>
      </c>
      <c r="G261">
        <v>141.4425964355469</v>
      </c>
      <c r="H261">
        <v>4850.43017578125</v>
      </c>
      <c r="I261" s="13">
        <f t="shared" ref="I261:I324" si="40">LN(B261/B260)</f>
        <v>1.2089889638848326E-2</v>
      </c>
      <c r="J261" s="13">
        <f t="shared" ref="J261:J324" si="41">LN(C261/C260)</f>
        <v>-3.5460356590456717E-3</v>
      </c>
      <c r="K261" s="13">
        <f t="shared" ref="K261:K324" si="42">LN(D261/D260)</f>
        <v>4.8742883160503049E-3</v>
      </c>
      <c r="L261" s="13">
        <f t="shared" ref="L261:L324" si="43">LN(E261/E260)</f>
        <v>-1.1748514668459898E-3</v>
      </c>
      <c r="M261" s="13">
        <f t="shared" ref="M261:M324" si="44">LN(F261/F260)</f>
        <v>-7.1860347407703097E-3</v>
      </c>
      <c r="N261" s="13">
        <f t="shared" ref="N261:N324" si="45">LN(G261/G260)</f>
        <v>1.9633954442427322E-3</v>
      </c>
      <c r="O261" s="13">
        <f t="shared" ref="O261:O324" si="46">LN(H261/H260)</f>
        <v>2.1919211872316853E-3</v>
      </c>
    </row>
    <row r="262" spans="1:15" x14ac:dyDescent="0.35">
      <c r="A262" s="2">
        <v>45314</v>
      </c>
      <c r="B262">
        <v>193.35394287109381</v>
      </c>
      <c r="C262">
        <v>680.04901123046875</v>
      </c>
      <c r="D262">
        <v>150.3049011230469</v>
      </c>
      <c r="E262">
        <v>161.89363098144531</v>
      </c>
      <c r="F262">
        <v>54.069786071777337</v>
      </c>
      <c r="G262">
        <v>147.29693603515619</v>
      </c>
      <c r="H262">
        <v>4864.60009765625</v>
      </c>
      <c r="I262" s="13">
        <f t="shared" si="40"/>
        <v>6.6311033531344099E-3</v>
      </c>
      <c r="J262" s="13">
        <f t="shared" si="41"/>
        <v>-7.129929092330586E-3</v>
      </c>
      <c r="K262" s="13">
        <f t="shared" si="42"/>
        <v>-1.6507629926402739E-2</v>
      </c>
      <c r="L262" s="13">
        <f t="shared" si="43"/>
        <v>-6.605929262164972E-3</v>
      </c>
      <c r="M262" s="13">
        <f t="shared" si="44"/>
        <v>9.2797202158716174E-3</v>
      </c>
      <c r="N262" s="13">
        <f t="shared" si="45"/>
        <v>4.0556566532079376E-2</v>
      </c>
      <c r="O262" s="13">
        <f t="shared" si="46"/>
        <v>2.9171153407644861E-3</v>
      </c>
    </row>
    <row r="263" spans="1:15" x14ac:dyDescent="0.35">
      <c r="A263" s="2">
        <v>45315</v>
      </c>
      <c r="B263">
        <v>192.6803283691406</v>
      </c>
      <c r="C263">
        <v>678.98101806640625</v>
      </c>
      <c r="D263">
        <v>149.50544738769531</v>
      </c>
      <c r="E263">
        <v>163.34022521972659</v>
      </c>
      <c r="F263">
        <v>53.72113037109375</v>
      </c>
      <c r="G263">
        <v>145.51768493652341</v>
      </c>
      <c r="H263">
        <v>4868.5498046875</v>
      </c>
      <c r="I263" s="13">
        <f t="shared" si="40"/>
        <v>-3.4899242675194534E-3</v>
      </c>
      <c r="J263" s="13">
        <f t="shared" si="41"/>
        <v>-1.5716994634252912E-3</v>
      </c>
      <c r="K263" s="13">
        <f t="shared" si="42"/>
        <v>-5.3330756202391019E-3</v>
      </c>
      <c r="L263" s="13">
        <f t="shared" si="43"/>
        <v>8.8957760722173252E-3</v>
      </c>
      <c r="M263" s="13">
        <f t="shared" si="44"/>
        <v>-6.4691335432748064E-3</v>
      </c>
      <c r="N263" s="13">
        <f t="shared" si="45"/>
        <v>-1.2152897223772639E-2</v>
      </c>
      <c r="O263" s="13">
        <f t="shared" si="46"/>
        <v>8.1159897621686534E-4</v>
      </c>
    </row>
    <row r="264" spans="1:15" x14ac:dyDescent="0.35">
      <c r="A264" s="2">
        <v>45316</v>
      </c>
      <c r="B264">
        <v>192.35343933105469</v>
      </c>
      <c r="C264">
        <v>672.443359375</v>
      </c>
      <c r="D264">
        <v>150.06976318359381</v>
      </c>
      <c r="E264">
        <v>165.67778015136719</v>
      </c>
      <c r="F264">
        <v>54.635166168212891</v>
      </c>
      <c r="G264">
        <v>148.86576843261719</v>
      </c>
      <c r="H264">
        <v>4894.16015625</v>
      </c>
      <c r="I264" s="13">
        <f t="shared" si="40"/>
        <v>-1.6979763545253072E-3</v>
      </c>
      <c r="J264" s="13">
        <f t="shared" si="41"/>
        <v>-9.6752874970887047E-3</v>
      </c>
      <c r="K264" s="13">
        <f t="shared" si="42"/>
        <v>3.7674443242258562E-3</v>
      </c>
      <c r="L264" s="13">
        <f t="shared" si="43"/>
        <v>1.4209521817997731E-2</v>
      </c>
      <c r="M264" s="13">
        <f t="shared" si="44"/>
        <v>1.6871331104453637E-2</v>
      </c>
      <c r="N264" s="13">
        <f t="shared" si="45"/>
        <v>2.2747391722993743E-2</v>
      </c>
      <c r="O264" s="13">
        <f t="shared" si="46"/>
        <v>5.2465781349779802E-3</v>
      </c>
    </row>
    <row r="265" spans="1:15" x14ac:dyDescent="0.35">
      <c r="A265" s="2">
        <v>45317</v>
      </c>
      <c r="B265">
        <v>190.61981201171881</v>
      </c>
      <c r="C265">
        <v>679.346923828125</v>
      </c>
      <c r="D265">
        <v>150.0133361816406</v>
      </c>
      <c r="E265">
        <v>165.04547119140619</v>
      </c>
      <c r="F265">
        <v>55.106327056884773</v>
      </c>
      <c r="G265">
        <v>149.36320495605469</v>
      </c>
      <c r="H265">
        <v>4890.97021484375</v>
      </c>
      <c r="I265" s="13">
        <f t="shared" si="40"/>
        <v>-9.053578311109766E-3</v>
      </c>
      <c r="J265" s="13">
        <f t="shared" si="41"/>
        <v>1.0214046598310076E-2</v>
      </c>
      <c r="K265" s="13">
        <f t="shared" si="42"/>
        <v>-3.7607584524166249E-4</v>
      </c>
      <c r="L265" s="13">
        <f t="shared" si="43"/>
        <v>-3.8237996743968232E-3</v>
      </c>
      <c r="M265" s="13">
        <f t="shared" si="44"/>
        <v>8.5867937428509549E-3</v>
      </c>
      <c r="N265" s="13">
        <f t="shared" si="45"/>
        <v>3.3359400268541586E-3</v>
      </c>
      <c r="O265" s="13">
        <f t="shared" si="46"/>
        <v>-6.5199775542636477E-4</v>
      </c>
    </row>
    <row r="266" spans="1:15" x14ac:dyDescent="0.35">
      <c r="A266" s="2">
        <v>45320</v>
      </c>
      <c r="B266">
        <v>189.9362487792969</v>
      </c>
      <c r="C266">
        <v>686.39862060546875</v>
      </c>
      <c r="D266">
        <v>149.88166809082031</v>
      </c>
      <c r="E266">
        <v>165.4765930175781</v>
      </c>
      <c r="F266">
        <v>56.133441925048828</v>
      </c>
      <c r="G266">
        <v>149.38233947753909</v>
      </c>
      <c r="H266">
        <v>4927.93017578125</v>
      </c>
      <c r="I266" s="13">
        <f t="shared" si="40"/>
        <v>-3.592448198854951E-3</v>
      </c>
      <c r="J266" s="13">
        <f t="shared" si="41"/>
        <v>1.0326608014745248E-2</v>
      </c>
      <c r="K266" s="13">
        <f t="shared" si="42"/>
        <v>-8.7809464915850251E-4</v>
      </c>
      <c r="L266" s="13">
        <f t="shared" si="43"/>
        <v>2.6087339839374955E-3</v>
      </c>
      <c r="M266" s="13">
        <f t="shared" si="44"/>
        <v>1.8467209484828082E-2</v>
      </c>
      <c r="N266" s="13">
        <f t="shared" si="45"/>
        <v>1.2809912560759955E-4</v>
      </c>
      <c r="O266" s="13">
        <f t="shared" si="46"/>
        <v>7.5283655052462038E-3</v>
      </c>
    </row>
    <row r="267" spans="1:15" x14ac:dyDescent="0.35">
      <c r="A267" s="2">
        <v>45321</v>
      </c>
      <c r="B267">
        <v>186.28076171875</v>
      </c>
      <c r="C267">
        <v>693.05487060546875</v>
      </c>
      <c r="D267">
        <v>149.32673645019531</v>
      </c>
      <c r="E267">
        <v>168.8679504394531</v>
      </c>
      <c r="F267">
        <v>55.860176086425781</v>
      </c>
      <c r="G267">
        <v>150.65461730957031</v>
      </c>
      <c r="H267">
        <v>4924.97021484375</v>
      </c>
      <c r="I267" s="13">
        <f t="shared" si="40"/>
        <v>-1.943347590396995E-2</v>
      </c>
      <c r="J267" s="13">
        <f t="shared" si="41"/>
        <v>9.6506358540159719E-3</v>
      </c>
      <c r="K267" s="13">
        <f t="shared" si="42"/>
        <v>-3.7093361582511068E-3</v>
      </c>
      <c r="L267" s="13">
        <f t="shared" si="43"/>
        <v>2.0287298260380608E-2</v>
      </c>
      <c r="M267" s="13">
        <f t="shared" si="44"/>
        <v>-4.8800348767685789E-3</v>
      </c>
      <c r="N267" s="13">
        <f t="shared" si="45"/>
        <v>8.4808583006365113E-3</v>
      </c>
      <c r="O267" s="13">
        <f t="shared" si="46"/>
        <v>-6.0083039697861622E-4</v>
      </c>
    </row>
    <row r="268" spans="1:15" x14ac:dyDescent="0.35">
      <c r="A268" s="2">
        <v>45322</v>
      </c>
      <c r="B268">
        <v>182.6748046875</v>
      </c>
      <c r="C268">
        <v>687.259033203125</v>
      </c>
      <c r="D268">
        <v>149.4490051269531</v>
      </c>
      <c r="E268">
        <v>167.03814697265619</v>
      </c>
      <c r="F268">
        <v>55.247673034667969</v>
      </c>
      <c r="G268">
        <v>150.3197937011719</v>
      </c>
      <c r="H268">
        <v>4845.64990234375</v>
      </c>
      <c r="I268" s="13">
        <f t="shared" si="40"/>
        <v>-1.9547458715796957E-2</v>
      </c>
      <c r="J268" s="13">
        <f t="shared" si="41"/>
        <v>-8.3979034751821766E-3</v>
      </c>
      <c r="K268" s="13">
        <f t="shared" si="42"/>
        <v>8.184645978140426E-4</v>
      </c>
      <c r="L268" s="13">
        <f t="shared" si="43"/>
        <v>-1.089483983939875E-2</v>
      </c>
      <c r="M268" s="13">
        <f t="shared" si="44"/>
        <v>-1.1025490301894193E-2</v>
      </c>
      <c r="N268" s="13">
        <f t="shared" si="45"/>
        <v>-2.2249316504860312E-3</v>
      </c>
      <c r="O268" s="13">
        <f t="shared" si="46"/>
        <v>-1.6236851740733683E-2</v>
      </c>
    </row>
    <row r="269" spans="1:15" x14ac:dyDescent="0.35">
      <c r="A269" s="2">
        <v>45323</v>
      </c>
      <c r="B269">
        <v>185.11183166503909</v>
      </c>
      <c r="C269">
        <v>697.77801513671875</v>
      </c>
      <c r="D269">
        <v>148.94114685058591</v>
      </c>
      <c r="E269">
        <v>166.43458557128909</v>
      </c>
      <c r="F269">
        <v>56.303058624267578</v>
      </c>
      <c r="G269">
        <v>152.27125549316409</v>
      </c>
      <c r="H269">
        <v>4906.18994140625</v>
      </c>
      <c r="I269" s="13">
        <f t="shared" si="40"/>
        <v>1.3252589434751261E-2</v>
      </c>
      <c r="J269" s="13">
        <f t="shared" si="41"/>
        <v>1.5189751346904784E-2</v>
      </c>
      <c r="K269" s="13">
        <f t="shared" si="42"/>
        <v>-3.403991474835842E-3</v>
      </c>
      <c r="L269" s="13">
        <f t="shared" si="43"/>
        <v>-3.6198585462760289E-3</v>
      </c>
      <c r="M269" s="13">
        <f t="shared" si="44"/>
        <v>1.8922638430285924E-2</v>
      </c>
      <c r="N269" s="13">
        <f t="shared" si="45"/>
        <v>1.2898523289529644E-2</v>
      </c>
      <c r="O269" s="13">
        <f t="shared" si="46"/>
        <v>1.2416286114049784E-2</v>
      </c>
    </row>
    <row r="270" spans="1:15" x14ac:dyDescent="0.35">
      <c r="A270" s="2">
        <v>45324</v>
      </c>
      <c r="B270">
        <v>184.11128234863281</v>
      </c>
      <c r="C270">
        <v>702.73040771484375</v>
      </c>
      <c r="D270">
        <v>147.29522705078119</v>
      </c>
      <c r="E270">
        <v>167.3926086425781</v>
      </c>
      <c r="F270">
        <v>54.795368194580078</v>
      </c>
      <c r="G270">
        <v>151.22857666015619</v>
      </c>
      <c r="H270">
        <v>4958.60986328125</v>
      </c>
      <c r="I270" s="13">
        <f t="shared" si="40"/>
        <v>-5.4197677642479182E-3</v>
      </c>
      <c r="J270" s="13">
        <f t="shared" si="41"/>
        <v>7.0723076555729127E-3</v>
      </c>
      <c r="K270" s="13">
        <f t="shared" si="42"/>
        <v>-1.1112320307667413E-2</v>
      </c>
      <c r="L270" s="13">
        <f t="shared" si="43"/>
        <v>5.7396504416205108E-3</v>
      </c>
      <c r="M270" s="13">
        <f t="shared" si="44"/>
        <v>-2.7143192536546675E-2</v>
      </c>
      <c r="N270" s="13">
        <f t="shared" si="45"/>
        <v>-6.8710610335943993E-3</v>
      </c>
      <c r="O270" s="13">
        <f t="shared" si="46"/>
        <v>1.062777072263312E-2</v>
      </c>
    </row>
    <row r="271" spans="1:15" x14ac:dyDescent="0.35">
      <c r="A271" s="2">
        <v>45327</v>
      </c>
      <c r="B271">
        <v>185.92414855957031</v>
      </c>
      <c r="C271">
        <v>704.39447021484375</v>
      </c>
      <c r="D271">
        <v>146.5334167480469</v>
      </c>
      <c r="E271">
        <v>167.1722717285156</v>
      </c>
      <c r="F271">
        <v>52.741130828857422</v>
      </c>
      <c r="G271">
        <v>151.34336853027341</v>
      </c>
      <c r="H271">
        <v>4942.81005859375</v>
      </c>
      <c r="I271" s="13">
        <f t="shared" si="40"/>
        <v>9.7984169286182646E-3</v>
      </c>
      <c r="J271" s="13">
        <f t="shared" si="41"/>
        <v>2.3651962975738683E-3</v>
      </c>
      <c r="K271" s="13">
        <f t="shared" si="42"/>
        <v>-5.1854169143079262E-3</v>
      </c>
      <c r="L271" s="13">
        <f t="shared" si="43"/>
        <v>-1.3171552595316203E-3</v>
      </c>
      <c r="M271" s="13">
        <f t="shared" si="44"/>
        <v>-3.8210046111158386E-2</v>
      </c>
      <c r="N271" s="13">
        <f t="shared" si="45"/>
        <v>7.5877408629186518E-4</v>
      </c>
      <c r="O271" s="13">
        <f t="shared" si="46"/>
        <v>-3.1914247092839714E-3</v>
      </c>
    </row>
    <row r="272" spans="1:15" x14ac:dyDescent="0.35">
      <c r="A272" s="2">
        <v>45328</v>
      </c>
      <c r="B272">
        <v>187.52899169921881</v>
      </c>
      <c r="C272">
        <v>704.02801513671875</v>
      </c>
      <c r="D272">
        <v>148.65898132324219</v>
      </c>
      <c r="E272">
        <v>167.74708557128909</v>
      </c>
      <c r="F272">
        <v>52.986125946044922</v>
      </c>
      <c r="G272">
        <v>152.0608215332031</v>
      </c>
      <c r="H272">
        <v>4954.22998046875</v>
      </c>
      <c r="I272" s="13">
        <f t="shared" si="40"/>
        <v>8.5946687578951318E-3</v>
      </c>
      <c r="J272" s="13">
        <f t="shared" si="41"/>
        <v>-5.2037664863453261E-4</v>
      </c>
      <c r="K272" s="13">
        <f t="shared" si="42"/>
        <v>1.4401463765190805E-2</v>
      </c>
      <c r="L272" s="13">
        <f t="shared" si="43"/>
        <v>3.4325541037672769E-3</v>
      </c>
      <c r="M272" s="13">
        <f t="shared" si="44"/>
        <v>4.634482406331613E-3</v>
      </c>
      <c r="N272" s="13">
        <f t="shared" si="45"/>
        <v>4.7293634280029372E-3</v>
      </c>
      <c r="O272" s="13">
        <f t="shared" si="46"/>
        <v>2.3077459317481074E-3</v>
      </c>
    </row>
    <row r="273" spans="1:15" x14ac:dyDescent="0.35">
      <c r="A273" s="2">
        <v>45329</v>
      </c>
      <c r="B273">
        <v>187.6379699707031</v>
      </c>
      <c r="C273">
        <v>712.93255615234375</v>
      </c>
      <c r="D273">
        <v>148.583740234375</v>
      </c>
      <c r="E273">
        <v>168.06321716308591</v>
      </c>
      <c r="F273">
        <v>53.127471923828118</v>
      </c>
      <c r="G273">
        <v>152.21385192871091</v>
      </c>
      <c r="H273">
        <v>4995.06005859375</v>
      </c>
      <c r="I273" s="13">
        <f t="shared" si="40"/>
        <v>5.8095880332502718E-4</v>
      </c>
      <c r="J273" s="13">
        <f t="shared" si="41"/>
        <v>1.2568674693964889E-2</v>
      </c>
      <c r="K273" s="13">
        <f t="shared" si="42"/>
        <v>-5.0626027160515169E-4</v>
      </c>
      <c r="L273" s="13">
        <f t="shared" si="43"/>
        <v>1.8827992030704753E-3</v>
      </c>
      <c r="M273" s="13">
        <f t="shared" si="44"/>
        <v>2.6640518127170119E-3</v>
      </c>
      <c r="N273" s="13">
        <f t="shared" si="45"/>
        <v>1.005870167696827E-3</v>
      </c>
      <c r="O273" s="13">
        <f t="shared" si="46"/>
        <v>8.2076825940086279E-3</v>
      </c>
    </row>
    <row r="274" spans="1:15" x14ac:dyDescent="0.35">
      <c r="A274" s="2">
        <v>45330</v>
      </c>
      <c r="B274">
        <v>186.55815124511719</v>
      </c>
      <c r="C274">
        <v>717.2708740234375</v>
      </c>
      <c r="D274">
        <v>147.0976867675781</v>
      </c>
      <c r="E274">
        <v>167.45967102050781</v>
      </c>
      <c r="F274">
        <v>53.04266357421875</v>
      </c>
      <c r="G274">
        <v>151.75471496582031</v>
      </c>
      <c r="H274">
        <v>4997.91015625</v>
      </c>
      <c r="I274" s="13">
        <f t="shared" si="40"/>
        <v>-5.771421250492105E-3</v>
      </c>
      <c r="J274" s="13">
        <f t="shared" si="41"/>
        <v>6.0667330054228665E-3</v>
      </c>
      <c r="K274" s="13">
        <f t="shared" si="42"/>
        <v>-1.0051804702531109E-2</v>
      </c>
      <c r="L274" s="13">
        <f t="shared" si="43"/>
        <v>-3.5976490118102221E-3</v>
      </c>
      <c r="M274" s="13">
        <f t="shared" si="44"/>
        <v>-1.5975936594523157E-3</v>
      </c>
      <c r="N274" s="13">
        <f t="shared" si="45"/>
        <v>-3.0209525725692732E-3</v>
      </c>
      <c r="O274" s="13">
        <f t="shared" si="46"/>
        <v>5.7042054009059505E-4</v>
      </c>
    </row>
    <row r="275" spans="1:15" x14ac:dyDescent="0.35">
      <c r="A275" s="2">
        <v>45331</v>
      </c>
      <c r="B275">
        <v>187.3219299316406</v>
      </c>
      <c r="C275">
        <v>716.51812744140625</v>
      </c>
      <c r="D275">
        <v>147.43629455566409</v>
      </c>
      <c r="E275">
        <v>167.6608581542969</v>
      </c>
      <c r="F275">
        <v>53.315933227539063</v>
      </c>
      <c r="G275">
        <v>150.58766174316409</v>
      </c>
      <c r="H275">
        <v>5026.60986328125</v>
      </c>
      <c r="I275" s="13">
        <f t="shared" si="40"/>
        <v>4.0856937154403758E-3</v>
      </c>
      <c r="J275" s="13">
        <f t="shared" si="41"/>
        <v>-1.050010357761418E-3</v>
      </c>
      <c r="K275" s="13">
        <f t="shared" si="42"/>
        <v>2.2992792596684859E-3</v>
      </c>
      <c r="L275" s="13">
        <f t="shared" si="43"/>
        <v>1.2006853680646354E-3</v>
      </c>
      <c r="M275" s="13">
        <f t="shared" si="44"/>
        <v>5.1386585168094823E-3</v>
      </c>
      <c r="N275" s="13">
        <f t="shared" si="45"/>
        <v>-7.7201153985490996E-3</v>
      </c>
      <c r="O275" s="13">
        <f t="shared" si="46"/>
        <v>5.7259171287955156E-3</v>
      </c>
    </row>
    <row r="276" spans="1:15" x14ac:dyDescent="0.35">
      <c r="A276" s="2">
        <v>45334</v>
      </c>
      <c r="B276">
        <v>185.63566589355469</v>
      </c>
      <c r="C276">
        <v>715.53753662109375</v>
      </c>
      <c r="D276">
        <v>148.46147155761719</v>
      </c>
      <c r="E276">
        <v>168.40809631347659</v>
      </c>
      <c r="F276">
        <v>54.229976654052727</v>
      </c>
      <c r="G276">
        <v>150.29109191894531</v>
      </c>
      <c r="H276">
        <v>5021.83984375</v>
      </c>
      <c r="I276" s="13">
        <f t="shared" si="40"/>
        <v>-9.0427198563064227E-3</v>
      </c>
      <c r="J276" s="13">
        <f t="shared" si="41"/>
        <v>-1.369487231786082E-3</v>
      </c>
      <c r="K276" s="13">
        <f t="shared" si="42"/>
        <v>6.929292623013868E-3</v>
      </c>
      <c r="L276" s="13">
        <f t="shared" si="43"/>
        <v>4.4469409069131712E-3</v>
      </c>
      <c r="M276" s="13">
        <f t="shared" si="44"/>
        <v>1.6998609003807594E-2</v>
      </c>
      <c r="N276" s="13">
        <f t="shared" si="45"/>
        <v>-1.9713583405579094E-3</v>
      </c>
      <c r="O276" s="13">
        <f t="shared" si="46"/>
        <v>-9.4940414265244156E-4</v>
      </c>
    </row>
    <row r="277" spans="1:15" x14ac:dyDescent="0.35">
      <c r="A277" s="2">
        <v>45335</v>
      </c>
      <c r="B277">
        <v>183.5427551269531</v>
      </c>
      <c r="C277">
        <v>707.4552001953125</v>
      </c>
      <c r="D277">
        <v>147.16352844238281</v>
      </c>
      <c r="E277">
        <v>166.94232177734381</v>
      </c>
      <c r="F277">
        <v>52.062660217285163</v>
      </c>
      <c r="G277">
        <v>149.48756408691409</v>
      </c>
      <c r="H277">
        <v>4953.169921875</v>
      </c>
      <c r="I277" s="13">
        <f t="shared" si="40"/>
        <v>-1.1338328943594394E-2</v>
      </c>
      <c r="J277" s="13">
        <f t="shared" si="41"/>
        <v>-1.1359753470601449E-2</v>
      </c>
      <c r="K277" s="13">
        <f t="shared" si="42"/>
        <v>-8.7810669278989596E-3</v>
      </c>
      <c r="L277" s="13">
        <f t="shared" si="43"/>
        <v>-8.7418043424660648E-3</v>
      </c>
      <c r="M277" s="13">
        <f t="shared" si="44"/>
        <v>-4.0785833028963034E-2</v>
      </c>
      <c r="N277" s="13">
        <f t="shared" si="45"/>
        <v>-5.3608203270899494E-3</v>
      </c>
      <c r="O277" s="13">
        <f t="shared" si="46"/>
        <v>-1.3768609419845444E-2</v>
      </c>
    </row>
    <row r="278" spans="1:15" x14ac:dyDescent="0.35">
      <c r="A278" s="2">
        <v>45336</v>
      </c>
      <c r="B278">
        <v>182.65992736816409</v>
      </c>
      <c r="C278">
        <v>715.3096923828125</v>
      </c>
      <c r="D278">
        <v>146.47697448730469</v>
      </c>
      <c r="E278">
        <v>168.63801574707031</v>
      </c>
      <c r="F278">
        <v>52.778823852539063</v>
      </c>
      <c r="G278">
        <v>148.8753356933594</v>
      </c>
      <c r="H278">
        <v>5000.6201171875</v>
      </c>
      <c r="I278" s="13">
        <f t="shared" si="40"/>
        <v>-4.8215346924591418E-3</v>
      </c>
      <c r="J278" s="13">
        <f t="shared" si="41"/>
        <v>1.1041278883533677E-2</v>
      </c>
      <c r="K278" s="13">
        <f t="shared" si="42"/>
        <v>-4.6761614918336032E-3</v>
      </c>
      <c r="L278" s="13">
        <f t="shared" si="43"/>
        <v>1.0106124897014923E-2</v>
      </c>
      <c r="M278" s="13">
        <f t="shared" si="44"/>
        <v>1.3662049540736429E-2</v>
      </c>
      <c r="N278" s="13">
        <f t="shared" si="45"/>
        <v>-4.1039234655344137E-3</v>
      </c>
      <c r="O278" s="13">
        <f t="shared" si="46"/>
        <v>9.5341683042168071E-3</v>
      </c>
    </row>
    <row r="279" spans="1:15" x14ac:dyDescent="0.35">
      <c r="A279" s="2">
        <v>45337</v>
      </c>
      <c r="B279">
        <v>182.3722839355469</v>
      </c>
      <c r="C279">
        <v>717.6175537109375</v>
      </c>
      <c r="D279">
        <v>148.52729797363281</v>
      </c>
      <c r="E279">
        <v>172.31675720214841</v>
      </c>
      <c r="F279">
        <v>53.966133117675781</v>
      </c>
      <c r="G279">
        <v>150.1954345703125</v>
      </c>
      <c r="H279">
        <v>5029.72998046875</v>
      </c>
      <c r="I279" s="13">
        <f t="shared" si="40"/>
        <v>-1.5759896428093275E-3</v>
      </c>
      <c r="J279" s="13">
        <f t="shared" si="41"/>
        <v>3.2211870211215263E-3</v>
      </c>
      <c r="K279" s="13">
        <f t="shared" si="42"/>
        <v>1.3900520717939513E-2</v>
      </c>
      <c r="L279" s="13">
        <f t="shared" si="43"/>
        <v>2.1579895688152221E-2</v>
      </c>
      <c r="M279" s="13">
        <f t="shared" si="44"/>
        <v>2.2246638460975198E-2</v>
      </c>
      <c r="N279" s="13">
        <f t="shared" si="45"/>
        <v>8.8280606575649179E-3</v>
      </c>
      <c r="O279" s="13">
        <f t="shared" si="46"/>
        <v>5.8043726740400403E-3</v>
      </c>
    </row>
    <row r="280" spans="1:15" x14ac:dyDescent="0.35">
      <c r="A280" s="2">
        <v>45338</v>
      </c>
      <c r="B280">
        <v>180.8348388671875</v>
      </c>
      <c r="C280">
        <v>717.1024169921875</v>
      </c>
      <c r="D280">
        <v>148.3567199707031</v>
      </c>
      <c r="E280">
        <v>171.51202392578119</v>
      </c>
      <c r="F280">
        <v>53.739978790283203</v>
      </c>
      <c r="G280">
        <v>150.67372131347659</v>
      </c>
      <c r="H280">
        <v>5005.56982421875</v>
      </c>
      <c r="I280" s="13">
        <f t="shared" si="40"/>
        <v>-8.46599174191069E-3</v>
      </c>
      <c r="J280" s="13">
        <f t="shared" si="41"/>
        <v>-7.1810074635570928E-4</v>
      </c>
      <c r="K280" s="13">
        <f t="shared" si="42"/>
        <v>-1.149122292814957E-3</v>
      </c>
      <c r="L280" s="13">
        <f t="shared" si="43"/>
        <v>-4.6810202634369451E-3</v>
      </c>
      <c r="M280" s="13">
        <f t="shared" si="44"/>
        <v>-4.1994768124167733E-3</v>
      </c>
      <c r="N280" s="13">
        <f t="shared" si="45"/>
        <v>3.1793697473013042E-3</v>
      </c>
      <c r="O280" s="13">
        <f t="shared" si="46"/>
        <v>-4.8150435759610425E-3</v>
      </c>
    </row>
    <row r="281" spans="1:15" x14ac:dyDescent="0.35">
      <c r="A281" s="2">
        <v>45342</v>
      </c>
      <c r="B281">
        <v>180.09089660644531</v>
      </c>
      <c r="C281">
        <v>718.7862548828125</v>
      </c>
      <c r="D281">
        <v>149.59815979003909</v>
      </c>
      <c r="E281">
        <v>172.18263244628909</v>
      </c>
      <c r="F281">
        <v>53.344207763671882</v>
      </c>
      <c r="G281">
        <v>151.6303405761719</v>
      </c>
      <c r="H281">
        <v>4975.509765625</v>
      </c>
      <c r="I281" s="13">
        <f t="shared" si="40"/>
        <v>-4.1224176676244112E-3</v>
      </c>
      <c r="J281" s="13">
        <f t="shared" si="41"/>
        <v>2.3453610234085106E-3</v>
      </c>
      <c r="K281" s="13">
        <f t="shared" si="42"/>
        <v>8.3331208014872735E-3</v>
      </c>
      <c r="L281" s="13">
        <f t="shared" si="43"/>
        <v>3.9023555303990165E-3</v>
      </c>
      <c r="M281" s="13">
        <f t="shared" si="44"/>
        <v>-7.3918071637688616E-3</v>
      </c>
      <c r="N281" s="13">
        <f t="shared" si="45"/>
        <v>6.3288759654942786E-3</v>
      </c>
      <c r="O281" s="13">
        <f t="shared" si="46"/>
        <v>-6.0234264658172495E-3</v>
      </c>
    </row>
    <row r="282" spans="1:15" x14ac:dyDescent="0.35">
      <c r="A282" s="2">
        <v>45343</v>
      </c>
      <c r="B282">
        <v>180.8447570800781</v>
      </c>
      <c r="C282">
        <v>716.14178466796875</v>
      </c>
      <c r="D282">
        <v>150.375244140625</v>
      </c>
      <c r="E282">
        <v>173.3034973144531</v>
      </c>
      <c r="F282">
        <v>53.805934906005859</v>
      </c>
      <c r="G282">
        <v>153.43829345703119</v>
      </c>
      <c r="H282">
        <v>4981.7998046875</v>
      </c>
      <c r="I282" s="13">
        <f t="shared" si="40"/>
        <v>4.177262967189144E-3</v>
      </c>
      <c r="J282" s="13">
        <f t="shared" si="41"/>
        <v>-3.6858617796035899E-3</v>
      </c>
      <c r="K282" s="13">
        <f t="shared" si="42"/>
        <v>5.1810332428304639E-3</v>
      </c>
      <c r="L282" s="13">
        <f t="shared" si="43"/>
        <v>6.4886471798015479E-3</v>
      </c>
      <c r="M282" s="13">
        <f t="shared" si="44"/>
        <v>8.6183739709090254E-3</v>
      </c>
      <c r="N282" s="13">
        <f t="shared" si="45"/>
        <v>1.1852900271673591E-2</v>
      </c>
      <c r="O282" s="13">
        <f t="shared" si="46"/>
        <v>1.2634014951035982E-3</v>
      </c>
    </row>
    <row r="283" spans="1:15" x14ac:dyDescent="0.35">
      <c r="A283" s="2">
        <v>45344</v>
      </c>
      <c r="B283">
        <v>182.87818908691409</v>
      </c>
      <c r="C283">
        <v>727.41351318359375</v>
      </c>
      <c r="D283">
        <v>152.05262756347659</v>
      </c>
      <c r="E283">
        <v>175.38238525390619</v>
      </c>
      <c r="F283">
        <v>53.400745391845703</v>
      </c>
      <c r="G283">
        <v>153.59136962890619</v>
      </c>
      <c r="H283">
        <v>5087.02978515625</v>
      </c>
      <c r="I283" s="13">
        <f t="shared" si="40"/>
        <v>1.1181330260062364E-2</v>
      </c>
      <c r="J283" s="13">
        <f t="shared" si="41"/>
        <v>1.5616939120821934E-2</v>
      </c>
      <c r="K283" s="13">
        <f t="shared" si="42"/>
        <v>1.1092897052539253E-2</v>
      </c>
      <c r="L283" s="13">
        <f t="shared" si="43"/>
        <v>1.1924271535564437E-2</v>
      </c>
      <c r="M283" s="13">
        <f t="shared" si="44"/>
        <v>-7.559070804073708E-3</v>
      </c>
      <c r="N283" s="13">
        <f t="shared" si="45"/>
        <v>9.971426410073053E-4</v>
      </c>
      <c r="O283" s="13">
        <f t="shared" si="46"/>
        <v>2.090288866640342E-2</v>
      </c>
    </row>
    <row r="284" spans="1:15" x14ac:dyDescent="0.35">
      <c r="A284" s="2">
        <v>45345</v>
      </c>
      <c r="B284">
        <v>181.04316711425781</v>
      </c>
      <c r="C284">
        <v>730.90985107421875</v>
      </c>
      <c r="D284">
        <v>153.369873046875</v>
      </c>
      <c r="E284">
        <v>176.26374816894531</v>
      </c>
      <c r="F284">
        <v>53.504398345947273</v>
      </c>
      <c r="G284">
        <v>154.04095458984381</v>
      </c>
      <c r="H284">
        <v>5088.7998046875</v>
      </c>
      <c r="I284" s="13">
        <f t="shared" si="40"/>
        <v>-1.0084802629295642E-2</v>
      </c>
      <c r="J284" s="13">
        <f t="shared" si="41"/>
        <v>4.7950196442850231E-3</v>
      </c>
      <c r="K284" s="13">
        <f t="shared" si="42"/>
        <v>8.6257800137570385E-3</v>
      </c>
      <c r="L284" s="13">
        <f t="shared" si="43"/>
        <v>5.0127936971219042E-3</v>
      </c>
      <c r="M284" s="13">
        <f t="shared" si="44"/>
        <v>1.9391580789902842E-3</v>
      </c>
      <c r="N284" s="13">
        <f t="shared" si="45"/>
        <v>2.922874130041859E-3</v>
      </c>
      <c r="O284" s="13">
        <f t="shared" si="46"/>
        <v>3.47887026502183E-4</v>
      </c>
    </row>
    <row r="285" spans="1:15" x14ac:dyDescent="0.35">
      <c r="A285" s="2">
        <v>45348</v>
      </c>
      <c r="B285">
        <v>179.69413757324219</v>
      </c>
      <c r="C285">
        <v>738.25927734375</v>
      </c>
      <c r="D285">
        <v>152.37480163574219</v>
      </c>
      <c r="E285">
        <v>175.66020202636719</v>
      </c>
      <c r="F285">
        <v>52.444107055664063</v>
      </c>
      <c r="G285">
        <v>153.26612854003909</v>
      </c>
      <c r="H285">
        <v>5069.52978515625</v>
      </c>
      <c r="I285" s="13">
        <f t="shared" si="40"/>
        <v>-7.4793253275482795E-3</v>
      </c>
      <c r="J285" s="13">
        <f t="shared" si="41"/>
        <v>1.0004957813543882E-2</v>
      </c>
      <c r="K285" s="13">
        <f t="shared" si="42"/>
        <v>-6.509188920830673E-3</v>
      </c>
      <c r="L285" s="13">
        <f t="shared" si="43"/>
        <v>-3.4299838584964217E-3</v>
      </c>
      <c r="M285" s="13">
        <f t="shared" si="44"/>
        <v>-2.0015887628514754E-2</v>
      </c>
      <c r="N285" s="13">
        <f t="shared" si="45"/>
        <v>-5.0426933464580532E-3</v>
      </c>
      <c r="O285" s="13">
        <f t="shared" si="46"/>
        <v>-3.7939392446684839E-3</v>
      </c>
    </row>
    <row r="286" spans="1:15" x14ac:dyDescent="0.35">
      <c r="A286" s="2">
        <v>45349</v>
      </c>
      <c r="B286">
        <v>181.1522521972656</v>
      </c>
      <c r="C286">
        <v>737.6253662109375</v>
      </c>
      <c r="D286">
        <v>152.55487060546881</v>
      </c>
      <c r="E286">
        <v>175.74641418457031</v>
      </c>
      <c r="F286">
        <v>52.833988189697273</v>
      </c>
      <c r="G286">
        <v>152.38604736328119</v>
      </c>
      <c r="H286">
        <v>5078.18017578125</v>
      </c>
      <c r="I286" s="13">
        <f t="shared" si="40"/>
        <v>8.0816801917451917E-3</v>
      </c>
      <c r="J286" s="13">
        <f t="shared" si="41"/>
        <v>-8.5902536429578551E-4</v>
      </c>
      <c r="K286" s="13">
        <f t="shared" si="42"/>
        <v>1.1810525970426145E-3</v>
      </c>
      <c r="L286" s="13">
        <f t="shared" si="43"/>
        <v>4.9066896270975988E-4</v>
      </c>
      <c r="M286" s="13">
        <f t="shared" si="44"/>
        <v>7.4067243620887287E-3</v>
      </c>
      <c r="N286" s="13">
        <f t="shared" si="45"/>
        <v>-5.7587262798177753E-3</v>
      </c>
      <c r="O286" s="13">
        <f t="shared" si="46"/>
        <v>1.704895538720964E-3</v>
      </c>
    </row>
    <row r="287" spans="1:15" x14ac:dyDescent="0.35">
      <c r="A287" s="2">
        <v>45350</v>
      </c>
      <c r="B287">
        <v>179.9520568847656</v>
      </c>
      <c r="C287">
        <v>740.84454345703125</v>
      </c>
      <c r="D287">
        <v>153.09503173828119</v>
      </c>
      <c r="E287">
        <v>176.63737487792969</v>
      </c>
      <c r="F287">
        <v>52.339504241943359</v>
      </c>
      <c r="G287">
        <v>153.103515625</v>
      </c>
      <c r="H287">
        <v>5069.759765625</v>
      </c>
      <c r="I287" s="13">
        <f t="shared" si="40"/>
        <v>-6.6473852668226963E-3</v>
      </c>
      <c r="J287" s="13">
        <f t="shared" si="41"/>
        <v>4.3547485307210542E-3</v>
      </c>
      <c r="K287" s="13">
        <f t="shared" si="42"/>
        <v>3.5345124667996906E-3</v>
      </c>
      <c r="L287" s="13">
        <f t="shared" si="43"/>
        <v>5.0567740036464217E-3</v>
      </c>
      <c r="M287" s="13">
        <f t="shared" si="44"/>
        <v>-9.4032741502233282E-3</v>
      </c>
      <c r="N287" s="13">
        <f t="shared" si="45"/>
        <v>4.6971790057546235E-3</v>
      </c>
      <c r="O287" s="13">
        <f t="shared" si="46"/>
        <v>-1.6595313211122439E-3</v>
      </c>
    </row>
    <row r="288" spans="1:15" x14ac:dyDescent="0.35">
      <c r="A288" s="2">
        <v>45351</v>
      </c>
      <c r="B288">
        <v>179.28746032714841</v>
      </c>
      <c r="C288">
        <v>736.813232421875</v>
      </c>
      <c r="D288">
        <v>152.9339294433594</v>
      </c>
      <c r="E288">
        <v>178.24684143066409</v>
      </c>
      <c r="F288">
        <v>52.482143402099609</v>
      </c>
      <c r="G288">
        <v>152.04168701171881</v>
      </c>
      <c r="H288">
        <v>5096.27001953125</v>
      </c>
      <c r="I288" s="13">
        <f t="shared" si="40"/>
        <v>-3.7000234327143298E-3</v>
      </c>
      <c r="J288" s="13">
        <f t="shared" si="41"/>
        <v>-5.4563662880786961E-3</v>
      </c>
      <c r="K288" s="13">
        <f t="shared" si="42"/>
        <v>-1.0528566262595503E-3</v>
      </c>
      <c r="L288" s="13">
        <f t="shared" si="43"/>
        <v>9.0704376997993719E-3</v>
      </c>
      <c r="M288" s="13">
        <f t="shared" si="44"/>
        <v>2.7215608875635956E-3</v>
      </c>
      <c r="N288" s="13">
        <f t="shared" si="45"/>
        <v>-6.9595254318783632E-3</v>
      </c>
      <c r="O288" s="13">
        <f t="shared" si="46"/>
        <v>5.2154704557999644E-3</v>
      </c>
    </row>
    <row r="289" spans="1:15" x14ac:dyDescent="0.35">
      <c r="A289" s="2">
        <v>45352</v>
      </c>
      <c r="B289">
        <v>178.206298828125</v>
      </c>
      <c r="C289">
        <v>742.31036376953125</v>
      </c>
      <c r="D289">
        <v>153.63519287109381</v>
      </c>
      <c r="E289">
        <v>177.50917053222659</v>
      </c>
      <c r="F289">
        <v>52.50115966796875</v>
      </c>
      <c r="G289">
        <v>151.9555969238281</v>
      </c>
      <c r="H289">
        <v>5137.080078125</v>
      </c>
      <c r="I289" s="13">
        <f t="shared" si="40"/>
        <v>-6.0485799684784616E-3</v>
      </c>
      <c r="J289" s="13">
        <f t="shared" si="41"/>
        <v>7.4329916326201081E-3</v>
      </c>
      <c r="K289" s="13">
        <f t="shared" si="42"/>
        <v>4.5749203021750087E-3</v>
      </c>
      <c r="L289" s="13">
        <f t="shared" si="43"/>
        <v>-4.1470667021613556E-3</v>
      </c>
      <c r="M289" s="13">
        <f t="shared" si="44"/>
        <v>3.6227219988361716E-4</v>
      </c>
      <c r="N289" s="13">
        <f t="shared" si="45"/>
        <v>-5.6638723265959733E-4</v>
      </c>
      <c r="O289" s="13">
        <f t="shared" si="46"/>
        <v>7.975936433387976E-3</v>
      </c>
    </row>
    <row r="290" spans="1:15" x14ac:dyDescent="0.35">
      <c r="A290" s="2">
        <v>45355</v>
      </c>
      <c r="B290">
        <v>173.68318176269531</v>
      </c>
      <c r="C290">
        <v>751.95770263671875</v>
      </c>
      <c r="D290">
        <v>151.47454833984381</v>
      </c>
      <c r="E290">
        <v>178.84075927734381</v>
      </c>
      <c r="F290">
        <v>52.272945404052727</v>
      </c>
      <c r="G290">
        <v>152.634765625</v>
      </c>
      <c r="H290">
        <v>5130.9501953125</v>
      </c>
      <c r="I290" s="13">
        <f t="shared" si="40"/>
        <v>-2.5709016285087448E-2</v>
      </c>
      <c r="J290" s="13">
        <f t="shared" si="41"/>
        <v>1.2912640148694029E-2</v>
      </c>
      <c r="K290" s="13">
        <f t="shared" si="42"/>
        <v>-1.4163301644638452E-2</v>
      </c>
      <c r="L290" s="13">
        <f t="shared" si="43"/>
        <v>7.4735243733864186E-3</v>
      </c>
      <c r="M290" s="13">
        <f t="shared" si="44"/>
        <v>-4.3563173299432665E-3</v>
      </c>
      <c r="N290" s="13">
        <f t="shared" si="45"/>
        <v>4.4595621547566687E-3</v>
      </c>
      <c r="O290" s="13">
        <f t="shared" si="46"/>
        <v>-1.1939745749630112E-3</v>
      </c>
    </row>
    <row r="291" spans="1:15" x14ac:dyDescent="0.35">
      <c r="A291" s="2">
        <v>45356</v>
      </c>
      <c r="B291">
        <v>168.74346923828119</v>
      </c>
      <c r="C291">
        <v>752.7203369140625</v>
      </c>
      <c r="D291">
        <v>151.59770202636719</v>
      </c>
      <c r="E291">
        <v>180.63227844238281</v>
      </c>
      <c r="F291">
        <v>52.681838989257813</v>
      </c>
      <c r="G291">
        <v>152.40519714355469</v>
      </c>
      <c r="H291">
        <v>5078.64990234375</v>
      </c>
      <c r="I291" s="13">
        <f t="shared" si="40"/>
        <v>-2.8853216892549466E-2</v>
      </c>
      <c r="J291" s="13">
        <f t="shared" si="41"/>
        <v>1.0136844196591422E-3</v>
      </c>
      <c r="K291" s="13">
        <f t="shared" si="42"/>
        <v>8.1270187655254624E-4</v>
      </c>
      <c r="L291" s="13">
        <f t="shared" si="43"/>
        <v>9.9675570050645097E-3</v>
      </c>
      <c r="M291" s="13">
        <f t="shared" si="44"/>
        <v>7.791844008330503E-3</v>
      </c>
      <c r="N291" s="13">
        <f t="shared" si="45"/>
        <v>-1.5051701600214003E-3</v>
      </c>
      <c r="O291" s="13">
        <f t="shared" si="46"/>
        <v>-1.0245406275917994E-2</v>
      </c>
    </row>
    <row r="292" spans="1:15" x14ac:dyDescent="0.35">
      <c r="A292" s="2">
        <v>45357</v>
      </c>
      <c r="B292">
        <v>167.75157165527341</v>
      </c>
      <c r="C292">
        <v>765.8839111328125</v>
      </c>
      <c r="D292">
        <v>151.0007019042969</v>
      </c>
      <c r="E292">
        <v>181.57112121582031</v>
      </c>
      <c r="F292">
        <v>52.805458068847663</v>
      </c>
      <c r="G292">
        <v>152.64434814453119</v>
      </c>
      <c r="H292">
        <v>5104.759765625</v>
      </c>
      <c r="I292" s="13">
        <f t="shared" si="40"/>
        <v>-5.8954833527294645E-3</v>
      </c>
      <c r="J292" s="13">
        <f t="shared" si="41"/>
        <v>1.7336845915602469E-2</v>
      </c>
      <c r="K292" s="13">
        <f t="shared" si="42"/>
        <v>-3.9458297790180589E-3</v>
      </c>
      <c r="L292" s="13">
        <f t="shared" si="43"/>
        <v>5.1840754499313845E-3</v>
      </c>
      <c r="M292" s="13">
        <f t="shared" si="44"/>
        <v>2.3437729400002374E-3</v>
      </c>
      <c r="N292" s="13">
        <f t="shared" si="45"/>
        <v>1.5679489031593461E-3</v>
      </c>
      <c r="O292" s="13">
        <f t="shared" si="46"/>
        <v>5.1279328530016433E-3</v>
      </c>
    </row>
    <row r="293" spans="1:15" x14ac:dyDescent="0.35">
      <c r="A293" s="2">
        <v>45358</v>
      </c>
      <c r="B293">
        <v>167.6325378417969</v>
      </c>
      <c r="C293">
        <v>778.11639404296875</v>
      </c>
      <c r="D293">
        <v>150.5552978515625</v>
      </c>
      <c r="E293">
        <v>179.98081970214841</v>
      </c>
      <c r="F293">
        <v>53.490127563476563</v>
      </c>
      <c r="G293">
        <v>153.64875793457031</v>
      </c>
      <c r="H293">
        <v>5157.35986328125</v>
      </c>
      <c r="I293" s="13">
        <f t="shared" si="40"/>
        <v>-7.0983576802796037E-4</v>
      </c>
      <c r="J293" s="13">
        <f t="shared" si="41"/>
        <v>1.5845513517970859E-2</v>
      </c>
      <c r="K293" s="13">
        <f t="shared" si="42"/>
        <v>-2.9540408878696496E-3</v>
      </c>
      <c r="L293" s="13">
        <f t="shared" si="43"/>
        <v>-8.7971413772538858E-3</v>
      </c>
      <c r="M293" s="13">
        <f t="shared" si="44"/>
        <v>1.2882547464422063E-2</v>
      </c>
      <c r="N293" s="13">
        <f t="shared" si="45"/>
        <v>6.55851124569459E-3</v>
      </c>
      <c r="O293" s="13">
        <f t="shared" si="46"/>
        <v>1.0251402284983627E-2</v>
      </c>
    </row>
    <row r="294" spans="1:15" x14ac:dyDescent="0.35">
      <c r="A294" s="2">
        <v>45359</v>
      </c>
      <c r="B294">
        <v>169.34852600097659</v>
      </c>
      <c r="C294">
        <v>718.65753173828125</v>
      </c>
      <c r="D294">
        <v>151.17127990722659</v>
      </c>
      <c r="E294">
        <v>180.3161315917969</v>
      </c>
      <c r="F294">
        <v>54.973594665527337</v>
      </c>
      <c r="G294">
        <v>153.39048767089841</v>
      </c>
      <c r="H294">
        <v>5123.68994140625</v>
      </c>
      <c r="I294" s="13">
        <f t="shared" si="40"/>
        <v>1.0184566291138418E-2</v>
      </c>
      <c r="J294" s="13">
        <f t="shared" si="41"/>
        <v>-7.9491187386772216E-2</v>
      </c>
      <c r="K294" s="13">
        <f t="shared" si="42"/>
        <v>4.0830537104766754E-3</v>
      </c>
      <c r="L294" s="13">
        <f t="shared" si="43"/>
        <v>1.8613090410606631E-3</v>
      </c>
      <c r="M294" s="13">
        <f t="shared" si="44"/>
        <v>2.7355867608477247E-2</v>
      </c>
      <c r="N294" s="13">
        <f t="shared" si="45"/>
        <v>-1.6823277693783242E-3</v>
      </c>
      <c r="O294" s="13">
        <f t="shared" si="46"/>
        <v>-6.5499229920503374E-3</v>
      </c>
    </row>
    <row r="295" spans="1:15" x14ac:dyDescent="0.35">
      <c r="A295" s="2">
        <v>45362</v>
      </c>
      <c r="B295">
        <v>171.3521728515625</v>
      </c>
      <c r="C295">
        <v>707.2867431640625</v>
      </c>
      <c r="D295">
        <v>152.7917785644531</v>
      </c>
      <c r="E295">
        <v>180.38319396972659</v>
      </c>
      <c r="F295">
        <v>55.030654907226563</v>
      </c>
      <c r="G295">
        <v>154.53839111328119</v>
      </c>
      <c r="H295">
        <v>5117.93994140625</v>
      </c>
      <c r="I295" s="13">
        <f t="shared" si="40"/>
        <v>1.1762053655750332E-2</v>
      </c>
      <c r="J295" s="13">
        <f t="shared" si="41"/>
        <v>-1.5948771350023452E-2</v>
      </c>
      <c r="K295" s="13">
        <f t="shared" si="42"/>
        <v>1.0662572078854363E-2</v>
      </c>
      <c r="L295" s="13">
        <f t="shared" si="43"/>
        <v>3.718464324712088E-4</v>
      </c>
      <c r="M295" s="13">
        <f t="shared" si="44"/>
        <v>1.0374189549653653E-3</v>
      </c>
      <c r="N295" s="13">
        <f t="shared" si="45"/>
        <v>7.455674597939518E-3</v>
      </c>
      <c r="O295" s="13">
        <f t="shared" si="46"/>
        <v>-1.1228682680281005E-3</v>
      </c>
    </row>
    <row r="296" spans="1:15" x14ac:dyDescent="0.35">
      <c r="A296" s="2">
        <v>45363</v>
      </c>
      <c r="B296">
        <v>171.82830810546881</v>
      </c>
      <c r="C296">
        <v>729.869873046875</v>
      </c>
      <c r="D296">
        <v>154.22276306152341</v>
      </c>
      <c r="E296">
        <v>181.86810302734381</v>
      </c>
      <c r="F296">
        <v>54.345973968505859</v>
      </c>
      <c r="G296">
        <v>154.90190124511719</v>
      </c>
      <c r="H296">
        <v>5175.27001953125</v>
      </c>
      <c r="I296" s="13">
        <f t="shared" si="40"/>
        <v>2.7748405625417838E-3</v>
      </c>
      <c r="J296" s="13">
        <f t="shared" si="41"/>
        <v>3.1430101162100418E-2</v>
      </c>
      <c r="K296" s="13">
        <f t="shared" si="42"/>
        <v>9.3220005290488312E-3</v>
      </c>
      <c r="L296" s="13">
        <f t="shared" si="43"/>
        <v>8.1982722317452683E-3</v>
      </c>
      <c r="M296" s="13">
        <f t="shared" si="44"/>
        <v>-1.2519857106561257E-2</v>
      </c>
      <c r="N296" s="13">
        <f t="shared" si="45"/>
        <v>2.3494697234181889E-3</v>
      </c>
      <c r="O296" s="13">
        <f t="shared" si="46"/>
        <v>1.1139512586668012E-2</v>
      </c>
    </row>
    <row r="297" spans="1:15" x14ac:dyDescent="0.35">
      <c r="A297" s="2">
        <v>45364</v>
      </c>
      <c r="B297">
        <v>169.74530029296881</v>
      </c>
      <c r="C297">
        <v>727.21527099609375</v>
      </c>
      <c r="D297">
        <v>152.66862487792969</v>
      </c>
      <c r="E297">
        <v>183.34344482421881</v>
      </c>
      <c r="F297">
        <v>56.618709564208977</v>
      </c>
      <c r="G297">
        <v>155.255859375</v>
      </c>
      <c r="H297">
        <v>5165.31005859375</v>
      </c>
      <c r="I297" s="13">
        <f t="shared" si="40"/>
        <v>-1.219668957694865E-2</v>
      </c>
      <c r="J297" s="13">
        <f t="shared" si="41"/>
        <v>-3.643719790379718E-3</v>
      </c>
      <c r="K297" s="13">
        <f t="shared" si="42"/>
        <v>-1.0128348532314636E-2</v>
      </c>
      <c r="L297" s="13">
        <f t="shared" si="43"/>
        <v>8.0794259165737348E-3</v>
      </c>
      <c r="M297" s="13">
        <f t="shared" si="44"/>
        <v>4.0968953451520317E-2</v>
      </c>
      <c r="N297" s="13">
        <f t="shared" si="45"/>
        <v>2.2824402835394312E-3</v>
      </c>
      <c r="O297" s="13">
        <f t="shared" si="46"/>
        <v>-1.9263840021219723E-3</v>
      </c>
    </row>
    <row r="298" spans="1:15" x14ac:dyDescent="0.35">
      <c r="A298" s="2">
        <v>45365</v>
      </c>
      <c r="B298">
        <v>171.60015869140619</v>
      </c>
      <c r="C298">
        <v>724.9866943359375</v>
      </c>
      <c r="D298">
        <v>150.87750244140619</v>
      </c>
      <c r="E298">
        <v>180.0766296386719</v>
      </c>
      <c r="F298">
        <v>56.618709564208977</v>
      </c>
      <c r="G298">
        <v>154.49055480957031</v>
      </c>
      <c r="H298">
        <v>5150.47998046875</v>
      </c>
      <c r="I298" s="13">
        <f t="shared" si="40"/>
        <v>1.086803182324631E-2</v>
      </c>
      <c r="J298" s="13">
        <f t="shared" si="41"/>
        <v>-3.0692403162021244E-3</v>
      </c>
      <c r="K298" s="13">
        <f t="shared" si="42"/>
        <v>-1.18014566050639E-2</v>
      </c>
      <c r="L298" s="13">
        <f t="shared" si="43"/>
        <v>-1.7978661112237566E-2</v>
      </c>
      <c r="M298" s="13">
        <f t="shared" si="44"/>
        <v>0</v>
      </c>
      <c r="N298" s="13">
        <f t="shared" si="45"/>
        <v>-4.9415010968804334E-3</v>
      </c>
      <c r="O298" s="13">
        <f t="shared" si="46"/>
        <v>-2.8752210514951882E-3</v>
      </c>
    </row>
    <row r="299" spans="1:15" x14ac:dyDescent="0.35">
      <c r="A299" s="2">
        <v>45366</v>
      </c>
      <c r="B299">
        <v>171.2232360839844</v>
      </c>
      <c r="C299">
        <v>718.72686767578125</v>
      </c>
      <c r="D299">
        <v>149.9013977050781</v>
      </c>
      <c r="E299">
        <v>182.30879211425781</v>
      </c>
      <c r="F299">
        <v>57.132217407226563</v>
      </c>
      <c r="G299">
        <v>154.37577819824219</v>
      </c>
      <c r="H299">
        <v>5117.08984375</v>
      </c>
      <c r="I299" s="13">
        <f t="shared" si="40"/>
        <v>-2.1989325410343009E-3</v>
      </c>
      <c r="J299" s="13">
        <f t="shared" si="41"/>
        <v>-8.6718945557968264E-3</v>
      </c>
      <c r="K299" s="13">
        <f t="shared" si="42"/>
        <v>-6.490536154977411E-3</v>
      </c>
      <c r="L299" s="13">
        <f t="shared" si="43"/>
        <v>1.2319428831770471E-2</v>
      </c>
      <c r="M299" s="13">
        <f t="shared" si="44"/>
        <v>9.0286970840991933E-3</v>
      </c>
      <c r="N299" s="13">
        <f t="shared" si="45"/>
        <v>-7.4321222059789806E-4</v>
      </c>
      <c r="O299" s="13">
        <f t="shared" si="46"/>
        <v>-6.5040228597376655E-3</v>
      </c>
    </row>
    <row r="300" spans="1:15" x14ac:dyDescent="0.35">
      <c r="A300" s="2">
        <v>45369</v>
      </c>
      <c r="B300">
        <v>172.3143615722656</v>
      </c>
      <c r="C300">
        <v>724.58062744140625</v>
      </c>
      <c r="D300">
        <v>148.55572509765619</v>
      </c>
      <c r="E300">
        <v>184.5696716308594</v>
      </c>
      <c r="F300">
        <v>57.217803955078118</v>
      </c>
      <c r="G300">
        <v>154.2131652832031</v>
      </c>
      <c r="H300">
        <v>5149.419921875</v>
      </c>
      <c r="I300" s="13">
        <f t="shared" si="40"/>
        <v>6.3523129043410644E-3</v>
      </c>
      <c r="J300" s="13">
        <f t="shared" si="41"/>
        <v>8.1116350920900204E-3</v>
      </c>
      <c r="K300" s="13">
        <f t="shared" si="42"/>
        <v>-9.0175882793446897E-3</v>
      </c>
      <c r="L300" s="13">
        <f t="shared" si="43"/>
        <v>1.2325106870391383E-2</v>
      </c>
      <c r="M300" s="13">
        <f t="shared" si="44"/>
        <v>1.496922568332166E-3</v>
      </c>
      <c r="N300" s="13">
        <f t="shared" si="45"/>
        <v>-1.0539128735860492E-3</v>
      </c>
      <c r="O300" s="13">
        <f t="shared" si="46"/>
        <v>6.2981842384804559E-3</v>
      </c>
    </row>
    <row r="301" spans="1:15" x14ac:dyDescent="0.35">
      <c r="A301" s="2">
        <v>45370</v>
      </c>
      <c r="B301">
        <v>174.6552429199219</v>
      </c>
      <c r="C301">
        <v>725.20458984375</v>
      </c>
      <c r="D301">
        <v>148.03453063964841</v>
      </c>
      <c r="E301">
        <v>185.65223693847659</v>
      </c>
      <c r="F301">
        <v>58.263832092285163</v>
      </c>
      <c r="G301">
        <v>154.80622863769531</v>
      </c>
      <c r="H301">
        <v>5178.509765625</v>
      </c>
      <c r="I301" s="13">
        <f t="shared" si="40"/>
        <v>1.3493498192001064E-2</v>
      </c>
      <c r="J301" s="13">
        <f t="shared" si="41"/>
        <v>8.6076535121180269E-4</v>
      </c>
      <c r="K301" s="13">
        <f t="shared" si="42"/>
        <v>-3.5145793526256287E-3</v>
      </c>
      <c r="L301" s="13">
        <f t="shared" si="43"/>
        <v>5.8482135606424948E-3</v>
      </c>
      <c r="M301" s="13">
        <f t="shared" si="44"/>
        <v>1.8116417157261224E-2</v>
      </c>
      <c r="N301" s="13">
        <f t="shared" si="45"/>
        <v>3.8383615675483111E-3</v>
      </c>
      <c r="O301" s="13">
        <f t="shared" si="46"/>
        <v>5.6332530443431198E-3</v>
      </c>
    </row>
    <row r="302" spans="1:15" x14ac:dyDescent="0.35">
      <c r="A302" s="2">
        <v>45371</v>
      </c>
      <c r="B302">
        <v>177.22430419921881</v>
      </c>
      <c r="C302">
        <v>733.67333984375</v>
      </c>
      <c r="D302">
        <v>147.60807800292969</v>
      </c>
      <c r="E302">
        <v>188.08558654785159</v>
      </c>
      <c r="F302">
        <v>59.148204803466797</v>
      </c>
      <c r="G302">
        <v>154.95930480957031</v>
      </c>
      <c r="H302">
        <v>5224.6201171875</v>
      </c>
      <c r="I302" s="13">
        <f t="shared" si="40"/>
        <v>1.460219526246653E-2</v>
      </c>
      <c r="J302" s="13">
        <f t="shared" si="41"/>
        <v>1.1610080535849285E-2</v>
      </c>
      <c r="K302" s="13">
        <f t="shared" si="42"/>
        <v>-2.884921997198941E-3</v>
      </c>
      <c r="L302" s="13">
        <f t="shared" si="43"/>
        <v>1.3021877056438858E-2</v>
      </c>
      <c r="M302" s="13">
        <f t="shared" si="44"/>
        <v>1.5064714996487559E-2</v>
      </c>
      <c r="N302" s="13">
        <f t="shared" si="45"/>
        <v>9.8833580761526819E-4</v>
      </c>
      <c r="O302" s="13">
        <f t="shared" si="46"/>
        <v>8.8647655163601839E-3</v>
      </c>
    </row>
    <row r="303" spans="1:15" x14ac:dyDescent="0.35">
      <c r="A303" s="2">
        <v>45372</v>
      </c>
      <c r="B303">
        <v>169.98335266113281</v>
      </c>
      <c r="C303">
        <v>735.4957275390625</v>
      </c>
      <c r="D303">
        <v>147.59858703613281</v>
      </c>
      <c r="E303">
        <v>190.7008972167969</v>
      </c>
      <c r="F303">
        <v>58.349418640136719</v>
      </c>
      <c r="G303">
        <v>154.83494567871091</v>
      </c>
      <c r="H303">
        <v>5241.52978515625</v>
      </c>
      <c r="I303" s="13">
        <f t="shared" si="40"/>
        <v>-4.1715678913806342E-2</v>
      </c>
      <c r="J303" s="13">
        <f t="shared" si="41"/>
        <v>2.4808426347120559E-3</v>
      </c>
      <c r="K303" s="13">
        <f t="shared" si="42"/>
        <v>-6.4300491311017929E-5</v>
      </c>
      <c r="L303" s="13">
        <f t="shared" si="43"/>
        <v>1.380911062412144E-2</v>
      </c>
      <c r="M303" s="13">
        <f t="shared" si="44"/>
        <v>-1.3596844704194472E-2</v>
      </c>
      <c r="N303" s="13">
        <f t="shared" si="45"/>
        <v>-8.0284987434872462E-4</v>
      </c>
      <c r="O303" s="13">
        <f t="shared" si="46"/>
        <v>3.2313090945288881E-3</v>
      </c>
    </row>
    <row r="304" spans="1:15" x14ac:dyDescent="0.35">
      <c r="A304" s="2">
        <v>45373</v>
      </c>
      <c r="B304">
        <v>170.8860168457031</v>
      </c>
      <c r="C304">
        <v>727.80963134765625</v>
      </c>
      <c r="D304">
        <v>147.10581970214841</v>
      </c>
      <c r="E304">
        <v>188.3633728027344</v>
      </c>
      <c r="F304">
        <v>58.748805999755859</v>
      </c>
      <c r="G304">
        <v>154.64363098144531</v>
      </c>
      <c r="H304">
        <v>5234.18017578125</v>
      </c>
      <c r="I304" s="13">
        <f t="shared" si="40"/>
        <v>5.2962593610573613E-3</v>
      </c>
      <c r="J304" s="13">
        <f t="shared" si="41"/>
        <v>-1.05052125050122E-2</v>
      </c>
      <c r="K304" s="13">
        <f t="shared" si="42"/>
        <v>-3.3441494728228033E-3</v>
      </c>
      <c r="L304" s="13">
        <f t="shared" si="43"/>
        <v>-1.2333286088537251E-2</v>
      </c>
      <c r="M304" s="13">
        <f t="shared" si="44"/>
        <v>6.8214340488247207E-3</v>
      </c>
      <c r="N304" s="13">
        <f t="shared" si="45"/>
        <v>-1.2363681111671261E-3</v>
      </c>
      <c r="O304" s="13">
        <f t="shared" si="46"/>
        <v>-1.4031718343267125E-3</v>
      </c>
    </row>
    <row r="305" spans="1:15" x14ac:dyDescent="0.35">
      <c r="A305" s="2">
        <v>45376</v>
      </c>
      <c r="B305">
        <v>169.46757507324219</v>
      </c>
      <c r="C305">
        <v>724.00616455078125</v>
      </c>
      <c r="D305">
        <v>147.0963439941406</v>
      </c>
      <c r="E305">
        <v>186.63897705078119</v>
      </c>
      <c r="F305">
        <v>59.5380859375</v>
      </c>
      <c r="G305">
        <v>153.2374267578125</v>
      </c>
      <c r="H305">
        <v>5218.18994140625</v>
      </c>
      <c r="I305" s="13">
        <f t="shared" si="40"/>
        <v>-8.3351550757461267E-3</v>
      </c>
      <c r="J305" s="13">
        <f t="shared" si="41"/>
        <v>-5.2396116768609873E-3</v>
      </c>
      <c r="K305" s="13">
        <f t="shared" si="42"/>
        <v>-6.4416304027344601E-5</v>
      </c>
      <c r="L305" s="13">
        <f t="shared" si="43"/>
        <v>-9.1967845366689709E-3</v>
      </c>
      <c r="M305" s="13">
        <f t="shared" si="44"/>
        <v>1.3345378155675639E-2</v>
      </c>
      <c r="N305" s="13">
        <f t="shared" si="45"/>
        <v>-9.1347873900412581E-3</v>
      </c>
      <c r="O305" s="13">
        <f t="shared" si="46"/>
        <v>-3.0596403820319297E-3</v>
      </c>
    </row>
    <row r="306" spans="1:15" x14ac:dyDescent="0.35">
      <c r="A306" s="2">
        <v>45377</v>
      </c>
      <c r="B306">
        <v>168.3367919921875</v>
      </c>
      <c r="C306">
        <v>724.0260009765625</v>
      </c>
      <c r="D306">
        <v>147.6175537109375</v>
      </c>
      <c r="E306">
        <v>187.51072692871091</v>
      </c>
      <c r="F306">
        <v>58.415977478027337</v>
      </c>
      <c r="G306">
        <v>153.5818176269531</v>
      </c>
      <c r="H306">
        <v>5203.580078125</v>
      </c>
      <c r="I306" s="13">
        <f t="shared" si="40"/>
        <v>-6.6949241333913879E-3</v>
      </c>
      <c r="J306" s="13">
        <f t="shared" si="41"/>
        <v>2.739776954498096E-5</v>
      </c>
      <c r="K306" s="13">
        <f t="shared" si="42"/>
        <v>3.5370592581537635E-3</v>
      </c>
      <c r="L306" s="13">
        <f t="shared" si="43"/>
        <v>4.6599072304051607E-3</v>
      </c>
      <c r="M306" s="13">
        <f t="shared" si="44"/>
        <v>-1.902676819639124E-2</v>
      </c>
      <c r="N306" s="13">
        <f t="shared" si="45"/>
        <v>2.244911426365211E-3</v>
      </c>
      <c r="O306" s="13">
        <f t="shared" si="46"/>
        <v>-2.803721982805726E-3</v>
      </c>
    </row>
    <row r="307" spans="1:15" x14ac:dyDescent="0.35">
      <c r="A307" s="2">
        <v>45378</v>
      </c>
      <c r="B307">
        <v>171.90765380859381</v>
      </c>
      <c r="C307">
        <v>725.115478515625</v>
      </c>
      <c r="D307">
        <v>149.69291687011719</v>
      </c>
      <c r="E307">
        <v>191.14161682128909</v>
      </c>
      <c r="F307">
        <v>60.660190582275391</v>
      </c>
      <c r="G307">
        <v>155.55238342285159</v>
      </c>
      <c r="H307">
        <v>5248.490234375</v>
      </c>
      <c r="I307" s="13">
        <f t="shared" si="40"/>
        <v>2.0990749286858464E-2</v>
      </c>
      <c r="J307" s="13">
        <f t="shared" si="41"/>
        <v>1.5036181901411792E-3</v>
      </c>
      <c r="K307" s="13">
        <f t="shared" si="42"/>
        <v>1.3961142133364709E-2</v>
      </c>
      <c r="L307" s="13">
        <f t="shared" si="43"/>
        <v>1.91785485745159E-2</v>
      </c>
      <c r="M307" s="13">
        <f t="shared" si="44"/>
        <v>3.7698204698212959E-2</v>
      </c>
      <c r="N307" s="13">
        <f t="shared" si="45"/>
        <v>1.2749106895341629E-2</v>
      </c>
      <c r="O307" s="13">
        <f t="shared" si="46"/>
        <v>8.5935955827060422E-3</v>
      </c>
    </row>
    <row r="308" spans="1:15" x14ac:dyDescent="0.35">
      <c r="A308" s="2">
        <v>45379</v>
      </c>
      <c r="B308">
        <v>170.09245300292969</v>
      </c>
      <c r="C308">
        <v>725.6602783203125</v>
      </c>
      <c r="D308">
        <v>149.91090393066409</v>
      </c>
      <c r="E308">
        <v>191.88887023925781</v>
      </c>
      <c r="F308">
        <v>60.774303436279297</v>
      </c>
      <c r="G308">
        <v>155.20799255371091</v>
      </c>
      <c r="H308">
        <v>5254.35009765625</v>
      </c>
      <c r="I308" s="13">
        <f t="shared" si="40"/>
        <v>-1.0615305755336818E-2</v>
      </c>
      <c r="J308" s="13">
        <f t="shared" si="41"/>
        <v>7.5104622851499046E-4</v>
      </c>
      <c r="K308" s="13">
        <f t="shared" si="42"/>
        <v>1.4551690190746111E-3</v>
      </c>
      <c r="L308" s="13">
        <f t="shared" si="43"/>
        <v>3.9018009857216202E-3</v>
      </c>
      <c r="M308" s="13">
        <f t="shared" si="44"/>
        <v>1.8794147168033023E-3</v>
      </c>
      <c r="N308" s="13">
        <f t="shared" si="45"/>
        <v>-2.2164409413304425E-3</v>
      </c>
      <c r="O308" s="13">
        <f t="shared" si="46"/>
        <v>1.1158627007616052E-3</v>
      </c>
    </row>
    <row r="309" spans="1:15" x14ac:dyDescent="0.35">
      <c r="A309" s="2">
        <v>45383</v>
      </c>
      <c r="B309">
        <v>168.65422058105469</v>
      </c>
      <c r="C309">
        <v>714.378662109375</v>
      </c>
      <c r="D309">
        <v>149.5223388671875</v>
      </c>
      <c r="E309">
        <v>190.5859680175781</v>
      </c>
      <c r="F309">
        <v>60.270309448242188</v>
      </c>
      <c r="G309">
        <v>153.61048889160159</v>
      </c>
      <c r="H309">
        <v>5243.77001953125</v>
      </c>
      <c r="I309" s="13">
        <f t="shared" si="40"/>
        <v>-8.4915435406884079E-3</v>
      </c>
      <c r="J309" s="13">
        <f t="shared" si="41"/>
        <v>-1.566880826229947E-2</v>
      </c>
      <c r="K309" s="13">
        <f t="shared" si="42"/>
        <v>-2.5953382994706995E-3</v>
      </c>
      <c r="L309" s="13">
        <f t="shared" si="43"/>
        <v>-6.8130351653822438E-3</v>
      </c>
      <c r="M309" s="13">
        <f t="shared" si="44"/>
        <v>-8.3274569358069723E-3</v>
      </c>
      <c r="N309" s="13">
        <f t="shared" si="45"/>
        <v>-1.0345999399391527E-2</v>
      </c>
      <c r="O309" s="13">
        <f t="shared" si="46"/>
        <v>-2.0156145269577246E-3</v>
      </c>
    </row>
    <row r="310" spans="1:15" x14ac:dyDescent="0.35">
      <c r="A310" s="2">
        <v>45384</v>
      </c>
      <c r="B310">
        <v>167.47383117675781</v>
      </c>
      <c r="C310">
        <v>704.533203125</v>
      </c>
      <c r="D310">
        <v>149.47496032714841</v>
      </c>
      <c r="E310">
        <v>190.50933837890619</v>
      </c>
      <c r="F310">
        <v>59.794837951660163</v>
      </c>
      <c r="G310">
        <v>153.60093688964841</v>
      </c>
      <c r="H310">
        <v>5205.81005859375</v>
      </c>
      <c r="I310" s="13">
        <f t="shared" si="40"/>
        <v>-7.0234795961347804E-3</v>
      </c>
      <c r="J310" s="13">
        <f t="shared" si="41"/>
        <v>-1.387770056334498E-2</v>
      </c>
      <c r="K310" s="13">
        <f t="shared" si="42"/>
        <v>-3.1691617658958555E-4</v>
      </c>
      <c r="L310" s="13">
        <f t="shared" si="43"/>
        <v>-4.0215472832370874E-4</v>
      </c>
      <c r="M310" s="13">
        <f t="shared" si="44"/>
        <v>-7.9202664957820999E-3</v>
      </c>
      <c r="N310" s="13">
        <f t="shared" si="45"/>
        <v>-6.2185199863411183E-5</v>
      </c>
      <c r="O310" s="13">
        <f t="shared" si="46"/>
        <v>-7.2653882036724264E-3</v>
      </c>
    </row>
    <row r="311" spans="1:15" x14ac:dyDescent="0.35">
      <c r="A311" s="2">
        <v>45385</v>
      </c>
      <c r="B311">
        <v>168.27726745605469</v>
      </c>
      <c r="C311">
        <v>698.97662353515625</v>
      </c>
      <c r="D311">
        <v>146.1865539550781</v>
      </c>
      <c r="E311">
        <v>189.97283935546881</v>
      </c>
      <c r="F311">
        <v>59.481021881103523</v>
      </c>
      <c r="G311">
        <v>149.37274169921881</v>
      </c>
      <c r="H311">
        <v>5211.490234375</v>
      </c>
      <c r="I311" s="13">
        <f t="shared" si="40"/>
        <v>4.7859132322996692E-3</v>
      </c>
      <c r="J311" s="13">
        <f t="shared" si="41"/>
        <v>-7.9181613354350096E-3</v>
      </c>
      <c r="K311" s="13">
        <f t="shared" si="42"/>
        <v>-2.2245316477649664E-2</v>
      </c>
      <c r="L311" s="13">
        <f t="shared" si="43"/>
        <v>-2.8201025456474483E-3</v>
      </c>
      <c r="M311" s="13">
        <f t="shared" si="44"/>
        <v>-5.2620336604690216E-3</v>
      </c>
      <c r="N311" s="13">
        <f t="shared" si="45"/>
        <v>-2.7913115997049025E-2</v>
      </c>
      <c r="O311" s="13">
        <f t="shared" si="46"/>
        <v>1.090527523337898E-3</v>
      </c>
    </row>
    <row r="312" spans="1:15" x14ac:dyDescent="0.35">
      <c r="A312" s="2">
        <v>45386</v>
      </c>
      <c r="B312">
        <v>167.45399475097659</v>
      </c>
      <c r="C312">
        <v>698.17431640625</v>
      </c>
      <c r="D312">
        <v>144.51869201660159</v>
      </c>
      <c r="E312">
        <v>188.52742004394531</v>
      </c>
      <c r="F312">
        <v>60.603130340576172</v>
      </c>
      <c r="G312">
        <v>148.70314025878909</v>
      </c>
      <c r="H312">
        <v>5147.2099609375</v>
      </c>
      <c r="I312" s="13">
        <f t="shared" si="40"/>
        <v>-4.9043651748904562E-3</v>
      </c>
      <c r="J312" s="13">
        <f t="shared" si="41"/>
        <v>-1.1484903945007355E-3</v>
      </c>
      <c r="K312" s="13">
        <f t="shared" si="42"/>
        <v>-1.1474717171726616E-2</v>
      </c>
      <c r="L312" s="13">
        <f t="shared" si="43"/>
        <v>-7.6376504481067429E-3</v>
      </c>
      <c r="M312" s="13">
        <f t="shared" si="44"/>
        <v>1.8689245834663356E-2</v>
      </c>
      <c r="N312" s="13">
        <f t="shared" si="45"/>
        <v>-4.4928329148055356E-3</v>
      </c>
      <c r="O312" s="13">
        <f t="shared" si="46"/>
        <v>-1.241103561926225E-2</v>
      </c>
    </row>
    <row r="313" spans="1:15" x14ac:dyDescent="0.35">
      <c r="A313" s="2">
        <v>45387</v>
      </c>
      <c r="B313">
        <v>168.20782470703119</v>
      </c>
      <c r="C313">
        <v>706.93017578125</v>
      </c>
      <c r="D313">
        <v>144.41444396972659</v>
      </c>
      <c r="E313">
        <v>190.26191711425781</v>
      </c>
      <c r="F313">
        <v>61.031055450439453</v>
      </c>
      <c r="G313">
        <v>149.32493591308591</v>
      </c>
      <c r="H313">
        <v>5204.33984375</v>
      </c>
      <c r="I313" s="13">
        <f t="shared" si="40"/>
        <v>4.4916113761234895E-3</v>
      </c>
      <c r="J313" s="13">
        <f t="shared" si="41"/>
        <v>1.2463091193150011E-2</v>
      </c>
      <c r="K313" s="13">
        <f t="shared" si="42"/>
        <v>-7.2160675543682926E-4</v>
      </c>
      <c r="L313" s="13">
        <f t="shared" si="43"/>
        <v>9.1581732807291798E-3</v>
      </c>
      <c r="M313" s="13">
        <f t="shared" si="44"/>
        <v>7.0362928416185669E-3</v>
      </c>
      <c r="N313" s="13">
        <f t="shared" si="45"/>
        <v>4.1727381157885468E-3</v>
      </c>
      <c r="O313" s="13">
        <f t="shared" si="46"/>
        <v>1.1038050135699558E-2</v>
      </c>
    </row>
    <row r="314" spans="1:15" x14ac:dyDescent="0.35">
      <c r="A314" s="2">
        <v>45390</v>
      </c>
      <c r="B314">
        <v>167.08695983886719</v>
      </c>
      <c r="C314">
        <v>705.03826904296875</v>
      </c>
      <c r="D314">
        <v>143.65629577636719</v>
      </c>
      <c r="E314">
        <v>191.25444030761719</v>
      </c>
      <c r="F314">
        <v>61.677688598632813</v>
      </c>
      <c r="G314">
        <v>149.2675476074219</v>
      </c>
      <c r="H314">
        <v>5202.39013671875</v>
      </c>
      <c r="I314" s="13">
        <f t="shared" si="40"/>
        <v>-6.6858722242485501E-3</v>
      </c>
      <c r="J314" s="13">
        <f t="shared" si="41"/>
        <v>-2.6798160786525283E-3</v>
      </c>
      <c r="K314" s="13">
        <f t="shared" si="42"/>
        <v>-5.2636372889305599E-3</v>
      </c>
      <c r="L314" s="13">
        <f t="shared" si="43"/>
        <v>5.2030557178741835E-3</v>
      </c>
      <c r="M314" s="13">
        <f t="shared" si="44"/>
        <v>1.0539414103215856E-2</v>
      </c>
      <c r="N314" s="13">
        <f t="shared" si="45"/>
        <v>-3.8439217018465652E-4</v>
      </c>
      <c r="O314" s="13">
        <f t="shared" si="46"/>
        <v>-3.7470119004157668E-4</v>
      </c>
    </row>
    <row r="315" spans="1:15" x14ac:dyDescent="0.35">
      <c r="A315" s="2">
        <v>45391</v>
      </c>
      <c r="B315">
        <v>168.29710388183591</v>
      </c>
      <c r="C315">
        <v>711.75384521484375</v>
      </c>
      <c r="D315">
        <v>144.3196716308594</v>
      </c>
      <c r="E315">
        <v>189.97283935546881</v>
      </c>
      <c r="F315">
        <v>62.17218017578125</v>
      </c>
      <c r="G315">
        <v>149.86065673828119</v>
      </c>
      <c r="H315">
        <v>5209.91015625</v>
      </c>
      <c r="I315" s="13">
        <f t="shared" si="40"/>
        <v>7.2164984904012422E-3</v>
      </c>
      <c r="J315" s="13">
        <f t="shared" si="41"/>
        <v>9.4800449536490139E-3</v>
      </c>
      <c r="K315" s="13">
        <f t="shared" si="42"/>
        <v>4.6071693680993136E-3</v>
      </c>
      <c r="L315" s="13">
        <f t="shared" si="43"/>
        <v>-6.7235785504965199E-3</v>
      </c>
      <c r="M315" s="13">
        <f t="shared" si="44"/>
        <v>7.9853811666935823E-3</v>
      </c>
      <c r="N315" s="13">
        <f t="shared" si="45"/>
        <v>3.9655900012585139E-3</v>
      </c>
      <c r="O315" s="13">
        <f t="shared" si="46"/>
        <v>1.4444494736345207E-3</v>
      </c>
    </row>
    <row r="316" spans="1:15" x14ac:dyDescent="0.35">
      <c r="A316" s="2">
        <v>45392</v>
      </c>
      <c r="B316">
        <v>166.4223937988281</v>
      </c>
      <c r="C316">
        <v>715.70587158203125</v>
      </c>
      <c r="D316">
        <v>142.33906555175781</v>
      </c>
      <c r="E316">
        <v>188.35398864746091</v>
      </c>
      <c r="F316">
        <v>60.869403839111328</v>
      </c>
      <c r="G316">
        <v>150.41545104980469</v>
      </c>
      <c r="H316">
        <v>5160.64013671875</v>
      </c>
      <c r="I316" s="13">
        <f t="shared" si="40"/>
        <v>-1.1201795528557225E-2</v>
      </c>
      <c r="J316" s="13">
        <f t="shared" si="41"/>
        <v>5.5371600587432275E-3</v>
      </c>
      <c r="K316" s="13">
        <f t="shared" si="42"/>
        <v>-1.3818784079726894E-2</v>
      </c>
      <c r="L316" s="13">
        <f t="shared" si="43"/>
        <v>-8.5580004825039791E-3</v>
      </c>
      <c r="M316" s="13">
        <f t="shared" si="44"/>
        <v>-2.11769871816819E-2</v>
      </c>
      <c r="N316" s="13">
        <f t="shared" si="45"/>
        <v>3.6952320110167098E-3</v>
      </c>
      <c r="O316" s="13">
        <f t="shared" si="46"/>
        <v>-9.5019818322125919E-3</v>
      </c>
    </row>
    <row r="317" spans="1:15" x14ac:dyDescent="0.35">
      <c r="A317" s="2">
        <v>45393</v>
      </c>
      <c r="B317">
        <v>173.6236572265625</v>
      </c>
      <c r="C317">
        <v>725.3829345703125</v>
      </c>
      <c r="D317">
        <v>141.00285339355469</v>
      </c>
      <c r="E317">
        <v>188.3154296875</v>
      </c>
      <c r="F317">
        <v>60.802833557128913</v>
      </c>
      <c r="G317">
        <v>149.0762023925781</v>
      </c>
      <c r="H317">
        <v>5199.06005859375</v>
      </c>
      <c r="I317" s="13">
        <f t="shared" si="40"/>
        <v>4.2360969838059613E-2</v>
      </c>
      <c r="J317" s="13">
        <f t="shared" si="41"/>
        <v>1.3430412346095058E-2</v>
      </c>
      <c r="K317" s="13">
        <f t="shared" si="42"/>
        <v>-9.4318699398055639E-3</v>
      </c>
      <c r="L317" s="13">
        <f t="shared" si="43"/>
        <v>-2.0473634555221476E-4</v>
      </c>
      <c r="M317" s="13">
        <f t="shared" si="44"/>
        <v>-1.0942560118821713E-3</v>
      </c>
      <c r="N317" s="13">
        <f t="shared" si="45"/>
        <v>-8.9435386173979878E-3</v>
      </c>
      <c r="O317" s="13">
        <f t="shared" si="46"/>
        <v>7.4172219833424369E-3</v>
      </c>
    </row>
    <row r="318" spans="1:15" x14ac:dyDescent="0.35">
      <c r="A318" s="2">
        <v>45394</v>
      </c>
      <c r="B318">
        <v>175.1214599609375</v>
      </c>
      <c r="C318">
        <v>724.3529052734375</v>
      </c>
      <c r="D318">
        <v>139.79931640625</v>
      </c>
      <c r="E318">
        <v>176.13560485839841</v>
      </c>
      <c r="F318">
        <v>59.985027313232422</v>
      </c>
      <c r="G318">
        <v>148.58836364746091</v>
      </c>
      <c r="H318">
        <v>5123.41015625</v>
      </c>
      <c r="I318" s="13">
        <f t="shared" si="40"/>
        <v>8.5897228087382215E-3</v>
      </c>
      <c r="J318" s="13">
        <f t="shared" si="41"/>
        <v>-1.4209891786996485E-3</v>
      </c>
      <c r="K318" s="13">
        <f t="shared" si="42"/>
        <v>-8.5721870172982811E-3</v>
      </c>
      <c r="L318" s="13">
        <f t="shared" si="43"/>
        <v>-6.6864193834158842E-2</v>
      </c>
      <c r="M318" s="13">
        <f t="shared" si="44"/>
        <v>-1.3541406143042282E-2</v>
      </c>
      <c r="N318" s="13">
        <f t="shared" si="45"/>
        <v>-3.2777779927141942E-3</v>
      </c>
      <c r="O318" s="13">
        <f t="shared" si="46"/>
        <v>-1.4657587802248536E-2</v>
      </c>
    </row>
    <row r="319" spans="1:15" x14ac:dyDescent="0.35">
      <c r="A319" s="2">
        <v>45397</v>
      </c>
      <c r="B319">
        <v>171.29267883300781</v>
      </c>
      <c r="C319">
        <v>711.44683837890625</v>
      </c>
      <c r="D319">
        <v>139.86567687988281</v>
      </c>
      <c r="E319">
        <v>176.23197937011719</v>
      </c>
      <c r="F319">
        <v>59.671211242675781</v>
      </c>
      <c r="G319">
        <v>148.70314025878909</v>
      </c>
      <c r="H319">
        <v>5061.81982421875</v>
      </c>
      <c r="I319" s="13">
        <f t="shared" si="40"/>
        <v>-2.2106124541898572E-2</v>
      </c>
      <c r="J319" s="13">
        <f t="shared" si="41"/>
        <v>-1.7978014779311203E-2</v>
      </c>
      <c r="K319" s="13">
        <f t="shared" si="42"/>
        <v>4.7457119390251678E-4</v>
      </c>
      <c r="L319" s="13">
        <f t="shared" si="43"/>
        <v>5.4701123732989567E-4</v>
      </c>
      <c r="M319" s="13">
        <f t="shared" si="44"/>
        <v>-5.2453059506397341E-3</v>
      </c>
      <c r="N319" s="13">
        <f t="shared" si="45"/>
        <v>7.7214865223320999E-4</v>
      </c>
      <c r="O319" s="13">
        <f t="shared" si="46"/>
        <v>-1.2094195787459195E-2</v>
      </c>
    </row>
    <row r="320" spans="1:15" x14ac:dyDescent="0.35">
      <c r="A320" s="2">
        <v>45398</v>
      </c>
      <c r="B320">
        <v>168.00946044921881</v>
      </c>
      <c r="C320">
        <v>709.1588134765625</v>
      </c>
      <c r="D320">
        <v>136.88999938964841</v>
      </c>
      <c r="E320">
        <v>174.21803283691409</v>
      </c>
      <c r="F320">
        <v>58.672737121582031</v>
      </c>
      <c r="G320">
        <v>149.18145751953119</v>
      </c>
      <c r="H320">
        <v>5051.41015625</v>
      </c>
      <c r="I320" s="13">
        <f t="shared" si="40"/>
        <v>-1.9353375539624764E-2</v>
      </c>
      <c r="J320" s="13">
        <f t="shared" si="41"/>
        <v>-3.2211991804446272E-3</v>
      </c>
      <c r="K320" s="13">
        <f t="shared" si="42"/>
        <v>-2.1504832035011946E-2</v>
      </c>
      <c r="L320" s="13">
        <f t="shared" si="43"/>
        <v>-1.1493614688149786E-2</v>
      </c>
      <c r="M320" s="13">
        <f t="shared" si="44"/>
        <v>-1.6874505670179982E-2</v>
      </c>
      <c r="N320" s="13">
        <f t="shared" si="45"/>
        <v>3.211429361533642E-3</v>
      </c>
      <c r="O320" s="13">
        <f t="shared" si="46"/>
        <v>-2.0586245275039964E-3</v>
      </c>
    </row>
    <row r="321" spans="1:15" x14ac:dyDescent="0.35">
      <c r="A321" s="2">
        <v>45399</v>
      </c>
      <c r="B321">
        <v>166.640625</v>
      </c>
      <c r="C321">
        <v>708.38623046875</v>
      </c>
      <c r="D321">
        <v>137.1932678222656</v>
      </c>
      <c r="E321">
        <v>173.5242614746094</v>
      </c>
      <c r="F321">
        <v>60.660190582275391</v>
      </c>
      <c r="G321">
        <v>150.14762878417969</v>
      </c>
      <c r="H321">
        <v>5022.2099609375</v>
      </c>
      <c r="I321" s="13">
        <f t="shared" si="40"/>
        <v>-8.1807424697385098E-3</v>
      </c>
      <c r="J321" s="13">
        <f t="shared" si="41"/>
        <v>-1.0900296785752428E-3</v>
      </c>
      <c r="K321" s="13">
        <f t="shared" si="42"/>
        <v>2.2129665883403042E-3</v>
      </c>
      <c r="L321" s="13">
        <f t="shared" si="43"/>
        <v>-3.9901518689706549E-3</v>
      </c>
      <c r="M321" s="13">
        <f t="shared" si="44"/>
        <v>3.3312469386489491E-2</v>
      </c>
      <c r="N321" s="13">
        <f t="shared" si="45"/>
        <v>6.4556013048534516E-3</v>
      </c>
      <c r="O321" s="13">
        <f t="shared" si="46"/>
        <v>-5.7973750760041852E-3</v>
      </c>
    </row>
    <row r="322" spans="1:15" x14ac:dyDescent="0.35">
      <c r="A322" s="2">
        <v>45400</v>
      </c>
      <c r="B322">
        <v>165.68836975097659</v>
      </c>
      <c r="C322">
        <v>704.48358154296875</v>
      </c>
      <c r="D322">
        <v>138.11248779296881</v>
      </c>
      <c r="E322">
        <v>174.65167236328119</v>
      </c>
      <c r="F322">
        <v>60.869403839111328</v>
      </c>
      <c r="G322">
        <v>151.4348449707031</v>
      </c>
      <c r="H322">
        <v>5011.1201171875</v>
      </c>
      <c r="I322" s="13">
        <f t="shared" si="40"/>
        <v>-5.7308141645466826E-3</v>
      </c>
      <c r="J322" s="13">
        <f t="shared" si="41"/>
        <v>-5.5244422637661548E-3</v>
      </c>
      <c r="K322" s="13">
        <f t="shared" si="42"/>
        <v>6.6778363175343048E-3</v>
      </c>
      <c r="L322" s="13">
        <f t="shared" si="43"/>
        <v>6.4761215202719467E-3</v>
      </c>
      <c r="M322" s="13">
        <f t="shared" si="44"/>
        <v>3.4430043892548137E-3</v>
      </c>
      <c r="N322" s="13">
        <f t="shared" si="45"/>
        <v>8.5364642529691132E-3</v>
      </c>
      <c r="O322" s="13">
        <f t="shared" si="46"/>
        <v>-2.2106017004853043E-3</v>
      </c>
    </row>
    <row r="323" spans="1:15" x14ac:dyDescent="0.35">
      <c r="A323" s="2">
        <v>45401</v>
      </c>
      <c r="B323">
        <v>163.6649169921875</v>
      </c>
      <c r="C323">
        <v>702.76019287109375</v>
      </c>
      <c r="D323">
        <v>140.1689147949219</v>
      </c>
      <c r="E323">
        <v>179.0360412597656</v>
      </c>
      <c r="F323">
        <v>61.145168304443359</v>
      </c>
      <c r="G323">
        <v>152.2532043457031</v>
      </c>
      <c r="H323">
        <v>4967.22998046875</v>
      </c>
      <c r="I323" s="13">
        <f t="shared" si="40"/>
        <v>-1.2287584787397898E-2</v>
      </c>
      <c r="J323" s="13">
        <f t="shared" si="41"/>
        <v>-2.4493120023384584E-3</v>
      </c>
      <c r="K323" s="13">
        <f t="shared" si="42"/>
        <v>1.4779747526635972E-2</v>
      </c>
      <c r="L323" s="13">
        <f t="shared" si="43"/>
        <v>2.4793586673294614E-2</v>
      </c>
      <c r="M323" s="13">
        <f t="shared" si="44"/>
        <v>4.5201967277563211E-3</v>
      </c>
      <c r="N323" s="13">
        <f t="shared" si="45"/>
        <v>5.3894867296799135E-3</v>
      </c>
      <c r="O323" s="13">
        <f t="shared" si="46"/>
        <v>-8.7971296540569743E-3</v>
      </c>
    </row>
    <row r="324" spans="1:15" x14ac:dyDescent="0.35">
      <c r="A324" s="2">
        <v>45404</v>
      </c>
      <c r="B324">
        <v>164.49809265136719</v>
      </c>
      <c r="C324">
        <v>708.6536865234375</v>
      </c>
      <c r="D324">
        <v>141.3155822753906</v>
      </c>
      <c r="E324">
        <v>182.5146179199219</v>
      </c>
      <c r="F324">
        <v>62.105609893798828</v>
      </c>
      <c r="G324">
        <v>154.5638732910156</v>
      </c>
      <c r="H324">
        <v>5010.60009765625</v>
      </c>
      <c r="I324" s="13">
        <f t="shared" si="40"/>
        <v>5.0778267198559974E-3</v>
      </c>
      <c r="J324" s="13">
        <f t="shared" si="41"/>
        <v>8.3512398325396413E-3</v>
      </c>
      <c r="K324" s="13">
        <f t="shared" si="42"/>
        <v>8.1473319865551213E-3</v>
      </c>
      <c r="L324" s="13">
        <f t="shared" si="43"/>
        <v>1.9243134613287388E-2</v>
      </c>
      <c r="M324" s="13">
        <f t="shared" si="44"/>
        <v>1.5585476129586264E-2</v>
      </c>
      <c r="N324" s="13">
        <f t="shared" si="45"/>
        <v>1.5062477288754136E-2</v>
      </c>
      <c r="O324" s="13">
        <f t="shared" si="46"/>
        <v>8.6933511568390801E-3</v>
      </c>
    </row>
    <row r="325" spans="1:15" x14ac:dyDescent="0.35">
      <c r="A325" s="2">
        <v>45405</v>
      </c>
      <c r="B325">
        <v>165.5495300292969</v>
      </c>
      <c r="C325">
        <v>715.80499267578125</v>
      </c>
      <c r="D325">
        <v>141.7325439453125</v>
      </c>
      <c r="E325">
        <v>185.14521789550781</v>
      </c>
      <c r="F325">
        <v>62.951942443847663</v>
      </c>
      <c r="G325">
        <v>155.4881286621094</v>
      </c>
      <c r="H325">
        <v>5070.5498046875</v>
      </c>
      <c r="I325" s="13">
        <f t="shared" ref="I325:I388" si="47">LN(B325/B324)</f>
        <v>6.3714498310585991E-3</v>
      </c>
      <c r="J325" s="13">
        <f t="shared" ref="J325:J388" si="48">LN(C325/C324)</f>
        <v>1.0040819489400879E-2</v>
      </c>
      <c r="K325" s="13">
        <f t="shared" ref="K325:K388" si="49">LN(D325/D324)</f>
        <v>2.9462266866076892E-3</v>
      </c>
      <c r="L325" s="13">
        <f t="shared" ref="L325:L388" si="50">LN(E325/E324)</f>
        <v>1.4310210748226507E-2</v>
      </c>
      <c r="M325" s="13">
        <f t="shared" ref="M325:M388" si="51">LN(F325/F324)</f>
        <v>1.3535295632516906E-2</v>
      </c>
      <c r="N325" s="13">
        <f t="shared" ref="N325:N388" si="52">LN(G325/G324)</f>
        <v>5.9619554331831696E-3</v>
      </c>
      <c r="O325" s="13">
        <f t="shared" ref="O325:O388" si="53">LN(H325/H324)</f>
        <v>1.1893566567722089E-2</v>
      </c>
    </row>
    <row r="326" spans="1:15" x14ac:dyDescent="0.35">
      <c r="A326" s="2">
        <v>45406</v>
      </c>
      <c r="B326">
        <v>167.65238952636719</v>
      </c>
      <c r="C326">
        <v>717.0035400390625</v>
      </c>
      <c r="D326">
        <v>140.7564392089844</v>
      </c>
      <c r="E326">
        <v>186.05101013183591</v>
      </c>
      <c r="F326">
        <v>63.294284820556641</v>
      </c>
      <c r="G326">
        <v>156.54716491699219</v>
      </c>
      <c r="H326">
        <v>5071.6298828125</v>
      </c>
      <c r="I326" s="13">
        <f t="shared" si="47"/>
        <v>1.2622300731033372E-2</v>
      </c>
      <c r="J326" s="13">
        <f t="shared" si="48"/>
        <v>1.6730046136254498E-3</v>
      </c>
      <c r="K326" s="13">
        <f t="shared" si="49"/>
        <v>-6.9107730165163233E-3</v>
      </c>
      <c r="L326" s="13">
        <f t="shared" si="50"/>
        <v>4.8804053802735409E-3</v>
      </c>
      <c r="M326" s="13">
        <f t="shared" si="51"/>
        <v>5.4234209330530671E-3</v>
      </c>
      <c r="N326" s="13">
        <f t="shared" si="52"/>
        <v>6.7879521518510065E-3</v>
      </c>
      <c r="O326" s="13">
        <f t="shared" si="53"/>
        <v>2.1298737793290078E-4</v>
      </c>
    </row>
    <row r="327" spans="1:15" x14ac:dyDescent="0.35">
      <c r="A327" s="2">
        <v>45407</v>
      </c>
      <c r="B327">
        <v>168.5153503417969</v>
      </c>
      <c r="C327">
        <v>716.14044189453125</v>
      </c>
      <c r="D327">
        <v>139.13597106933591</v>
      </c>
      <c r="E327">
        <v>186.3304443359375</v>
      </c>
      <c r="F327">
        <v>63.617595672607422</v>
      </c>
      <c r="G327">
        <v>156.49903869628909</v>
      </c>
      <c r="H327">
        <v>5048.419921875</v>
      </c>
      <c r="I327" s="13">
        <f t="shared" si="47"/>
        <v>5.1341197186023368E-3</v>
      </c>
      <c r="J327" s="13">
        <f t="shared" si="48"/>
        <v>-1.204482256854171E-3</v>
      </c>
      <c r="K327" s="13">
        <f t="shared" si="49"/>
        <v>-1.1579351110039908E-2</v>
      </c>
      <c r="L327" s="13">
        <f t="shared" si="50"/>
        <v>1.5007957737879002E-3</v>
      </c>
      <c r="M327" s="13">
        <f t="shared" si="51"/>
        <v>5.095055722321635E-3</v>
      </c>
      <c r="N327" s="13">
        <f t="shared" si="52"/>
        <v>-3.0747040230328499E-4</v>
      </c>
      <c r="O327" s="13">
        <f t="shared" si="53"/>
        <v>-4.5869342701194095E-3</v>
      </c>
    </row>
    <row r="328" spans="1:15" x14ac:dyDescent="0.35">
      <c r="A328" s="2">
        <v>45408</v>
      </c>
      <c r="B328">
        <v>167.93009948730469</v>
      </c>
      <c r="C328">
        <v>723.40228271484375</v>
      </c>
      <c r="D328">
        <v>138.4915771484375</v>
      </c>
      <c r="E328">
        <v>186.44610595703119</v>
      </c>
      <c r="F328">
        <v>62.752246856689453</v>
      </c>
      <c r="G328">
        <v>155.28593444824219</v>
      </c>
      <c r="H328">
        <v>5099.9599609375</v>
      </c>
      <c r="I328" s="13">
        <f t="shared" si="47"/>
        <v>-3.4790272544592054E-3</v>
      </c>
      <c r="J328" s="13">
        <f t="shared" si="48"/>
        <v>1.0089179425606973E-2</v>
      </c>
      <c r="K328" s="13">
        <f t="shared" si="49"/>
        <v>-4.6421551624651119E-3</v>
      </c>
      <c r="L328" s="13">
        <f t="shared" si="50"/>
        <v>6.2054131202358054E-4</v>
      </c>
      <c r="M328" s="13">
        <f t="shared" si="51"/>
        <v>-1.3695709749356928E-2</v>
      </c>
      <c r="N328" s="13">
        <f t="shared" si="52"/>
        <v>-7.7817115907587737E-3</v>
      </c>
      <c r="O328" s="13">
        <f t="shared" si="53"/>
        <v>1.0157381332325343E-2</v>
      </c>
    </row>
    <row r="329" spans="1:15" x14ac:dyDescent="0.35">
      <c r="A329" s="2">
        <v>45411</v>
      </c>
      <c r="B329">
        <v>172.09613037109381</v>
      </c>
      <c r="C329">
        <v>720.574951171875</v>
      </c>
      <c r="D329">
        <v>139.13597106933591</v>
      </c>
      <c r="E329">
        <v>186.24372863769531</v>
      </c>
      <c r="F329">
        <v>64.112083435058594</v>
      </c>
      <c r="G329">
        <v>155.64216613769531</v>
      </c>
      <c r="H329">
        <v>5116.169921875</v>
      </c>
      <c r="I329" s="13">
        <f t="shared" si="47"/>
        <v>2.4505399854844713E-2</v>
      </c>
      <c r="J329" s="13">
        <f t="shared" si="48"/>
        <v>-3.9160384108491361E-3</v>
      </c>
      <c r="K329" s="13">
        <f t="shared" si="49"/>
        <v>4.6421551624651891E-3</v>
      </c>
      <c r="L329" s="13">
        <f t="shared" si="50"/>
        <v>-1.0860362716762948E-3</v>
      </c>
      <c r="M329" s="13">
        <f t="shared" si="51"/>
        <v>2.1438471436327346E-2</v>
      </c>
      <c r="N329" s="13">
        <f t="shared" si="52"/>
        <v>2.2914097802660149E-3</v>
      </c>
      <c r="O329" s="13">
        <f t="shared" si="53"/>
        <v>3.1734080766393944E-3</v>
      </c>
    </row>
    <row r="330" spans="1:15" x14ac:dyDescent="0.35">
      <c r="A330" s="2">
        <v>45412</v>
      </c>
      <c r="B330">
        <v>168.9517822265625</v>
      </c>
      <c r="C330">
        <v>717.17218017578125</v>
      </c>
      <c r="D330">
        <v>137.02265930175781</v>
      </c>
      <c r="E330">
        <v>184.7597961425781</v>
      </c>
      <c r="F330">
        <v>63.684158325195313</v>
      </c>
      <c r="G330">
        <v>157.12486267089841</v>
      </c>
      <c r="H330">
        <v>5035.68994140625</v>
      </c>
      <c r="I330" s="13">
        <f t="shared" si="47"/>
        <v>-1.843985624984653E-2</v>
      </c>
      <c r="J330" s="13">
        <f t="shared" si="48"/>
        <v>-4.7334851524396607E-3</v>
      </c>
      <c r="K330" s="13">
        <f t="shared" si="49"/>
        <v>-1.5305355612986899E-2</v>
      </c>
      <c r="L330" s="13">
        <f t="shared" si="50"/>
        <v>-7.9996027504499276E-3</v>
      </c>
      <c r="M330" s="13">
        <f t="shared" si="51"/>
        <v>-6.6970155512959722E-3</v>
      </c>
      <c r="N330" s="13">
        <f t="shared" si="52"/>
        <v>9.4812272631202166E-3</v>
      </c>
      <c r="O330" s="13">
        <f t="shared" si="53"/>
        <v>-1.5855551118928123E-2</v>
      </c>
    </row>
    <row r="331" spans="1:15" x14ac:dyDescent="0.35">
      <c r="A331" s="2">
        <v>45413</v>
      </c>
      <c r="B331">
        <v>167.93009948730469</v>
      </c>
      <c r="C331">
        <v>716.4974365234375</v>
      </c>
      <c r="D331">
        <v>143.26776123046881</v>
      </c>
      <c r="E331">
        <v>184.87542724609381</v>
      </c>
      <c r="F331">
        <v>65.243698120117188</v>
      </c>
      <c r="G331">
        <v>157.3173828125</v>
      </c>
      <c r="H331">
        <v>5018.39013671875</v>
      </c>
      <c r="I331" s="13">
        <f t="shared" si="47"/>
        <v>-6.0655436049981406E-3</v>
      </c>
      <c r="J331" s="13">
        <f t="shared" si="48"/>
        <v>-9.4128200012563148E-4</v>
      </c>
      <c r="K331" s="13">
        <f t="shared" si="49"/>
        <v>4.4569027041417519E-2</v>
      </c>
      <c r="L331" s="13">
        <f t="shared" si="50"/>
        <v>6.2564982972944166E-4</v>
      </c>
      <c r="M331" s="13">
        <f t="shared" si="51"/>
        <v>2.4193621267005434E-2</v>
      </c>
      <c r="N331" s="13">
        <f t="shared" si="52"/>
        <v>1.2245184508319616E-3</v>
      </c>
      <c r="O331" s="13">
        <f t="shared" si="53"/>
        <v>-3.4413534856316866E-3</v>
      </c>
    </row>
    <row r="332" spans="1:15" x14ac:dyDescent="0.35">
      <c r="A332" s="2">
        <v>45414</v>
      </c>
      <c r="B332">
        <v>171.6299133300781</v>
      </c>
      <c r="C332">
        <v>726.63653564453125</v>
      </c>
      <c r="D332">
        <v>142.0736999511719</v>
      </c>
      <c r="E332">
        <v>184.68269348144531</v>
      </c>
      <c r="F332">
        <v>65.471931457519531</v>
      </c>
      <c r="G332">
        <v>157.74101257324219</v>
      </c>
      <c r="H332">
        <v>5064.2001953125</v>
      </c>
      <c r="I332" s="13">
        <f t="shared" si="47"/>
        <v>2.1792673627302455E-2</v>
      </c>
      <c r="J332" s="13">
        <f t="shared" si="48"/>
        <v>1.4051732060234783E-2</v>
      </c>
      <c r="K332" s="13">
        <f t="shared" si="49"/>
        <v>-8.3693988554061245E-3</v>
      </c>
      <c r="L332" s="13">
        <f t="shared" si="50"/>
        <v>-1.0430499091338952E-3</v>
      </c>
      <c r="M332" s="13">
        <f t="shared" si="51"/>
        <v>3.4920624270009647E-3</v>
      </c>
      <c r="N332" s="13">
        <f t="shared" si="52"/>
        <v>2.6892158549010553E-3</v>
      </c>
      <c r="O332" s="13">
        <f t="shared" si="53"/>
        <v>9.0870247250848558E-3</v>
      </c>
    </row>
    <row r="333" spans="1:15" x14ac:dyDescent="0.35">
      <c r="A333" s="2">
        <v>45415</v>
      </c>
      <c r="B333">
        <v>181.89616394042969</v>
      </c>
      <c r="C333">
        <v>738.0057373046875</v>
      </c>
      <c r="D333">
        <v>141.45771789550781</v>
      </c>
      <c r="E333">
        <v>183.5745544433594</v>
      </c>
      <c r="F333">
        <v>66.698623657226563</v>
      </c>
      <c r="G333">
        <v>158.33795166015619</v>
      </c>
      <c r="H333">
        <v>5127.7900390625</v>
      </c>
      <c r="I333" s="13">
        <f t="shared" si="47"/>
        <v>5.8095504496816122E-2</v>
      </c>
      <c r="J333" s="13">
        <f t="shared" si="48"/>
        <v>1.5525197149867382E-2</v>
      </c>
      <c r="K333" s="13">
        <f t="shared" si="49"/>
        <v>-4.3450777305152882E-3</v>
      </c>
      <c r="L333" s="13">
        <f t="shared" si="50"/>
        <v>-6.0183058938392126E-3</v>
      </c>
      <c r="M333" s="13">
        <f t="shared" si="51"/>
        <v>1.8562794453486652E-2</v>
      </c>
      <c r="N333" s="13">
        <f t="shared" si="52"/>
        <v>3.7771561170981227E-3</v>
      </c>
      <c r="O333" s="13">
        <f t="shared" si="53"/>
        <v>1.2478557659508005E-2</v>
      </c>
    </row>
    <row r="334" spans="1:15" x14ac:dyDescent="0.35">
      <c r="A334" s="2">
        <v>45418</v>
      </c>
      <c r="B334">
        <v>180.23970031738281</v>
      </c>
      <c r="C334">
        <v>750.4561767578125</v>
      </c>
      <c r="D334">
        <v>140.80384826660159</v>
      </c>
      <c r="E334">
        <v>185.01033020019531</v>
      </c>
      <c r="F334">
        <v>67.754173278808594</v>
      </c>
      <c r="G334">
        <v>158.3186950683594</v>
      </c>
      <c r="H334">
        <v>5180.740234375</v>
      </c>
      <c r="I334" s="13">
        <f t="shared" si="47"/>
        <v>-9.1483630279508808E-3</v>
      </c>
      <c r="J334" s="13">
        <f t="shared" si="48"/>
        <v>1.6729658611244574E-2</v>
      </c>
      <c r="K334" s="13">
        <f t="shared" si="49"/>
        <v>-4.6330841809694573E-3</v>
      </c>
      <c r="L334" s="13">
        <f t="shared" si="50"/>
        <v>7.7907862142132071E-3</v>
      </c>
      <c r="M334" s="13">
        <f t="shared" si="51"/>
        <v>1.5701738189427581E-2</v>
      </c>
      <c r="N334" s="13">
        <f t="shared" si="52"/>
        <v>-1.216244283483761E-4</v>
      </c>
      <c r="O334" s="13">
        <f t="shared" si="53"/>
        <v>1.0273173691247842E-2</v>
      </c>
    </row>
    <row r="335" spans="1:15" x14ac:dyDescent="0.35">
      <c r="A335" s="2">
        <v>45419</v>
      </c>
      <c r="B335">
        <v>180.9241027832031</v>
      </c>
      <c r="C335">
        <v>765.198486328125</v>
      </c>
      <c r="D335">
        <v>140.9365234375</v>
      </c>
      <c r="E335">
        <v>184.76942443847659</v>
      </c>
      <c r="F335">
        <v>68.419830322265625</v>
      </c>
      <c r="G335">
        <v>159.58955383300781</v>
      </c>
      <c r="H335">
        <v>5187.7001953125</v>
      </c>
      <c r="I335" s="13">
        <f t="shared" si="47"/>
        <v>3.7899882500674526E-3</v>
      </c>
      <c r="J335" s="13">
        <f t="shared" si="48"/>
        <v>1.9454002118164518E-2</v>
      </c>
      <c r="K335" s="13">
        <f t="shared" si="49"/>
        <v>9.4182583705154361E-4</v>
      </c>
      <c r="L335" s="13">
        <f t="shared" si="50"/>
        <v>-1.3029690932475947E-3</v>
      </c>
      <c r="M335" s="13">
        <f t="shared" si="51"/>
        <v>9.7766435289666394E-3</v>
      </c>
      <c r="N335" s="13">
        <f t="shared" si="52"/>
        <v>7.9951718067566742E-3</v>
      </c>
      <c r="O335" s="13">
        <f t="shared" si="53"/>
        <v>1.3425282288256131E-3</v>
      </c>
    </row>
    <row r="336" spans="1:15" x14ac:dyDescent="0.35">
      <c r="A336" s="2">
        <v>45420</v>
      </c>
      <c r="B336">
        <v>181.26136779785159</v>
      </c>
      <c r="C336">
        <v>757.361083984375</v>
      </c>
      <c r="D336">
        <v>141.15447998046881</v>
      </c>
      <c r="E336">
        <v>188.52742004394531</v>
      </c>
      <c r="F336">
        <v>69.275657653808594</v>
      </c>
      <c r="G336">
        <v>158.92521667480469</v>
      </c>
      <c r="H336">
        <v>5187.669921875</v>
      </c>
      <c r="I336" s="13">
        <f t="shared" si="47"/>
        <v>1.8623889665748644E-3</v>
      </c>
      <c r="J336" s="13">
        <f t="shared" si="48"/>
        <v>-1.0295126338644722E-2</v>
      </c>
      <c r="K336" s="13">
        <f t="shared" si="49"/>
        <v>1.5452927154712768E-3</v>
      </c>
      <c r="L336" s="13">
        <f t="shared" si="50"/>
        <v>2.0134767387137605E-2</v>
      </c>
      <c r="M336" s="13">
        <f t="shared" si="51"/>
        <v>1.2430884479785929E-2</v>
      </c>
      <c r="N336" s="13">
        <f t="shared" si="52"/>
        <v>-4.171474500218402E-3</v>
      </c>
      <c r="O336" s="13">
        <f t="shared" si="53"/>
        <v>-5.8356351934249121E-6</v>
      </c>
    </row>
    <row r="337" spans="1:15" x14ac:dyDescent="0.35">
      <c r="A337" s="2">
        <v>45421</v>
      </c>
      <c r="B337">
        <v>183.0765686035156</v>
      </c>
      <c r="C337">
        <v>772.8673095703125</v>
      </c>
      <c r="D337">
        <v>142.00738525390619</v>
      </c>
      <c r="E337">
        <v>190.31010437011719</v>
      </c>
      <c r="F337">
        <v>70.9207763671875</v>
      </c>
      <c r="G337">
        <v>159.85911560058591</v>
      </c>
      <c r="H337">
        <v>5214.080078125</v>
      </c>
      <c r="I337" s="13">
        <f t="shared" si="47"/>
        <v>9.9644623500891177E-3</v>
      </c>
      <c r="J337" s="13">
        <f t="shared" si="48"/>
        <v>2.026724432412947E-2</v>
      </c>
      <c r="K337" s="13">
        <f t="shared" si="49"/>
        <v>6.0241717372741367E-3</v>
      </c>
      <c r="L337" s="13">
        <f t="shared" si="50"/>
        <v>9.4114092171436927E-3</v>
      </c>
      <c r="M337" s="13">
        <f t="shared" si="51"/>
        <v>2.3469844147282381E-2</v>
      </c>
      <c r="N337" s="13">
        <f t="shared" si="52"/>
        <v>5.8591436461700296E-3</v>
      </c>
      <c r="O337" s="13">
        <f t="shared" si="53"/>
        <v>5.0780326391067108E-3</v>
      </c>
    </row>
    <row r="338" spans="1:15" x14ac:dyDescent="0.35">
      <c r="A338" s="2">
        <v>45422</v>
      </c>
      <c r="B338">
        <v>181.81512451171881</v>
      </c>
      <c r="C338">
        <v>780.95263671875</v>
      </c>
      <c r="D338">
        <v>142.0642395019531</v>
      </c>
      <c r="E338">
        <v>191.53385925292969</v>
      </c>
      <c r="F338">
        <v>70.169540405273438</v>
      </c>
      <c r="G338">
        <v>160.63897705078119</v>
      </c>
      <c r="H338">
        <v>5222.68017578125</v>
      </c>
      <c r="I338" s="13">
        <f t="shared" si="47"/>
        <v>-6.9141015860361942E-3</v>
      </c>
      <c r="J338" s="13">
        <f t="shared" si="48"/>
        <v>1.0407126183788643E-2</v>
      </c>
      <c r="K338" s="13">
        <f t="shared" si="49"/>
        <v>4.0028108301841544E-4</v>
      </c>
      <c r="L338" s="13">
        <f t="shared" si="50"/>
        <v>6.409733761388362E-3</v>
      </c>
      <c r="M338" s="13">
        <f t="shared" si="51"/>
        <v>-1.0649108719660402E-2</v>
      </c>
      <c r="N338" s="13">
        <f t="shared" si="52"/>
        <v>4.8665686768779729E-3</v>
      </c>
      <c r="O338" s="13">
        <f t="shared" si="53"/>
        <v>1.648040080166728E-3</v>
      </c>
    </row>
    <row r="339" spans="1:15" x14ac:dyDescent="0.35">
      <c r="A339" s="2">
        <v>45425</v>
      </c>
      <c r="B339">
        <v>185.02333068847659</v>
      </c>
      <c r="C339">
        <v>769.00811767578125</v>
      </c>
      <c r="D339">
        <v>143.3056945800781</v>
      </c>
      <c r="E339">
        <v>191.49531555175781</v>
      </c>
      <c r="F339">
        <v>70.9207763671875</v>
      </c>
      <c r="G339">
        <v>159.6954345703125</v>
      </c>
      <c r="H339">
        <v>5221.419921875</v>
      </c>
      <c r="I339" s="13">
        <f t="shared" si="47"/>
        <v>1.7491557539711381E-2</v>
      </c>
      <c r="J339" s="13">
        <f t="shared" si="48"/>
        <v>-1.5412977999242095E-2</v>
      </c>
      <c r="K339" s="13">
        <f t="shared" si="49"/>
        <v>8.7007267524156478E-3</v>
      </c>
      <c r="L339" s="13">
        <f t="shared" si="50"/>
        <v>-2.0125726099908003E-4</v>
      </c>
      <c r="M339" s="13">
        <f t="shared" si="51"/>
        <v>1.0649108719660471E-2</v>
      </c>
      <c r="N339" s="13">
        <f t="shared" si="52"/>
        <v>-5.8910012471580916E-3</v>
      </c>
      <c r="O339" s="13">
        <f t="shared" si="53"/>
        <v>-2.4133317386520824E-4</v>
      </c>
    </row>
    <row r="340" spans="1:15" x14ac:dyDescent="0.35">
      <c r="A340" s="2">
        <v>45426</v>
      </c>
      <c r="B340">
        <v>186.16557312011719</v>
      </c>
      <c r="C340">
        <v>771.73626708984375</v>
      </c>
      <c r="D340">
        <v>143.4573059082031</v>
      </c>
      <c r="E340">
        <v>194.17411804199219</v>
      </c>
      <c r="F340">
        <v>71.719573974609375</v>
      </c>
      <c r="G340">
        <v>159.58955383300781</v>
      </c>
      <c r="H340">
        <v>5246.68017578125</v>
      </c>
      <c r="I340" s="13">
        <f t="shared" si="47"/>
        <v>6.1545268483276568E-3</v>
      </c>
      <c r="J340" s="13">
        <f t="shared" si="48"/>
        <v>3.5413431224616976E-3</v>
      </c>
      <c r="K340" s="13">
        <f t="shared" si="49"/>
        <v>1.0573982138080804E-3</v>
      </c>
      <c r="L340" s="13">
        <f t="shared" si="50"/>
        <v>1.3891925766545358E-2</v>
      </c>
      <c r="M340" s="13">
        <f t="shared" si="51"/>
        <v>1.1200280369559244E-2</v>
      </c>
      <c r="N340" s="13">
        <f t="shared" si="52"/>
        <v>-6.6323657567134934E-4</v>
      </c>
      <c r="O340" s="13">
        <f t="shared" si="53"/>
        <v>4.8261485274540411E-3</v>
      </c>
    </row>
    <row r="341" spans="1:15" x14ac:dyDescent="0.35">
      <c r="A341" s="2">
        <v>45427</v>
      </c>
      <c r="B341">
        <v>188.44012451171881</v>
      </c>
      <c r="C341">
        <v>780.80389404296875</v>
      </c>
      <c r="D341">
        <v>144.67979431152341</v>
      </c>
      <c r="E341">
        <v>194.75225830078119</v>
      </c>
      <c r="F341">
        <v>73.26959228515625</v>
      </c>
      <c r="G341">
        <v>160.31163024902341</v>
      </c>
      <c r="H341">
        <v>5308.14990234375</v>
      </c>
      <c r="I341" s="13">
        <f t="shared" si="47"/>
        <v>1.2143858776735187E-2</v>
      </c>
      <c r="J341" s="13">
        <f t="shared" si="48"/>
        <v>1.1681153616351756E-2</v>
      </c>
      <c r="K341" s="13">
        <f t="shared" si="49"/>
        <v>8.4855142757552394E-3</v>
      </c>
      <c r="L341" s="13">
        <f t="shared" si="50"/>
        <v>2.9730083624734003E-3</v>
      </c>
      <c r="M341" s="13">
        <f t="shared" si="51"/>
        <v>2.1381975003260535E-2</v>
      </c>
      <c r="N341" s="13">
        <f t="shared" si="52"/>
        <v>4.5143793036642437E-3</v>
      </c>
      <c r="O341" s="13">
        <f t="shared" si="53"/>
        <v>1.1647827787299621E-2</v>
      </c>
    </row>
    <row r="342" spans="1:15" x14ac:dyDescent="0.35">
      <c r="A342" s="2">
        <v>45428</v>
      </c>
      <c r="B342">
        <v>188.5592956542969</v>
      </c>
      <c r="C342">
        <v>786.7861328125</v>
      </c>
      <c r="D342">
        <v>146.2055358886719</v>
      </c>
      <c r="E342">
        <v>195.09916687011719</v>
      </c>
      <c r="F342">
        <v>72.660995483398438</v>
      </c>
      <c r="G342">
        <v>161.6113586425781</v>
      </c>
      <c r="H342">
        <v>5297.10009765625</v>
      </c>
      <c r="I342" s="13">
        <f t="shared" si="47"/>
        <v>6.3220864634154906E-4</v>
      </c>
      <c r="J342" s="13">
        <f t="shared" si="48"/>
        <v>7.6324392320171229E-3</v>
      </c>
      <c r="K342" s="13">
        <f t="shared" si="49"/>
        <v>1.0490426370233969E-2</v>
      </c>
      <c r="L342" s="13">
        <f t="shared" si="50"/>
        <v>1.7796967690864455E-3</v>
      </c>
      <c r="M342" s="13">
        <f t="shared" si="51"/>
        <v>-8.340956333810658E-3</v>
      </c>
      <c r="N342" s="13">
        <f t="shared" si="52"/>
        <v>8.0748222435308471E-3</v>
      </c>
      <c r="O342" s="13">
        <f t="shared" si="53"/>
        <v>-2.0838374740880464E-3</v>
      </c>
    </row>
    <row r="343" spans="1:15" x14ac:dyDescent="0.35">
      <c r="A343" s="2">
        <v>45429</v>
      </c>
      <c r="B343">
        <v>188.589111328125</v>
      </c>
      <c r="C343">
        <v>789.5042724609375</v>
      </c>
      <c r="D343">
        <v>146.54669189453119</v>
      </c>
      <c r="E343">
        <v>197.3346862792969</v>
      </c>
      <c r="F343">
        <v>72.356697082519531</v>
      </c>
      <c r="G343">
        <v>161.39959716796881</v>
      </c>
      <c r="H343">
        <v>5303.27001953125</v>
      </c>
      <c r="I343" s="13">
        <f t="shared" si="47"/>
        <v>1.5811109546373826E-4</v>
      </c>
      <c r="J343" s="13">
        <f t="shared" si="48"/>
        <v>3.4487837184031178E-3</v>
      </c>
      <c r="K343" s="13">
        <f t="shared" si="49"/>
        <v>2.330681907186763E-3</v>
      </c>
      <c r="L343" s="13">
        <f t="shared" si="50"/>
        <v>1.139322498858537E-2</v>
      </c>
      <c r="M343" s="13">
        <f t="shared" si="51"/>
        <v>-4.1967134094249656E-3</v>
      </c>
      <c r="N343" s="13">
        <f t="shared" si="52"/>
        <v>-1.3111722753538777E-3</v>
      </c>
      <c r="O343" s="13">
        <f t="shared" si="53"/>
        <v>1.1640956878937513E-3</v>
      </c>
    </row>
    <row r="344" spans="1:15" x14ac:dyDescent="0.35">
      <c r="A344" s="2">
        <v>45432</v>
      </c>
      <c r="B344">
        <v>189.75120544433591</v>
      </c>
      <c r="C344">
        <v>786.71661376953125</v>
      </c>
      <c r="D344">
        <v>144.51182556152341</v>
      </c>
      <c r="E344">
        <v>188.4599914550781</v>
      </c>
      <c r="F344">
        <v>72.147499084472656</v>
      </c>
      <c r="G344">
        <v>161.08184814453119</v>
      </c>
      <c r="H344">
        <v>5308.1298828125</v>
      </c>
      <c r="I344" s="13">
        <f t="shared" si="47"/>
        <v>6.1431347350165482E-3</v>
      </c>
      <c r="J344" s="13">
        <f t="shared" si="48"/>
        <v>-3.537145868599659E-3</v>
      </c>
      <c r="K344" s="13">
        <f t="shared" si="49"/>
        <v>-1.3982751681624645E-2</v>
      </c>
      <c r="L344" s="13">
        <f t="shared" si="50"/>
        <v>-4.6015464899641347E-2</v>
      </c>
      <c r="M344" s="13">
        <f t="shared" si="51"/>
        <v>-2.8953919642924634E-3</v>
      </c>
      <c r="N344" s="13">
        <f t="shared" si="52"/>
        <v>-1.9706505964103807E-3</v>
      </c>
      <c r="O344" s="13">
        <f t="shared" si="53"/>
        <v>9.1597030849116642E-4</v>
      </c>
    </row>
    <row r="345" spans="1:15" x14ac:dyDescent="0.35">
      <c r="A345" s="2">
        <v>45433</v>
      </c>
      <c r="B345">
        <v>191.0523986816406</v>
      </c>
      <c r="C345">
        <v>794.58380126953125</v>
      </c>
      <c r="D345">
        <v>144.48320007324219</v>
      </c>
      <c r="E345">
        <v>192.25657653808591</v>
      </c>
      <c r="F345">
        <v>73.174507141113281</v>
      </c>
      <c r="G345">
        <v>162.08314514160159</v>
      </c>
      <c r="H345">
        <v>5321.41015625</v>
      </c>
      <c r="I345" s="13">
        <f t="shared" si="47"/>
        <v>6.8339600116124471E-3</v>
      </c>
      <c r="J345" s="13">
        <f t="shared" si="48"/>
        <v>9.9503577380666581E-3</v>
      </c>
      <c r="K345" s="13">
        <f t="shared" si="49"/>
        <v>-1.9810367539695474E-4</v>
      </c>
      <c r="L345" s="13">
        <f t="shared" si="50"/>
        <v>1.9945078623351875E-2</v>
      </c>
      <c r="M345" s="13">
        <f t="shared" si="51"/>
        <v>1.4134475314801642E-2</v>
      </c>
      <c r="N345" s="13">
        <f t="shared" si="52"/>
        <v>6.1968358088635997E-3</v>
      </c>
      <c r="O345" s="13">
        <f t="shared" si="53"/>
        <v>2.4987497668926086E-3</v>
      </c>
    </row>
    <row r="346" spans="1:15" x14ac:dyDescent="0.35">
      <c r="A346" s="2">
        <v>45434</v>
      </c>
      <c r="B346">
        <v>189.6121520996094</v>
      </c>
      <c r="C346">
        <v>795.50640869140625</v>
      </c>
      <c r="D346">
        <v>146.64219665527341</v>
      </c>
      <c r="E346">
        <v>191.0906066894531</v>
      </c>
      <c r="F346">
        <v>72.575408935546875</v>
      </c>
      <c r="G346">
        <v>161.563232421875</v>
      </c>
      <c r="H346">
        <v>5307.009765625</v>
      </c>
      <c r="I346" s="13">
        <f t="shared" si="47"/>
        <v>-7.5670479505965506E-3</v>
      </c>
      <c r="J346" s="13">
        <f t="shared" si="48"/>
        <v>1.1604467716740422E-3</v>
      </c>
      <c r="K346" s="13">
        <f t="shared" si="49"/>
        <v>1.4832345013349336E-2</v>
      </c>
      <c r="L346" s="13">
        <f t="shared" si="50"/>
        <v>-6.0831199243986033E-3</v>
      </c>
      <c r="M346" s="13">
        <f t="shared" si="51"/>
        <v>-8.2209526538830346E-3</v>
      </c>
      <c r="N346" s="13">
        <f t="shared" si="52"/>
        <v>-3.212847125736145E-3</v>
      </c>
      <c r="O346" s="13">
        <f t="shared" si="53"/>
        <v>-2.7097912093521476E-3</v>
      </c>
    </row>
    <row r="347" spans="1:15" x14ac:dyDescent="0.35">
      <c r="A347" s="2">
        <v>45435</v>
      </c>
      <c r="B347">
        <v>185.6192932128906</v>
      </c>
      <c r="C347">
        <v>790.03021240234375</v>
      </c>
      <c r="D347">
        <v>143.01197814941409</v>
      </c>
      <c r="E347">
        <v>189.75120544433591</v>
      </c>
      <c r="F347">
        <v>71.624481201171875</v>
      </c>
      <c r="G347">
        <v>159.32960510253909</v>
      </c>
      <c r="H347">
        <v>5267.83984375</v>
      </c>
      <c r="I347" s="13">
        <f t="shared" si="47"/>
        <v>-2.1282915669291146E-2</v>
      </c>
      <c r="J347" s="13">
        <f t="shared" si="48"/>
        <v>-6.9077156485906456E-3</v>
      </c>
      <c r="K347" s="13">
        <f t="shared" si="49"/>
        <v>-2.5067193303343852E-2</v>
      </c>
      <c r="L347" s="13">
        <f t="shared" si="50"/>
        <v>-7.0339270784057816E-3</v>
      </c>
      <c r="M347" s="13">
        <f t="shared" si="51"/>
        <v>-1.3189212812105633E-2</v>
      </c>
      <c r="N347" s="13">
        <f t="shared" si="52"/>
        <v>-1.3921553446495523E-2</v>
      </c>
      <c r="O347" s="13">
        <f t="shared" si="53"/>
        <v>-7.4081622834719328E-3</v>
      </c>
    </row>
    <row r="348" spans="1:15" x14ac:dyDescent="0.35">
      <c r="A348" s="2">
        <v>45436</v>
      </c>
      <c r="B348">
        <v>188.6983642578125</v>
      </c>
      <c r="C348">
        <v>803.31414794921875</v>
      </c>
      <c r="D348">
        <v>140.4039611816406</v>
      </c>
      <c r="E348">
        <v>193.40325927734381</v>
      </c>
      <c r="F348">
        <v>72.851181030273438</v>
      </c>
      <c r="G348">
        <v>159.1755676269531</v>
      </c>
      <c r="H348">
        <v>5304.72021484375</v>
      </c>
      <c r="I348" s="13">
        <f t="shared" si="47"/>
        <v>1.6452018406762591E-2</v>
      </c>
      <c r="J348" s="13">
        <f t="shared" si="48"/>
        <v>1.6674667033444699E-2</v>
      </c>
      <c r="K348" s="13">
        <f t="shared" si="49"/>
        <v>-1.8404685296410535E-2</v>
      </c>
      <c r="L348" s="13">
        <f t="shared" si="50"/>
        <v>1.906366633868212E-2</v>
      </c>
      <c r="M348" s="13">
        <f t="shared" si="51"/>
        <v>1.6981812574581333E-2</v>
      </c>
      <c r="N348" s="13">
        <f t="shared" si="52"/>
        <v>-9.6725265888422554E-4</v>
      </c>
      <c r="O348" s="13">
        <f t="shared" si="53"/>
        <v>6.9766490766732595E-3</v>
      </c>
    </row>
    <row r="349" spans="1:15" x14ac:dyDescent="0.35">
      <c r="A349" s="2">
        <v>45440</v>
      </c>
      <c r="B349">
        <v>188.70831298828119</v>
      </c>
      <c r="C349">
        <v>806.72674560546875</v>
      </c>
      <c r="D349">
        <v>137.9296569824219</v>
      </c>
      <c r="E349">
        <v>192.23728942871091</v>
      </c>
      <c r="F349">
        <v>73.726051330566406</v>
      </c>
      <c r="G349">
        <v>157.03819274902341</v>
      </c>
      <c r="H349">
        <v>5306.0400390625</v>
      </c>
      <c r="I349" s="13">
        <f t="shared" si="47"/>
        <v>5.272153923513184E-5</v>
      </c>
      <c r="J349" s="13">
        <f t="shared" si="48"/>
        <v>4.2391504220638063E-3</v>
      </c>
      <c r="K349" s="13">
        <f t="shared" si="49"/>
        <v>-1.7779881549921616E-2</v>
      </c>
      <c r="L349" s="13">
        <f t="shared" si="50"/>
        <v>-6.046944002138217E-3</v>
      </c>
      <c r="M349" s="13">
        <f t="shared" si="51"/>
        <v>1.1937470444696379E-2</v>
      </c>
      <c r="N349" s="13">
        <f t="shared" si="52"/>
        <v>-1.3518750271364318E-2</v>
      </c>
      <c r="O349" s="13">
        <f t="shared" si="53"/>
        <v>2.4877090688591537E-4</v>
      </c>
    </row>
    <row r="350" spans="1:15" x14ac:dyDescent="0.35">
      <c r="A350" s="2">
        <v>45441</v>
      </c>
      <c r="B350">
        <v>189.00627136230469</v>
      </c>
      <c r="C350">
        <v>800.12957763671875</v>
      </c>
      <c r="D350">
        <v>137.98698425292969</v>
      </c>
      <c r="E350">
        <v>190.89788818359381</v>
      </c>
      <c r="F350">
        <v>72.917755126953125</v>
      </c>
      <c r="G350">
        <v>155.6325378417969</v>
      </c>
      <c r="H350">
        <v>5266.9501953125</v>
      </c>
      <c r="I350" s="13">
        <f t="shared" si="47"/>
        <v>1.5776909241670795E-3</v>
      </c>
      <c r="J350" s="13">
        <f t="shared" si="48"/>
        <v>-8.211319134810274E-3</v>
      </c>
      <c r="K350" s="13">
        <f t="shared" si="49"/>
        <v>4.1554051307684007E-4</v>
      </c>
      <c r="L350" s="13">
        <f t="shared" si="50"/>
        <v>-6.9918231466586161E-3</v>
      </c>
      <c r="M350" s="13">
        <f t="shared" si="51"/>
        <v>-1.1024050849774676E-2</v>
      </c>
      <c r="N350" s="13">
        <f t="shared" si="52"/>
        <v>-8.9913397040838651E-3</v>
      </c>
      <c r="O350" s="13">
        <f t="shared" si="53"/>
        <v>-7.394317215742535E-3</v>
      </c>
    </row>
    <row r="351" spans="1:15" x14ac:dyDescent="0.35">
      <c r="A351" s="2">
        <v>45442</v>
      </c>
      <c r="B351">
        <v>189.99949645996091</v>
      </c>
      <c r="C351">
        <v>808.87969970703125</v>
      </c>
      <c r="D351">
        <v>138.78944396972659</v>
      </c>
      <c r="E351">
        <v>192.07347106933591</v>
      </c>
      <c r="F351">
        <v>74.353675842285156</v>
      </c>
      <c r="G351">
        <v>156.5279235839844</v>
      </c>
      <c r="H351">
        <v>5235.47998046875</v>
      </c>
      <c r="I351" s="13">
        <f t="shared" si="47"/>
        <v>5.2412256259680278E-3</v>
      </c>
      <c r="J351" s="13">
        <f t="shared" si="48"/>
        <v>1.0876516939917327E-2</v>
      </c>
      <c r="K351" s="13">
        <f t="shared" si="49"/>
        <v>5.798629387969976E-3</v>
      </c>
      <c r="L351" s="13">
        <f t="shared" si="50"/>
        <v>6.1392924026077815E-3</v>
      </c>
      <c r="M351" s="13">
        <f t="shared" si="51"/>
        <v>1.9500947478441683E-2</v>
      </c>
      <c r="N351" s="13">
        <f t="shared" si="52"/>
        <v>5.7367175438333721E-3</v>
      </c>
      <c r="O351" s="13">
        <f t="shared" si="53"/>
        <v>-5.992957535754186E-3</v>
      </c>
    </row>
    <row r="352" spans="1:15" x14ac:dyDescent="0.35">
      <c r="A352" s="2">
        <v>45443</v>
      </c>
      <c r="B352">
        <v>190.95306396484381</v>
      </c>
      <c r="C352">
        <v>803.47283935546875</v>
      </c>
      <c r="D352">
        <v>140.1173400878906</v>
      </c>
      <c r="E352">
        <v>195.25335693359381</v>
      </c>
      <c r="F352">
        <v>76.093879699707031</v>
      </c>
      <c r="G352">
        <v>158.41496276855469</v>
      </c>
      <c r="H352">
        <v>5277.509765625</v>
      </c>
      <c r="I352" s="13">
        <f t="shared" si="47"/>
        <v>5.006237497799406E-3</v>
      </c>
      <c r="J352" s="13">
        <f t="shared" si="48"/>
        <v>-6.7068218493500304E-3</v>
      </c>
      <c r="K352" s="13">
        <f t="shared" si="49"/>
        <v>9.5222219588338552E-3</v>
      </c>
      <c r="L352" s="13">
        <f t="shared" si="50"/>
        <v>1.6420020922880529E-2</v>
      </c>
      <c r="M352" s="13">
        <f t="shared" si="51"/>
        <v>2.3134725796047483E-2</v>
      </c>
      <c r="N352" s="13">
        <f t="shared" si="52"/>
        <v>1.1983517320724094E-2</v>
      </c>
      <c r="O352" s="13">
        <f t="shared" si="53"/>
        <v>7.9958242319288966E-3</v>
      </c>
    </row>
    <row r="353" spans="1:15" x14ac:dyDescent="0.35">
      <c r="A353" s="2">
        <v>45446</v>
      </c>
      <c r="B353">
        <v>192.7210388183594</v>
      </c>
      <c r="C353">
        <v>808.9293212890625</v>
      </c>
      <c r="D353">
        <v>141.13957214355469</v>
      </c>
      <c r="E353">
        <v>194.47282409667969</v>
      </c>
      <c r="F353">
        <v>74.375892639160156</v>
      </c>
      <c r="G353">
        <v>158.52085876464841</v>
      </c>
      <c r="H353">
        <v>5283.39990234375</v>
      </c>
      <c r="I353" s="13">
        <f t="shared" si="47"/>
        <v>9.216089146715175E-3</v>
      </c>
      <c r="J353" s="13">
        <f t="shared" si="48"/>
        <v>6.768166027065408E-3</v>
      </c>
      <c r="K353" s="13">
        <f t="shared" si="49"/>
        <v>7.2690590870241939E-3</v>
      </c>
      <c r="L353" s="13">
        <f t="shared" si="50"/>
        <v>-4.0055501452375096E-3</v>
      </c>
      <c r="M353" s="13">
        <f t="shared" si="51"/>
        <v>-2.2835971523214108E-2</v>
      </c>
      <c r="N353" s="13">
        <f t="shared" si="52"/>
        <v>6.6824885569666335E-4</v>
      </c>
      <c r="O353" s="13">
        <f t="shared" si="53"/>
        <v>1.1154602235352391E-3</v>
      </c>
    </row>
    <row r="354" spans="1:15" x14ac:dyDescent="0.35">
      <c r="A354" s="2">
        <v>45447</v>
      </c>
      <c r="B354">
        <v>193.03889465332031</v>
      </c>
      <c r="C354">
        <v>820.83404541015625</v>
      </c>
      <c r="D354">
        <v>141.1968688964844</v>
      </c>
      <c r="E354">
        <v>191.90968322753909</v>
      </c>
      <c r="F354">
        <v>73.839912414550781</v>
      </c>
      <c r="G354">
        <v>160.79301452636719</v>
      </c>
      <c r="H354">
        <v>5291.33984375</v>
      </c>
      <c r="I354" s="13">
        <f t="shared" si="47"/>
        <v>1.6479467114922726E-3</v>
      </c>
      <c r="J354" s="13">
        <f t="shared" si="48"/>
        <v>1.4609404167113857E-2</v>
      </c>
      <c r="K354" s="13">
        <f t="shared" si="49"/>
        <v>4.0587572404909362E-4</v>
      </c>
      <c r="L354" s="13">
        <f t="shared" si="50"/>
        <v>-1.3267569930027196E-2</v>
      </c>
      <c r="M354" s="13">
        <f t="shared" si="51"/>
        <v>-7.2324616227437541E-3</v>
      </c>
      <c r="N354" s="13">
        <f t="shared" si="52"/>
        <v>1.4231728103561358E-2</v>
      </c>
      <c r="O354" s="13">
        <f t="shared" si="53"/>
        <v>1.5016810037827531E-3</v>
      </c>
    </row>
    <row r="355" spans="1:15" x14ac:dyDescent="0.35">
      <c r="A355" s="2">
        <v>45448</v>
      </c>
      <c r="B355">
        <v>194.54862976074219</v>
      </c>
      <c r="C355">
        <v>827.6893310546875</v>
      </c>
      <c r="D355">
        <v>139.44862365722659</v>
      </c>
      <c r="E355">
        <v>190.07881164550781</v>
      </c>
      <c r="F355">
        <v>73.74420166015625</v>
      </c>
      <c r="G355">
        <v>159.86875915527341</v>
      </c>
      <c r="H355">
        <v>5354.02978515625</v>
      </c>
      <c r="I355" s="13">
        <f t="shared" si="47"/>
        <v>7.7904609821647904E-3</v>
      </c>
      <c r="J355" s="13">
        <f t="shared" si="48"/>
        <v>8.3169280558625502E-3</v>
      </c>
      <c r="K355" s="13">
        <f t="shared" si="49"/>
        <v>-1.2458905628406892E-2</v>
      </c>
      <c r="L355" s="13">
        <f t="shared" si="50"/>
        <v>-9.5860772087194793E-3</v>
      </c>
      <c r="M355" s="13">
        <f t="shared" si="51"/>
        <v>-1.2970334701998861E-3</v>
      </c>
      <c r="N355" s="13">
        <f t="shared" si="52"/>
        <v>-5.7646904401813231E-3</v>
      </c>
      <c r="O355" s="13">
        <f t="shared" si="53"/>
        <v>1.1778015849957281E-2</v>
      </c>
    </row>
    <row r="356" spans="1:15" x14ac:dyDescent="0.35">
      <c r="A356" s="2">
        <v>45449</v>
      </c>
      <c r="B356">
        <v>193.16801452636719</v>
      </c>
      <c r="C356">
        <v>835.96337890625</v>
      </c>
      <c r="D356">
        <v>139.87852478027341</v>
      </c>
      <c r="E356">
        <v>189.7415771484375</v>
      </c>
      <c r="F356">
        <v>73.409217834472656</v>
      </c>
      <c r="G356">
        <v>162.19865417480469</v>
      </c>
      <c r="H356">
        <v>5352.9599609375</v>
      </c>
      <c r="I356" s="13">
        <f t="shared" si="47"/>
        <v>-7.1218044936935919E-3</v>
      </c>
      <c r="J356" s="13">
        <f t="shared" si="48"/>
        <v>9.9469270507844838E-3</v>
      </c>
      <c r="K356" s="13">
        <f t="shared" si="49"/>
        <v>3.0781215853045185E-3</v>
      </c>
      <c r="L356" s="13">
        <f t="shared" si="50"/>
        <v>-1.7757582038100473E-3</v>
      </c>
      <c r="M356" s="13">
        <f t="shared" si="51"/>
        <v>-4.5528592604547084E-3</v>
      </c>
      <c r="N356" s="13">
        <f t="shared" si="52"/>
        <v>1.4468620966710123E-2</v>
      </c>
      <c r="O356" s="13">
        <f t="shared" si="53"/>
        <v>-1.9983660163685183E-4</v>
      </c>
    </row>
    <row r="357" spans="1:15" x14ac:dyDescent="0.35">
      <c r="A357" s="2">
        <v>45450</v>
      </c>
      <c r="B357">
        <v>195.56175231933591</v>
      </c>
      <c r="C357">
        <v>838.8800048828125</v>
      </c>
      <c r="D357">
        <v>140.509033203125</v>
      </c>
      <c r="E357">
        <v>192.6708984375</v>
      </c>
      <c r="F357">
        <v>72.155433654785156</v>
      </c>
      <c r="G357">
        <v>160.84114074707031</v>
      </c>
      <c r="H357">
        <v>5346.990234375</v>
      </c>
      <c r="I357" s="13">
        <f t="shared" si="47"/>
        <v>1.2315846399807848E-2</v>
      </c>
      <c r="J357" s="13">
        <f t="shared" si="48"/>
        <v>3.4828676556915772E-3</v>
      </c>
      <c r="K357" s="13">
        <f t="shared" si="49"/>
        <v>4.4974141516583967E-3</v>
      </c>
      <c r="L357" s="13">
        <f t="shared" si="50"/>
        <v>1.5320517885571627E-2</v>
      </c>
      <c r="M357" s="13">
        <f t="shared" si="51"/>
        <v>-1.7226918396617438E-2</v>
      </c>
      <c r="N357" s="13">
        <f t="shared" si="52"/>
        <v>-8.4046698897261643E-3</v>
      </c>
      <c r="O357" s="13">
        <f t="shared" si="53"/>
        <v>-1.1158420502790662E-3</v>
      </c>
    </row>
    <row r="358" spans="1:15" x14ac:dyDescent="0.35">
      <c r="A358" s="2">
        <v>45453</v>
      </c>
      <c r="B358">
        <v>191.81718444824219</v>
      </c>
      <c r="C358">
        <v>841.6181640625</v>
      </c>
      <c r="D358">
        <v>140.5567932128906</v>
      </c>
      <c r="E358">
        <v>192.34330749511719</v>
      </c>
      <c r="F358">
        <v>73.667633056640625</v>
      </c>
      <c r="G358">
        <v>161.120361328125</v>
      </c>
      <c r="H358">
        <v>5360.7900390625</v>
      </c>
      <c r="I358" s="13">
        <f t="shared" si="47"/>
        <v>-1.9333444091231302E-2</v>
      </c>
      <c r="J358" s="13">
        <f t="shared" si="48"/>
        <v>3.2587498795682021E-3</v>
      </c>
      <c r="K358" s="13">
        <f t="shared" si="49"/>
        <v>3.3984928608560597E-4</v>
      </c>
      <c r="L358" s="13">
        <f t="shared" si="50"/>
        <v>-1.7017087493839125E-3</v>
      </c>
      <c r="M358" s="13">
        <f t="shared" si="51"/>
        <v>2.0740938264716419E-2</v>
      </c>
      <c r="N358" s="13">
        <f t="shared" si="52"/>
        <v>1.7344971324673897E-3</v>
      </c>
      <c r="O358" s="13">
        <f t="shared" si="53"/>
        <v>2.577529978240972E-3</v>
      </c>
    </row>
    <row r="359" spans="1:15" x14ac:dyDescent="0.35">
      <c r="A359" s="2">
        <v>45454</v>
      </c>
      <c r="B359">
        <v>205.75251770019531</v>
      </c>
      <c r="C359">
        <v>842.58050537109375</v>
      </c>
      <c r="D359">
        <v>140.2033386230469</v>
      </c>
      <c r="E359">
        <v>187.284423828125</v>
      </c>
      <c r="F359">
        <v>69.619117736816406</v>
      </c>
      <c r="G359">
        <v>161.2455139160156</v>
      </c>
      <c r="H359">
        <v>5375.31982421875</v>
      </c>
      <c r="I359" s="13">
        <f t="shared" si="47"/>
        <v>7.0131322078982053E-2</v>
      </c>
      <c r="J359" s="13">
        <f t="shared" si="48"/>
        <v>1.1427884735823253E-3</v>
      </c>
      <c r="K359" s="13">
        <f t="shared" si="49"/>
        <v>-2.5178416483869911E-3</v>
      </c>
      <c r="L359" s="13">
        <f t="shared" si="50"/>
        <v>-2.6653390852625535E-2</v>
      </c>
      <c r="M359" s="13">
        <f t="shared" si="51"/>
        <v>-5.6524321430166342E-2</v>
      </c>
      <c r="N359" s="13">
        <f t="shared" si="52"/>
        <v>7.7646304270668532E-4</v>
      </c>
      <c r="O359" s="13">
        <f t="shared" si="53"/>
        <v>2.7067148552095224E-3</v>
      </c>
    </row>
    <row r="360" spans="1:15" x14ac:dyDescent="0.35">
      <c r="A360" s="2">
        <v>45455</v>
      </c>
      <c r="B360">
        <v>211.63261413574219</v>
      </c>
      <c r="C360">
        <v>841.09228515625</v>
      </c>
      <c r="D360">
        <v>138.91365051269531</v>
      </c>
      <c r="E360">
        <v>184.55743408203119</v>
      </c>
      <c r="F360">
        <v>69.159721374511719</v>
      </c>
      <c r="G360">
        <v>159.03114318847659</v>
      </c>
      <c r="H360">
        <v>5421.02978515625</v>
      </c>
      <c r="I360" s="13">
        <f t="shared" si="47"/>
        <v>2.817774300517779E-2</v>
      </c>
      <c r="J360" s="13">
        <f t="shared" si="48"/>
        <v>-1.7678263980984491E-3</v>
      </c>
      <c r="K360" s="13">
        <f t="shared" si="49"/>
        <v>-9.2412668445671069E-3</v>
      </c>
      <c r="L360" s="13">
        <f t="shared" si="50"/>
        <v>-1.4667733493872993E-2</v>
      </c>
      <c r="M360" s="13">
        <f t="shared" si="51"/>
        <v>-6.6205776510144844E-3</v>
      </c>
      <c r="N360" s="13">
        <f t="shared" si="52"/>
        <v>-1.38280824627099E-2</v>
      </c>
      <c r="O360" s="13">
        <f t="shared" si="53"/>
        <v>8.467720241887338E-3</v>
      </c>
    </row>
    <row r="361" spans="1:15" x14ac:dyDescent="0.35">
      <c r="A361" s="2">
        <v>45456</v>
      </c>
      <c r="B361">
        <v>212.7947082519531</v>
      </c>
      <c r="C361">
        <v>839.25701904296875</v>
      </c>
      <c r="D361">
        <v>138.95185852050781</v>
      </c>
      <c r="E361">
        <v>186.60990905761719</v>
      </c>
      <c r="F361">
        <v>70.040245056152344</v>
      </c>
      <c r="G361">
        <v>160.21534729003909</v>
      </c>
      <c r="H361">
        <v>5433.740234375</v>
      </c>
      <c r="I361" s="13">
        <f t="shared" si="47"/>
        <v>5.4760707377751894E-3</v>
      </c>
      <c r="J361" s="13">
        <f t="shared" si="48"/>
        <v>-2.1843873038181012E-3</v>
      </c>
      <c r="K361" s="13">
        <f t="shared" si="49"/>
        <v>2.750108006298181E-4</v>
      </c>
      <c r="L361" s="13">
        <f t="shared" si="50"/>
        <v>1.1059679330329619E-2</v>
      </c>
      <c r="M361" s="13">
        <f t="shared" si="51"/>
        <v>1.2651374116037978E-2</v>
      </c>
      <c r="N361" s="13">
        <f t="shared" si="52"/>
        <v>7.4187787070862134E-3</v>
      </c>
      <c r="O361" s="13">
        <f t="shared" si="53"/>
        <v>2.3419114371167199E-3</v>
      </c>
    </row>
    <row r="362" spans="1:15" x14ac:dyDescent="0.35">
      <c r="A362" s="2">
        <v>45457</v>
      </c>
      <c r="B362">
        <v>211.05653381347659</v>
      </c>
      <c r="C362">
        <v>848.89007568359375</v>
      </c>
      <c r="D362">
        <v>139.037841796875</v>
      </c>
      <c r="E362">
        <v>186.72554016113281</v>
      </c>
      <c r="F362">
        <v>69.925392150878906</v>
      </c>
      <c r="G362">
        <v>160.5812072753906</v>
      </c>
      <c r="H362">
        <v>5431.60009765625</v>
      </c>
      <c r="I362" s="13">
        <f t="shared" si="47"/>
        <v>-8.2018595674467291E-3</v>
      </c>
      <c r="J362" s="13">
        <f t="shared" si="48"/>
        <v>1.1412703583869288E-2</v>
      </c>
      <c r="K362" s="13">
        <f t="shared" si="49"/>
        <v>6.1860766072269245E-4</v>
      </c>
      <c r="L362" s="13">
        <f t="shared" si="50"/>
        <v>6.194488493127732E-4</v>
      </c>
      <c r="M362" s="13">
        <f t="shared" si="51"/>
        <v>-1.6411589779326936E-3</v>
      </c>
      <c r="N362" s="13">
        <f t="shared" si="52"/>
        <v>2.2809480885448005E-3</v>
      </c>
      <c r="O362" s="13">
        <f t="shared" si="53"/>
        <v>-3.9393828099749413E-4</v>
      </c>
    </row>
    <row r="363" spans="1:15" x14ac:dyDescent="0.35">
      <c r="A363" s="2">
        <v>45460</v>
      </c>
      <c r="B363">
        <v>215.20832824707031</v>
      </c>
      <c r="C363">
        <v>861.03314208984375</v>
      </c>
      <c r="D363">
        <v>139.42950439453119</v>
      </c>
      <c r="E363">
        <v>187.88182067871091</v>
      </c>
      <c r="F363">
        <v>69.207565307617188</v>
      </c>
      <c r="G363">
        <v>161.26478576660159</v>
      </c>
      <c r="H363">
        <v>5473.22998046875</v>
      </c>
      <c r="I363" s="13">
        <f t="shared" si="47"/>
        <v>1.94804972178718E-2</v>
      </c>
      <c r="J363" s="13">
        <f t="shared" si="48"/>
        <v>1.4203293361939319E-2</v>
      </c>
      <c r="K363" s="13">
        <f t="shared" si="49"/>
        <v>2.8129894673744687E-3</v>
      </c>
      <c r="L363" s="13">
        <f t="shared" si="50"/>
        <v>6.1733127032922806E-3</v>
      </c>
      <c r="M363" s="13">
        <f t="shared" si="51"/>
        <v>-1.0318665333820582E-2</v>
      </c>
      <c r="N363" s="13">
        <f t="shared" si="52"/>
        <v>4.2478672028525531E-3</v>
      </c>
      <c r="O363" s="13">
        <f t="shared" si="53"/>
        <v>7.635164372320518E-3</v>
      </c>
    </row>
    <row r="364" spans="1:15" x14ac:dyDescent="0.35">
      <c r="A364" s="2">
        <v>45461</v>
      </c>
      <c r="B364">
        <v>212.8443603515625</v>
      </c>
      <c r="C364">
        <v>863.8505859375</v>
      </c>
      <c r="D364">
        <v>139.1429138183594</v>
      </c>
      <c r="E364">
        <v>189.82829284667969</v>
      </c>
      <c r="F364">
        <v>67.417808532714844</v>
      </c>
      <c r="G364">
        <v>162.2853088378906</v>
      </c>
      <c r="H364">
        <v>5487.02978515625</v>
      </c>
      <c r="I364" s="13">
        <f t="shared" si="47"/>
        <v>-1.1045331530300663E-2</v>
      </c>
      <c r="J364" s="13">
        <f t="shared" si="48"/>
        <v>3.2668246648234673E-3</v>
      </c>
      <c r="K364" s="13">
        <f t="shared" si="49"/>
        <v>-2.0575667836682083E-3</v>
      </c>
      <c r="L364" s="13">
        <f t="shared" si="50"/>
        <v>1.0306789939523876E-2</v>
      </c>
      <c r="M364" s="13">
        <f t="shared" si="51"/>
        <v>-2.620097733111058E-2</v>
      </c>
      <c r="N364" s="13">
        <f t="shared" si="52"/>
        <v>6.3083057158129525E-3</v>
      </c>
      <c r="O364" s="13">
        <f t="shared" si="53"/>
        <v>2.5181541815171163E-3</v>
      </c>
    </row>
    <row r="365" spans="1:15" x14ac:dyDescent="0.35">
      <c r="A365" s="2">
        <v>45463</v>
      </c>
      <c r="B365">
        <v>208.26545715332031</v>
      </c>
      <c r="C365">
        <v>855.60638427734375</v>
      </c>
      <c r="D365">
        <v>141.17774963378909</v>
      </c>
      <c r="E365">
        <v>191.4375305175781</v>
      </c>
      <c r="F365">
        <v>69.351142883300781</v>
      </c>
      <c r="G365">
        <v>161.4284362792969</v>
      </c>
      <c r="H365">
        <v>5473.169921875</v>
      </c>
      <c r="I365" s="13">
        <f t="shared" si="47"/>
        <v>-2.1747693723323264E-2</v>
      </c>
      <c r="J365" s="13">
        <f t="shared" si="48"/>
        <v>-9.5893819715837884E-3</v>
      </c>
      <c r="K365" s="13">
        <f t="shared" si="49"/>
        <v>1.4518170238842734E-2</v>
      </c>
      <c r="L365" s="13">
        <f t="shared" si="50"/>
        <v>8.4416023076184597E-3</v>
      </c>
      <c r="M365" s="13">
        <f t="shared" si="51"/>
        <v>2.8273421985760293E-2</v>
      </c>
      <c r="N365" s="13">
        <f t="shared" si="52"/>
        <v>-5.2940264217667598E-3</v>
      </c>
      <c r="O365" s="13">
        <f t="shared" si="53"/>
        <v>-2.5291273954115403E-3</v>
      </c>
    </row>
    <row r="366" spans="1:15" x14ac:dyDescent="0.35">
      <c r="A366" s="2">
        <v>45464</v>
      </c>
      <c r="B366">
        <v>206.09025573730469</v>
      </c>
      <c r="C366">
        <v>841.5885009765625</v>
      </c>
      <c r="D366">
        <v>142.10441589355469</v>
      </c>
      <c r="E366">
        <v>189.15379333496091</v>
      </c>
      <c r="F366">
        <v>69.686111450195313</v>
      </c>
      <c r="G366">
        <v>161.99647521972659</v>
      </c>
      <c r="H366">
        <v>5464.6201171875</v>
      </c>
      <c r="I366" s="13">
        <f t="shared" si="47"/>
        <v>-1.0499294834300491E-2</v>
      </c>
      <c r="J366" s="13">
        <f t="shared" si="48"/>
        <v>-1.6519260333341192E-2</v>
      </c>
      <c r="K366" s="13">
        <f t="shared" si="49"/>
        <v>6.5423784328785114E-3</v>
      </c>
      <c r="L366" s="13">
        <f t="shared" si="50"/>
        <v>-1.2001138488814867E-2</v>
      </c>
      <c r="M366" s="13">
        <f t="shared" si="51"/>
        <v>4.8184095202744911E-3</v>
      </c>
      <c r="N366" s="13">
        <f t="shared" si="52"/>
        <v>3.5126516499279724E-3</v>
      </c>
      <c r="O366" s="13">
        <f t="shared" si="53"/>
        <v>-1.5633517188252497E-3</v>
      </c>
    </row>
    <row r="367" spans="1:15" x14ac:dyDescent="0.35">
      <c r="A367" s="2">
        <v>45467</v>
      </c>
      <c r="B367">
        <v>206.7358703613281</v>
      </c>
      <c r="C367">
        <v>841.4395751953125</v>
      </c>
      <c r="D367">
        <v>142.4578857421875</v>
      </c>
      <c r="E367">
        <v>191.6398620605469</v>
      </c>
      <c r="F367">
        <v>70.681503295898438</v>
      </c>
      <c r="G367">
        <v>162.17939758300781</v>
      </c>
      <c r="H367">
        <v>5447.8701171875</v>
      </c>
      <c r="I367" s="13">
        <f t="shared" si="47"/>
        <v>3.1277824224119695E-3</v>
      </c>
      <c r="J367" s="13">
        <f t="shared" si="48"/>
        <v>-1.7697361529156314E-4</v>
      </c>
      <c r="K367" s="13">
        <f t="shared" si="49"/>
        <v>2.4843067995710846E-3</v>
      </c>
      <c r="L367" s="13">
        <f t="shared" si="50"/>
        <v>1.3057486713500016E-2</v>
      </c>
      <c r="M367" s="13">
        <f t="shared" si="51"/>
        <v>1.4182880189890891E-2</v>
      </c>
      <c r="N367" s="13">
        <f t="shared" si="52"/>
        <v>1.1285379205667736E-3</v>
      </c>
      <c r="O367" s="13">
        <f t="shared" si="53"/>
        <v>-3.0698791558664423E-3</v>
      </c>
    </row>
    <row r="368" spans="1:15" x14ac:dyDescent="0.35">
      <c r="A368" s="2">
        <v>45468</v>
      </c>
      <c r="B368">
        <v>207.65960693359381</v>
      </c>
      <c r="C368">
        <v>848.73138427734375</v>
      </c>
      <c r="D368">
        <v>140.61412048339841</v>
      </c>
      <c r="E368">
        <v>190.85932922363281</v>
      </c>
      <c r="F368">
        <v>69.848831176757813</v>
      </c>
      <c r="G368">
        <v>160.63897705078119</v>
      </c>
      <c r="H368">
        <v>5469.2998046875</v>
      </c>
      <c r="I368" s="13">
        <f t="shared" si="47"/>
        <v>4.4582441309750139E-3</v>
      </c>
      <c r="J368" s="13">
        <f t="shared" si="48"/>
        <v>8.6285405411169469E-3</v>
      </c>
      <c r="K368" s="13">
        <f t="shared" si="49"/>
        <v>-1.3027012862801298E-2</v>
      </c>
      <c r="L368" s="13">
        <f t="shared" si="50"/>
        <v>-4.0812317417052921E-3</v>
      </c>
      <c r="M368" s="13">
        <f t="shared" si="51"/>
        <v>-1.1850564036513949E-2</v>
      </c>
      <c r="N368" s="13">
        <f t="shared" si="52"/>
        <v>-9.5436464910075777E-3</v>
      </c>
      <c r="O368" s="13">
        <f t="shared" si="53"/>
        <v>3.9258736791813438E-3</v>
      </c>
    </row>
    <row r="369" spans="1:15" x14ac:dyDescent="0.35">
      <c r="A369" s="2">
        <v>45469</v>
      </c>
      <c r="B369">
        <v>211.8114013671875</v>
      </c>
      <c r="C369">
        <v>850.05078125</v>
      </c>
      <c r="D369">
        <v>140.26066589355469</v>
      </c>
      <c r="E369">
        <v>190.24263000488281</v>
      </c>
      <c r="F369">
        <v>70.222099304199219</v>
      </c>
      <c r="G369">
        <v>161.21662902832031</v>
      </c>
      <c r="H369">
        <v>5477.89990234375</v>
      </c>
      <c r="I369" s="13">
        <f t="shared" si="47"/>
        <v>1.9796028499053691E-2</v>
      </c>
      <c r="J369" s="13">
        <f t="shared" si="48"/>
        <v>1.5533448192778727E-3</v>
      </c>
      <c r="K369" s="13">
        <f t="shared" si="49"/>
        <v>-2.5168138513140138E-3</v>
      </c>
      <c r="L369" s="13">
        <f t="shared" si="50"/>
        <v>-3.2364029735748112E-3</v>
      </c>
      <c r="M369" s="13">
        <f t="shared" si="51"/>
        <v>5.3297141632829073E-3</v>
      </c>
      <c r="N369" s="13">
        <f t="shared" si="52"/>
        <v>3.5895139737419516E-3</v>
      </c>
      <c r="O369" s="13">
        <f t="shared" si="53"/>
        <v>1.5711962247204525E-3</v>
      </c>
    </row>
    <row r="370" spans="1:15" x14ac:dyDescent="0.35">
      <c r="A370" s="2">
        <v>45470</v>
      </c>
      <c r="B370">
        <v>212.6556701660156</v>
      </c>
      <c r="C370">
        <v>843.88006591796875</v>
      </c>
      <c r="D370">
        <v>139.2862243652344</v>
      </c>
      <c r="E370">
        <v>191.9193115234375</v>
      </c>
      <c r="F370">
        <v>70.557075500488281</v>
      </c>
      <c r="G370">
        <v>160.41755676269531</v>
      </c>
      <c r="H370">
        <v>5482.8701171875</v>
      </c>
      <c r="I370" s="13">
        <f t="shared" si="47"/>
        <v>3.9780231203065215E-3</v>
      </c>
      <c r="J370" s="13">
        <f t="shared" si="48"/>
        <v>-7.2857078413158423E-3</v>
      </c>
      <c r="K370" s="13">
        <f t="shared" si="49"/>
        <v>-6.9716066179170734E-3</v>
      </c>
      <c r="L370" s="13">
        <f t="shared" si="50"/>
        <v>8.7747736997273347E-3</v>
      </c>
      <c r="M370" s="13">
        <f t="shared" si="51"/>
        <v>4.7588974568194128E-3</v>
      </c>
      <c r="N370" s="13">
        <f t="shared" si="52"/>
        <v>-4.9688369269975021E-3</v>
      </c>
      <c r="O370" s="13">
        <f t="shared" si="53"/>
        <v>9.0690985679907311E-4</v>
      </c>
    </row>
    <row r="371" spans="1:15" x14ac:dyDescent="0.35">
      <c r="A371" s="2">
        <v>45471</v>
      </c>
      <c r="B371">
        <v>209.1991271972656</v>
      </c>
      <c r="C371">
        <v>843.255126953125</v>
      </c>
      <c r="D371">
        <v>139.630126953125</v>
      </c>
      <c r="E371">
        <v>194.89680480957031</v>
      </c>
      <c r="F371">
        <v>67.771926879882813</v>
      </c>
      <c r="G371">
        <v>158.78082275390619</v>
      </c>
      <c r="H371">
        <v>5460.47998046875</v>
      </c>
      <c r="I371" s="13">
        <f t="shared" si="47"/>
        <v>-1.638772557161576E-2</v>
      </c>
      <c r="J371" s="13">
        <f t="shared" si="48"/>
        <v>-7.4082859046073642E-4</v>
      </c>
      <c r="K371" s="13">
        <f t="shared" si="49"/>
        <v>2.4659921194367792E-3</v>
      </c>
      <c r="L371" s="13">
        <f t="shared" si="50"/>
        <v>1.5395181165143516E-2</v>
      </c>
      <c r="M371" s="13">
        <f t="shared" si="51"/>
        <v>-4.0273912469137162E-2</v>
      </c>
      <c r="N371" s="13">
        <f t="shared" si="52"/>
        <v>-1.025536756296834E-2</v>
      </c>
      <c r="O371" s="13">
        <f t="shared" si="53"/>
        <v>-4.0920134623695995E-3</v>
      </c>
    </row>
    <row r="372" spans="1:15" x14ac:dyDescent="0.35">
      <c r="A372" s="2">
        <v>45474</v>
      </c>
      <c r="B372">
        <v>215.28776550292969</v>
      </c>
      <c r="C372">
        <v>838.9693603515625</v>
      </c>
      <c r="D372">
        <v>139.89762878417969</v>
      </c>
      <c r="E372">
        <v>197.9706726074219</v>
      </c>
      <c r="F372">
        <v>66.900962829589844</v>
      </c>
      <c r="G372">
        <v>156.66273498535159</v>
      </c>
      <c r="H372">
        <v>5475.08984375</v>
      </c>
      <c r="I372" s="13">
        <f t="shared" si="47"/>
        <v>2.8689017324476991E-2</v>
      </c>
      <c r="J372" s="13">
        <f t="shared" si="48"/>
        <v>-5.0953673620050882E-3</v>
      </c>
      <c r="K372" s="13">
        <f t="shared" si="49"/>
        <v>1.9139560006062005E-3</v>
      </c>
      <c r="L372" s="13">
        <f t="shared" si="50"/>
        <v>1.5648689199619859E-2</v>
      </c>
      <c r="M372" s="13">
        <f t="shared" si="51"/>
        <v>-1.2934692279688772E-2</v>
      </c>
      <c r="N372" s="13">
        <f t="shared" si="52"/>
        <v>-1.3429468123182946E-2</v>
      </c>
      <c r="O372" s="13">
        <f t="shared" si="53"/>
        <v>2.6719909814295235E-3</v>
      </c>
    </row>
    <row r="373" spans="1:15" x14ac:dyDescent="0.35">
      <c r="A373" s="2">
        <v>45475</v>
      </c>
      <c r="B373">
        <v>218.7840270996094</v>
      </c>
      <c r="C373">
        <v>852.55084228515625</v>
      </c>
      <c r="D373">
        <v>139.5059509277344</v>
      </c>
      <c r="E373">
        <v>201.2276306152344</v>
      </c>
      <c r="F373">
        <v>67.446517944335938</v>
      </c>
      <c r="G373">
        <v>157.79878234863281</v>
      </c>
      <c r="H373">
        <v>5509.009765625</v>
      </c>
      <c r="I373" s="13">
        <f t="shared" si="47"/>
        <v>1.6109488186711662E-2</v>
      </c>
      <c r="J373" s="13">
        <f t="shared" si="48"/>
        <v>1.6058659870387831E-2</v>
      </c>
      <c r="K373" s="13">
        <f t="shared" si="49"/>
        <v>-2.8036728335197234E-3</v>
      </c>
      <c r="L373" s="13">
        <f t="shared" si="50"/>
        <v>1.6317856318743208E-2</v>
      </c>
      <c r="M373" s="13">
        <f t="shared" si="51"/>
        <v>8.1215979689492138E-3</v>
      </c>
      <c r="N373" s="13">
        <f t="shared" si="52"/>
        <v>7.2253820772494991E-3</v>
      </c>
      <c r="O373" s="13">
        <f t="shared" si="53"/>
        <v>6.1762057711850496E-3</v>
      </c>
    </row>
    <row r="374" spans="1:15" x14ac:dyDescent="0.35">
      <c r="A374" s="2">
        <v>45476</v>
      </c>
      <c r="B374">
        <v>220.05540466308591</v>
      </c>
      <c r="C374">
        <v>855.82470703125</v>
      </c>
      <c r="D374">
        <v>139.18115234375</v>
      </c>
      <c r="E374">
        <v>201.0927429199219</v>
      </c>
      <c r="F374">
        <v>68.7481689453125</v>
      </c>
      <c r="G374">
        <v>157.73139953613281</v>
      </c>
      <c r="H374">
        <v>5537.02001953125</v>
      </c>
      <c r="I374" s="13">
        <f t="shared" si="47"/>
        <v>5.7942884277594432E-3</v>
      </c>
      <c r="J374" s="13">
        <f t="shared" si="48"/>
        <v>3.8327272420912465E-3</v>
      </c>
      <c r="K374" s="13">
        <f t="shared" si="49"/>
        <v>-2.3309204281741938E-3</v>
      </c>
      <c r="L374" s="13">
        <f t="shared" si="50"/>
        <v>-6.7054869322898906E-4</v>
      </c>
      <c r="M374" s="13">
        <f t="shared" si="51"/>
        <v>1.911514559811053E-2</v>
      </c>
      <c r="N374" s="13">
        <f t="shared" si="52"/>
        <v>-4.2710851381531998E-4</v>
      </c>
      <c r="O374" s="13">
        <f t="shared" si="53"/>
        <v>5.0715622695336636E-3</v>
      </c>
    </row>
    <row r="375" spans="1:15" x14ac:dyDescent="0.35">
      <c r="A375" s="2">
        <v>45478</v>
      </c>
      <c r="B375">
        <v>224.81309509277341</v>
      </c>
      <c r="C375">
        <v>878.65234375</v>
      </c>
      <c r="D375">
        <v>139.93583679199219</v>
      </c>
      <c r="E375">
        <v>198.42814636230469</v>
      </c>
      <c r="F375">
        <v>68.99700927734375</v>
      </c>
      <c r="G375">
        <v>159.0600280761719</v>
      </c>
      <c r="H375">
        <v>5567.18994140625</v>
      </c>
      <c r="I375" s="13">
        <f t="shared" si="47"/>
        <v>2.1390014491183752E-2</v>
      </c>
      <c r="J375" s="13">
        <f t="shared" si="48"/>
        <v>2.6323732416074851E-2</v>
      </c>
      <c r="K375" s="13">
        <f t="shared" si="49"/>
        <v>5.4076700216250176E-3</v>
      </c>
      <c r="L375" s="13">
        <f t="shared" si="50"/>
        <v>-1.3339157671015274E-2</v>
      </c>
      <c r="M375" s="13">
        <f t="shared" si="51"/>
        <v>3.6130571820023271E-3</v>
      </c>
      <c r="N375" s="13">
        <f t="shared" si="52"/>
        <v>8.3880825957208961E-3</v>
      </c>
      <c r="O375" s="13">
        <f t="shared" si="53"/>
        <v>5.4339743609695401E-3</v>
      </c>
    </row>
    <row r="376" spans="1:15" x14ac:dyDescent="0.35">
      <c r="A376" s="2">
        <v>45481</v>
      </c>
      <c r="B376">
        <v>226.28309631347659</v>
      </c>
      <c r="C376">
        <v>873.8607177734375</v>
      </c>
      <c r="D376">
        <v>138.98051452636719</v>
      </c>
      <c r="E376">
        <v>198.79634094238281</v>
      </c>
      <c r="F376">
        <v>69.016159057617188</v>
      </c>
      <c r="G376">
        <v>160.3212585449219</v>
      </c>
      <c r="H376">
        <v>5572.85009765625</v>
      </c>
      <c r="I376" s="13">
        <f t="shared" si="47"/>
        <v>6.5174854153798364E-3</v>
      </c>
      <c r="J376" s="13">
        <f t="shared" si="48"/>
        <v>-5.4683049408692282E-3</v>
      </c>
      <c r="K376" s="13">
        <f t="shared" si="49"/>
        <v>-6.8502688846234852E-3</v>
      </c>
      <c r="L376" s="13">
        <f t="shared" si="50"/>
        <v>1.8538367965410657E-3</v>
      </c>
      <c r="M376" s="13">
        <f t="shared" si="51"/>
        <v>2.7750656879147736E-4</v>
      </c>
      <c r="N376" s="13">
        <f t="shared" si="52"/>
        <v>7.8980020289760675E-3</v>
      </c>
      <c r="O376" s="13">
        <f t="shared" si="53"/>
        <v>1.0161824764044329E-3</v>
      </c>
    </row>
    <row r="377" spans="1:15" x14ac:dyDescent="0.35">
      <c r="A377" s="2">
        <v>45482</v>
      </c>
      <c r="B377">
        <v>227.13728332519531</v>
      </c>
      <c r="C377">
        <v>879.822998046875</v>
      </c>
      <c r="D377">
        <v>140.4803466796875</v>
      </c>
      <c r="E377">
        <v>201.1799621582031</v>
      </c>
      <c r="F377">
        <v>69.025726318359375</v>
      </c>
      <c r="G377">
        <v>159.49327087402341</v>
      </c>
      <c r="H377">
        <v>5576.97998046875</v>
      </c>
      <c r="I377" s="13">
        <f t="shared" si="47"/>
        <v>3.767753107611935E-3</v>
      </c>
      <c r="J377" s="13">
        <f t="shared" si="48"/>
        <v>6.7997475172746936E-3</v>
      </c>
      <c r="K377" s="13">
        <f t="shared" si="49"/>
        <v>1.0733857665583948E-2</v>
      </c>
      <c r="L377" s="13">
        <f t="shared" si="50"/>
        <v>1.1918953276309501E-2</v>
      </c>
      <c r="M377" s="13">
        <f t="shared" si="51"/>
        <v>1.3861388130784248E-4</v>
      </c>
      <c r="N377" s="13">
        <f t="shared" si="52"/>
        <v>-5.1779356137110757E-3</v>
      </c>
      <c r="O377" s="13">
        <f t="shared" si="53"/>
        <v>7.4079747806547519E-4</v>
      </c>
    </row>
    <row r="378" spans="1:15" x14ac:dyDescent="0.35">
      <c r="A378" s="2">
        <v>45483</v>
      </c>
      <c r="B378">
        <v>231.40827941894531</v>
      </c>
      <c r="C378">
        <v>877.30316162109375</v>
      </c>
      <c r="D378">
        <v>142.7540283203125</v>
      </c>
      <c r="E378">
        <v>201.34466552734381</v>
      </c>
      <c r="F378">
        <v>69.772254943847656</v>
      </c>
      <c r="G378">
        <v>160.59083557128909</v>
      </c>
      <c r="H378">
        <v>5633.91015625</v>
      </c>
      <c r="I378" s="13">
        <f t="shared" si="47"/>
        <v>1.8628986765803959E-2</v>
      </c>
      <c r="J378" s="13">
        <f t="shared" si="48"/>
        <v>-2.8681357218511326E-3</v>
      </c>
      <c r="K378" s="13">
        <f t="shared" si="49"/>
        <v>1.6055469838563853E-2</v>
      </c>
      <c r="L378" s="13">
        <f t="shared" si="50"/>
        <v>8.1835180758764968E-4</v>
      </c>
      <c r="M378" s="13">
        <f t="shared" si="51"/>
        <v>1.0757156804261068E-2</v>
      </c>
      <c r="N378" s="13">
        <f t="shared" si="52"/>
        <v>6.8580037365361451E-3</v>
      </c>
      <c r="O378" s="13">
        <f t="shared" si="53"/>
        <v>1.0156314878105886E-2</v>
      </c>
    </row>
    <row r="379" spans="1:15" x14ac:dyDescent="0.35">
      <c r="A379" s="2">
        <v>45484</v>
      </c>
      <c r="B379">
        <v>226.0347900390625</v>
      </c>
      <c r="C379">
        <v>839.88214111328125</v>
      </c>
      <c r="D379">
        <v>143.01197814941409</v>
      </c>
      <c r="E379">
        <v>201.0055236816406</v>
      </c>
      <c r="F379">
        <v>71.495025634765625</v>
      </c>
      <c r="G379">
        <v>159.37773132324219</v>
      </c>
      <c r="H379">
        <v>5584.5400390625</v>
      </c>
      <c r="I379" s="13">
        <f t="shared" si="47"/>
        <v>-2.349466815283793E-2</v>
      </c>
      <c r="J379" s="13">
        <f t="shared" si="48"/>
        <v>-4.3591039141458267E-2</v>
      </c>
      <c r="K379" s="13">
        <f t="shared" si="49"/>
        <v>1.8053224898732518E-3</v>
      </c>
      <c r="L379" s="13">
        <f t="shared" si="50"/>
        <v>-1.6858047298960116E-3</v>
      </c>
      <c r="M379" s="13">
        <f t="shared" si="51"/>
        <v>2.439143863237327E-2</v>
      </c>
      <c r="N379" s="13">
        <f t="shared" si="52"/>
        <v>-7.5826827135611636E-3</v>
      </c>
      <c r="O379" s="13">
        <f t="shared" si="53"/>
        <v>-8.8016499692667241E-3</v>
      </c>
    </row>
    <row r="380" spans="1:15" x14ac:dyDescent="0.35">
      <c r="A380" s="2">
        <v>45485</v>
      </c>
      <c r="B380">
        <v>228.9847412109375</v>
      </c>
      <c r="C380">
        <v>836.2213134765625</v>
      </c>
      <c r="D380">
        <v>143.18394470214841</v>
      </c>
      <c r="E380">
        <v>198.57350158691409</v>
      </c>
      <c r="F380">
        <v>72.739265441894531</v>
      </c>
      <c r="G380">
        <v>160.40791320800781</v>
      </c>
      <c r="H380">
        <v>5615.35009765625</v>
      </c>
      <c r="I380" s="13">
        <f t="shared" si="47"/>
        <v>1.2966443416609821E-2</v>
      </c>
      <c r="J380" s="13">
        <f t="shared" si="48"/>
        <v>-4.368266705665578E-3</v>
      </c>
      <c r="K380" s="13">
        <f t="shared" si="49"/>
        <v>1.2017402045198431E-3</v>
      </c>
      <c r="L380" s="13">
        <f t="shared" si="50"/>
        <v>-1.2173072023405569E-2</v>
      </c>
      <c r="M380" s="13">
        <f t="shared" si="51"/>
        <v>1.7253465363114309E-2</v>
      </c>
      <c r="N380" s="13">
        <f t="shared" si="52"/>
        <v>6.4429749497320063E-3</v>
      </c>
      <c r="O380" s="13">
        <f t="shared" si="53"/>
        <v>5.5018640249651198E-3</v>
      </c>
    </row>
    <row r="381" spans="1:15" x14ac:dyDescent="0.35">
      <c r="A381" s="2">
        <v>45488</v>
      </c>
      <c r="B381">
        <v>232.81871032714841</v>
      </c>
      <c r="C381">
        <v>842.0050048828125</v>
      </c>
      <c r="D381">
        <v>142.5725402832031</v>
      </c>
      <c r="E381">
        <v>203.52473449707031</v>
      </c>
      <c r="F381">
        <v>67.925064086914063</v>
      </c>
      <c r="G381">
        <v>158.45347595214841</v>
      </c>
      <c r="H381">
        <v>5631.22021484375</v>
      </c>
      <c r="I381" s="13">
        <f t="shared" si="47"/>
        <v>1.6604714381242461E-2</v>
      </c>
      <c r="J381" s="13">
        <f t="shared" si="48"/>
        <v>6.8926511769031714E-3</v>
      </c>
      <c r="K381" s="13">
        <f t="shared" si="49"/>
        <v>-4.2792054357687756E-3</v>
      </c>
      <c r="L381" s="13">
        <f t="shared" si="50"/>
        <v>2.4628226275488826E-2</v>
      </c>
      <c r="M381" s="13">
        <f t="shared" si="51"/>
        <v>-6.8476242293920048E-2</v>
      </c>
      <c r="N381" s="13">
        <f t="shared" si="52"/>
        <v>-1.2259005315997613E-2</v>
      </c>
      <c r="O381" s="13">
        <f t="shared" si="53"/>
        <v>2.8222164233526843E-3</v>
      </c>
    </row>
    <row r="382" spans="1:15" x14ac:dyDescent="0.35">
      <c r="A382" s="2">
        <v>45489</v>
      </c>
      <c r="B382">
        <v>233.23588562011719</v>
      </c>
      <c r="C382">
        <v>844.0289306640625</v>
      </c>
      <c r="D382">
        <v>144.2634582519531</v>
      </c>
      <c r="E382">
        <v>206.9838562011719</v>
      </c>
      <c r="F382">
        <v>68.815162658691406</v>
      </c>
      <c r="G382">
        <v>160.73524475097659</v>
      </c>
      <c r="H382">
        <v>5667.2001953125</v>
      </c>
      <c r="I382" s="13">
        <f t="shared" si="47"/>
        <v>1.7902426368753997E-3</v>
      </c>
      <c r="J382" s="13">
        <f t="shared" si="48"/>
        <v>2.4008137804612541E-3</v>
      </c>
      <c r="K382" s="13">
        <f t="shared" si="49"/>
        <v>1.1790274340011824E-2</v>
      </c>
      <c r="L382" s="13">
        <f t="shared" si="50"/>
        <v>1.685325792097098E-2</v>
      </c>
      <c r="M382" s="13">
        <f t="shared" si="51"/>
        <v>1.3019009331319803E-2</v>
      </c>
      <c r="N382" s="13">
        <f t="shared" si="52"/>
        <v>1.4297545750147437E-2</v>
      </c>
      <c r="O382" s="13">
        <f t="shared" si="53"/>
        <v>6.3690499714532745E-3</v>
      </c>
    </row>
    <row r="383" spans="1:15" x14ac:dyDescent="0.35">
      <c r="A383" s="2">
        <v>45490</v>
      </c>
      <c r="B383">
        <v>227.33595275878909</v>
      </c>
      <c r="C383">
        <v>839.5745849609375</v>
      </c>
      <c r="D383">
        <v>149.58460998535159</v>
      </c>
      <c r="E383">
        <v>210.13288879394531</v>
      </c>
      <c r="F383">
        <v>67.858070373535156</v>
      </c>
      <c r="G383">
        <v>163.132568359375</v>
      </c>
      <c r="H383">
        <v>5588.27001953125</v>
      </c>
      <c r="I383" s="13">
        <f t="shared" si="47"/>
        <v>-2.5621434577345316E-2</v>
      </c>
      <c r="J383" s="13">
        <f t="shared" si="48"/>
        <v>-5.2914549715140811E-3</v>
      </c>
      <c r="K383" s="13">
        <f t="shared" si="49"/>
        <v>3.6220986675633483E-2</v>
      </c>
      <c r="L383" s="13">
        <f t="shared" si="50"/>
        <v>1.5099333504553855E-2</v>
      </c>
      <c r="M383" s="13">
        <f t="shared" si="51"/>
        <v>-1.4005784589988392E-2</v>
      </c>
      <c r="N383" s="13">
        <f t="shared" si="52"/>
        <v>1.4804604209306189E-2</v>
      </c>
      <c r="O383" s="13">
        <f t="shared" si="53"/>
        <v>-1.4025441523645543E-2</v>
      </c>
    </row>
    <row r="384" spans="1:15" x14ac:dyDescent="0.35">
      <c r="A384" s="2">
        <v>45491</v>
      </c>
      <c r="B384">
        <v>222.66766357421881</v>
      </c>
      <c r="C384">
        <v>832.71929931640625</v>
      </c>
      <c r="D384">
        <v>148.47642517089841</v>
      </c>
      <c r="E384">
        <v>203.45692443847659</v>
      </c>
      <c r="F384">
        <v>68.595039367675781</v>
      </c>
      <c r="G384">
        <v>162.1697998046875</v>
      </c>
      <c r="H384">
        <v>5544.58984375</v>
      </c>
      <c r="I384" s="13">
        <f t="shared" si="47"/>
        <v>-2.0748529520096631E-2</v>
      </c>
      <c r="J384" s="13">
        <f t="shared" si="48"/>
        <v>-8.1987073077063807E-3</v>
      </c>
      <c r="K384" s="13">
        <f t="shared" si="49"/>
        <v>-7.4359932367412561E-3</v>
      </c>
      <c r="L384" s="13">
        <f t="shared" si="50"/>
        <v>-3.2285825406626403E-2</v>
      </c>
      <c r="M384" s="13">
        <f t="shared" si="51"/>
        <v>1.0801896144082881E-2</v>
      </c>
      <c r="N384" s="13">
        <f t="shared" si="52"/>
        <v>-5.9192398210632484E-3</v>
      </c>
      <c r="O384" s="13">
        <f t="shared" si="53"/>
        <v>-7.8471121453500721E-3</v>
      </c>
    </row>
    <row r="385" spans="1:15" x14ac:dyDescent="0.35">
      <c r="A385" s="2">
        <v>45492</v>
      </c>
      <c r="B385">
        <v>222.79676818847659</v>
      </c>
      <c r="C385">
        <v>831.48907470703125</v>
      </c>
      <c r="D385">
        <v>147.77906799316409</v>
      </c>
      <c r="E385">
        <v>203.26313781738281</v>
      </c>
      <c r="F385">
        <v>68.910873413085938</v>
      </c>
      <c r="G385">
        <v>162.68022155761719</v>
      </c>
      <c r="H385">
        <v>5505</v>
      </c>
      <c r="I385" s="13">
        <f t="shared" si="47"/>
        <v>5.7964052196796394E-4</v>
      </c>
      <c r="J385" s="13">
        <f t="shared" si="48"/>
        <v>-1.4784504785152711E-3</v>
      </c>
      <c r="K385" s="13">
        <f t="shared" si="49"/>
        <v>-4.7078179599539744E-3</v>
      </c>
      <c r="L385" s="13">
        <f t="shared" si="50"/>
        <v>-9.5292390880920871E-4</v>
      </c>
      <c r="M385" s="13">
        <f t="shared" si="51"/>
        <v>4.5937602890483986E-3</v>
      </c>
      <c r="N385" s="13">
        <f t="shared" si="52"/>
        <v>3.1425097085681962E-3</v>
      </c>
      <c r="O385" s="13">
        <f t="shared" si="53"/>
        <v>-7.1658792264060849E-3</v>
      </c>
    </row>
    <row r="386" spans="1:15" x14ac:dyDescent="0.35">
      <c r="A386" s="2">
        <v>45495</v>
      </c>
      <c r="B386">
        <v>222.4491271972656</v>
      </c>
      <c r="C386">
        <v>840.70538330078125</v>
      </c>
      <c r="D386">
        <v>147.34913635253909</v>
      </c>
      <c r="E386">
        <v>203.74761962890619</v>
      </c>
      <c r="F386">
        <v>69.772254943847656</v>
      </c>
      <c r="G386">
        <v>162.96110534667969</v>
      </c>
      <c r="H386">
        <v>5564.41015625</v>
      </c>
      <c r="I386" s="13">
        <f t="shared" si="47"/>
        <v>-1.5615688564777634E-3</v>
      </c>
      <c r="J386" s="13">
        <f t="shared" si="48"/>
        <v>1.1023122187295105E-2</v>
      </c>
      <c r="K386" s="13">
        <f t="shared" si="49"/>
        <v>-2.91352665331285E-3</v>
      </c>
      <c r="L386" s="13">
        <f t="shared" si="50"/>
        <v>2.3806842029740118E-3</v>
      </c>
      <c r="M386" s="13">
        <f t="shared" si="51"/>
        <v>1.2422457123970143E-2</v>
      </c>
      <c r="N386" s="13">
        <f t="shared" si="52"/>
        <v>1.7251118670480916E-3</v>
      </c>
      <c r="O386" s="13">
        <f t="shared" si="53"/>
        <v>1.0734217246220293E-2</v>
      </c>
    </row>
    <row r="387" spans="1:15" x14ac:dyDescent="0.35">
      <c r="A387" s="2">
        <v>45496</v>
      </c>
      <c r="B387">
        <v>223.49205017089841</v>
      </c>
      <c r="C387">
        <v>845.3582763671875</v>
      </c>
      <c r="D387">
        <v>145.5436096191406</v>
      </c>
      <c r="E387">
        <v>203.79606628417969</v>
      </c>
      <c r="F387">
        <v>69.016159057617188</v>
      </c>
      <c r="G387">
        <v>161.38232421875</v>
      </c>
      <c r="H387">
        <v>5555.740234375</v>
      </c>
      <c r="I387" s="13">
        <f t="shared" si="47"/>
        <v>4.6774100621249795E-3</v>
      </c>
      <c r="J387" s="13">
        <f t="shared" si="48"/>
        <v>5.5192517211830605E-3</v>
      </c>
      <c r="K387" s="13">
        <f t="shared" si="49"/>
        <v>-1.2329083796902415E-2</v>
      </c>
      <c r="L387" s="13">
        <f t="shared" si="50"/>
        <v>2.3774950846386291E-4</v>
      </c>
      <c r="M387" s="13">
        <f t="shared" si="51"/>
        <v>-1.0895770685568825E-2</v>
      </c>
      <c r="N387" s="13">
        <f t="shared" si="52"/>
        <v>-9.7353203627373232E-3</v>
      </c>
      <c r="O387" s="13">
        <f t="shared" si="53"/>
        <v>-1.5593176939461904E-3</v>
      </c>
    </row>
    <row r="388" spans="1:15" x14ac:dyDescent="0.35">
      <c r="A388" s="2">
        <v>45497</v>
      </c>
      <c r="B388">
        <v>217.06568908691409</v>
      </c>
      <c r="C388">
        <v>824.2369384765625</v>
      </c>
      <c r="D388">
        <v>149.29801940917969</v>
      </c>
      <c r="E388">
        <v>202.110107421875</v>
      </c>
      <c r="F388">
        <v>72.174568176269531</v>
      </c>
      <c r="G388">
        <v>162.7189636230469</v>
      </c>
      <c r="H388">
        <v>5427.1298828125</v>
      </c>
      <c r="I388" s="13">
        <f t="shared" si="47"/>
        <v>-2.9175821298000663E-2</v>
      </c>
      <c r="J388" s="13">
        <f t="shared" si="48"/>
        <v>-2.5302497926508186E-2</v>
      </c>
      <c r="K388" s="13">
        <f t="shared" si="49"/>
        <v>2.5468674439007299E-2</v>
      </c>
      <c r="L388" s="13">
        <f t="shared" si="50"/>
        <v>-8.3071836157116233E-3</v>
      </c>
      <c r="M388" s="13">
        <f t="shared" si="51"/>
        <v>4.474707610125761E-2</v>
      </c>
      <c r="N388" s="13">
        <f t="shared" si="52"/>
        <v>8.2483287330911044E-3</v>
      </c>
      <c r="O388" s="13">
        <f t="shared" si="53"/>
        <v>-2.3421242222892859E-2</v>
      </c>
    </row>
    <row r="389" spans="1:15" x14ac:dyDescent="0.35">
      <c r="A389" s="2">
        <v>45498</v>
      </c>
      <c r="B389">
        <v>216.0227966308594</v>
      </c>
      <c r="C389">
        <v>809.48480224609375</v>
      </c>
      <c r="D389">
        <v>152.5079040527344</v>
      </c>
      <c r="E389">
        <v>202.18763732910159</v>
      </c>
      <c r="F389">
        <v>70.289093017578125</v>
      </c>
      <c r="G389">
        <v>161.6535339355469</v>
      </c>
      <c r="H389">
        <v>5399.22021484375</v>
      </c>
      <c r="I389" s="13">
        <f t="shared" ref="I389:I452" si="54">LN(B389/B388)</f>
        <v>-4.8160803449554621E-3</v>
      </c>
      <c r="J389" s="13">
        <f t="shared" ref="J389:J452" si="55">LN(C389/C388)</f>
        <v>-1.8060036577435837E-2</v>
      </c>
      <c r="K389" s="13">
        <f t="shared" ref="K389:K452" si="56">LN(D389/D388)</f>
        <v>2.1271985947273198E-2</v>
      </c>
      <c r="L389" s="13">
        <f t="shared" ref="L389:L452" si="57">LN(E389/E388)</f>
        <v>3.8352876900018298E-4</v>
      </c>
      <c r="M389" s="13">
        <f t="shared" ref="M389:M452" si="58">LN(F389/F388)</f>
        <v>-2.6471104851416759E-2</v>
      </c>
      <c r="N389" s="13">
        <f t="shared" ref="N389:N452" si="59">LN(G389/G388)</f>
        <v>-6.5691976170035339E-3</v>
      </c>
      <c r="O389" s="13">
        <f t="shared" ref="O389:O452" si="60">LN(H389/H388)</f>
        <v>-5.1558890197172594E-3</v>
      </c>
    </row>
    <row r="390" spans="1:15" x14ac:dyDescent="0.35">
      <c r="A390" s="2">
        <v>45499</v>
      </c>
      <c r="B390">
        <v>216.4896240234375</v>
      </c>
      <c r="C390">
        <v>812.2764892578125</v>
      </c>
      <c r="D390">
        <v>153.4632263183594</v>
      </c>
      <c r="E390">
        <v>205.64671325683591</v>
      </c>
      <c r="F390">
        <v>71.07391357421875</v>
      </c>
      <c r="G390">
        <v>163.7940673828125</v>
      </c>
      <c r="H390">
        <v>5459.10009765625</v>
      </c>
      <c r="I390" s="13">
        <f t="shared" si="54"/>
        <v>2.1586782324184671E-3</v>
      </c>
      <c r="J390" s="13">
        <f t="shared" si="55"/>
        <v>3.4427875221617857E-3</v>
      </c>
      <c r="K390" s="13">
        <f t="shared" si="56"/>
        <v>6.2445458093518501E-3</v>
      </c>
      <c r="L390" s="13">
        <f t="shared" si="57"/>
        <v>1.6963548418992957E-2</v>
      </c>
      <c r="M390" s="13">
        <f t="shared" si="58"/>
        <v>1.1103734125547712E-2</v>
      </c>
      <c r="N390" s="13">
        <f t="shared" si="59"/>
        <v>1.3154586517515509E-2</v>
      </c>
      <c r="O390" s="13">
        <f t="shared" si="60"/>
        <v>1.1029420409570924E-2</v>
      </c>
    </row>
    <row r="391" spans="1:15" x14ac:dyDescent="0.35">
      <c r="A391" s="2">
        <v>45502</v>
      </c>
      <c r="B391">
        <v>216.7677307128906</v>
      </c>
      <c r="C391">
        <v>810.249755859375</v>
      </c>
      <c r="D391">
        <v>151.4761657714844</v>
      </c>
      <c r="E391">
        <v>204.2999267578125</v>
      </c>
      <c r="F391">
        <v>71.150466918945313</v>
      </c>
      <c r="G391">
        <v>164.58827209472659</v>
      </c>
      <c r="H391">
        <v>5463.5400390625</v>
      </c>
      <c r="I391" s="13">
        <f t="shared" si="54"/>
        <v>1.2837946066427013E-3</v>
      </c>
      <c r="J391" s="13">
        <f t="shared" si="55"/>
        <v>-2.4982455089966483E-3</v>
      </c>
      <c r="K391" s="13">
        <f t="shared" si="56"/>
        <v>-1.303267943498432E-2</v>
      </c>
      <c r="L391" s="13">
        <f t="shared" si="57"/>
        <v>-6.5705690101669056E-3</v>
      </c>
      <c r="M391" s="13">
        <f t="shared" si="58"/>
        <v>1.0765151776952564E-3</v>
      </c>
      <c r="N391" s="13">
        <f t="shared" si="59"/>
        <v>4.8370826622535969E-3</v>
      </c>
      <c r="O391" s="13">
        <f t="shared" si="60"/>
        <v>8.1297957182845169E-4</v>
      </c>
    </row>
    <row r="392" spans="1:15" x14ac:dyDescent="0.35">
      <c r="A392" s="2">
        <v>45503</v>
      </c>
      <c r="B392">
        <v>217.32395935058591</v>
      </c>
      <c r="C392">
        <v>804.75579833984375</v>
      </c>
      <c r="D392">
        <v>154.12242126464841</v>
      </c>
      <c r="E392">
        <v>208.5050964355469</v>
      </c>
      <c r="F392">
        <v>71.093048095703125</v>
      </c>
      <c r="G392">
        <v>156.61698913574219</v>
      </c>
      <c r="H392">
        <v>5436.43994140625</v>
      </c>
      <c r="I392" s="13">
        <f t="shared" si="54"/>
        <v>2.5627255939229938E-3</v>
      </c>
      <c r="J392" s="13">
        <f t="shared" si="55"/>
        <v>-6.8036654092096449E-3</v>
      </c>
      <c r="K392" s="13">
        <f t="shared" si="56"/>
        <v>1.7318938957801577E-2</v>
      </c>
      <c r="L392" s="13">
        <f t="shared" si="57"/>
        <v>2.037434095568735E-2</v>
      </c>
      <c r="M392" s="13">
        <f t="shared" si="58"/>
        <v>-8.0733137612630545E-4</v>
      </c>
      <c r="N392" s="13">
        <f t="shared" si="59"/>
        <v>-4.9643769631951683E-2</v>
      </c>
      <c r="O392" s="13">
        <f t="shared" si="60"/>
        <v>-4.9725143613676215E-3</v>
      </c>
    </row>
    <row r="393" spans="1:15" x14ac:dyDescent="0.35">
      <c r="A393" s="2">
        <v>45504</v>
      </c>
      <c r="B393">
        <v>220.5818176269531</v>
      </c>
      <c r="C393">
        <v>816.6478271484375</v>
      </c>
      <c r="D393">
        <v>150.79789733886719</v>
      </c>
      <c r="E393">
        <v>206.1893310546875</v>
      </c>
      <c r="F393">
        <v>73.112525939941406</v>
      </c>
      <c r="G393">
        <v>155.70654296875</v>
      </c>
      <c r="H393">
        <v>5522.2998046875</v>
      </c>
      <c r="I393" s="13">
        <f t="shared" si="54"/>
        <v>1.4879540554657331E-2</v>
      </c>
      <c r="J393" s="13">
        <f t="shared" si="55"/>
        <v>1.4669070509521306E-2</v>
      </c>
      <c r="K393" s="13">
        <f t="shared" si="56"/>
        <v>-2.1806717790077434E-2</v>
      </c>
      <c r="L393" s="13">
        <f t="shared" si="57"/>
        <v>-1.1168654794731123E-2</v>
      </c>
      <c r="M393" s="13">
        <f t="shared" si="58"/>
        <v>2.8010149966945268E-2</v>
      </c>
      <c r="N393" s="13">
        <f t="shared" si="59"/>
        <v>-5.8301642515156274E-3</v>
      </c>
      <c r="O393" s="13">
        <f t="shared" si="60"/>
        <v>1.5669980701917767E-2</v>
      </c>
    </row>
    <row r="394" spans="1:15" x14ac:dyDescent="0.35">
      <c r="A394" s="2">
        <v>45505</v>
      </c>
      <c r="B394">
        <v>216.8869323730469</v>
      </c>
      <c r="C394">
        <v>811.57110595703125</v>
      </c>
      <c r="D394">
        <v>153.577880859375</v>
      </c>
      <c r="E394">
        <v>201.49971008300781</v>
      </c>
      <c r="F394">
        <v>75.026710510253906</v>
      </c>
      <c r="G394">
        <v>160.4815673828125</v>
      </c>
      <c r="H394">
        <v>5446.68017578125</v>
      </c>
      <c r="I394" s="13">
        <f t="shared" si="54"/>
        <v>-1.6892512285401461E-2</v>
      </c>
      <c r="J394" s="13">
        <f t="shared" si="55"/>
        <v>-6.2359398231880362E-3</v>
      </c>
      <c r="K394" s="13">
        <f t="shared" si="56"/>
        <v>1.8267293421670952E-2</v>
      </c>
      <c r="L394" s="13">
        <f t="shared" si="57"/>
        <v>-2.300688688965119E-2</v>
      </c>
      <c r="M394" s="13">
        <f t="shared" si="58"/>
        <v>2.5844484706212461E-2</v>
      </c>
      <c r="N394" s="13">
        <f t="shared" si="59"/>
        <v>3.0205990130286815E-2</v>
      </c>
      <c r="O394" s="13">
        <f t="shared" si="60"/>
        <v>-1.3788123791990166E-2</v>
      </c>
    </row>
    <row r="395" spans="1:15" x14ac:dyDescent="0.35">
      <c r="A395" s="2">
        <v>45506</v>
      </c>
      <c r="B395">
        <v>218.3768005371094</v>
      </c>
      <c r="C395">
        <v>816.727294921875</v>
      </c>
      <c r="D395">
        <v>156.80686950683591</v>
      </c>
      <c r="E395">
        <v>192.95365905761719</v>
      </c>
      <c r="F395">
        <v>75.801963806152344</v>
      </c>
      <c r="G395">
        <v>164.73359680175781</v>
      </c>
      <c r="H395">
        <v>5346.56005859375</v>
      </c>
      <c r="I395" s="13">
        <f t="shared" si="54"/>
        <v>6.8458448064398604E-3</v>
      </c>
      <c r="J395" s="13">
        <f t="shared" si="55"/>
        <v>6.3332448114010193E-3</v>
      </c>
      <c r="K395" s="13">
        <f t="shared" si="56"/>
        <v>2.0807112064876222E-2</v>
      </c>
      <c r="L395" s="13">
        <f t="shared" si="57"/>
        <v>-4.3337891027230034E-2</v>
      </c>
      <c r="M395" s="13">
        <f t="shared" si="58"/>
        <v>1.0280009775423296E-2</v>
      </c>
      <c r="N395" s="13">
        <f t="shared" si="59"/>
        <v>2.6150513240298372E-2</v>
      </c>
      <c r="O395" s="13">
        <f t="shared" si="60"/>
        <v>-1.8552906608553271E-2</v>
      </c>
    </row>
    <row r="396" spans="1:15" x14ac:dyDescent="0.35">
      <c r="A396" s="2">
        <v>45509</v>
      </c>
      <c r="B396">
        <v>207.8582458496094</v>
      </c>
      <c r="C396">
        <v>796.6092529296875</v>
      </c>
      <c r="D396">
        <v>154.04597473144531</v>
      </c>
      <c r="E396">
        <v>188.84538269042969</v>
      </c>
      <c r="F396">
        <v>73.390083312988281</v>
      </c>
      <c r="G396">
        <v>162.7770690917969</v>
      </c>
      <c r="H396">
        <v>5186.330078125</v>
      </c>
      <c r="I396" s="13">
        <f t="shared" si="54"/>
        <v>-4.9365676552411211E-2</v>
      </c>
      <c r="J396" s="13">
        <f t="shared" si="55"/>
        <v>-2.494096458676754E-2</v>
      </c>
      <c r="K396" s="13">
        <f t="shared" si="56"/>
        <v>-1.7763822509542365E-2</v>
      </c>
      <c r="L396" s="13">
        <f t="shared" si="57"/>
        <v>-2.1521452318719703E-2</v>
      </c>
      <c r="M396" s="13">
        <f t="shared" si="58"/>
        <v>-3.2335378280283038E-2</v>
      </c>
      <c r="N396" s="13">
        <f t="shared" si="59"/>
        <v>-1.1948013845081235E-2</v>
      </c>
      <c r="O396" s="13">
        <f t="shared" si="60"/>
        <v>-3.0427041392393099E-2</v>
      </c>
    </row>
    <row r="397" spans="1:15" x14ac:dyDescent="0.35">
      <c r="A397" s="2">
        <v>45510</v>
      </c>
      <c r="B397">
        <v>205.8320007324219</v>
      </c>
      <c r="C397">
        <v>811.5611572265625</v>
      </c>
      <c r="D397">
        <v>151.8678283691406</v>
      </c>
      <c r="E397">
        <v>194.11639404296881</v>
      </c>
      <c r="F397">
        <v>73.667633056640625</v>
      </c>
      <c r="G397">
        <v>162.80613708496091</v>
      </c>
      <c r="H397">
        <v>5240.02978515625</v>
      </c>
      <c r="I397" s="13">
        <f t="shared" si="54"/>
        <v>-9.7960313905698839E-3</v>
      </c>
      <c r="J397" s="13">
        <f t="shared" si="55"/>
        <v>1.8595461094180081E-2</v>
      </c>
      <c r="K397" s="13">
        <f t="shared" si="56"/>
        <v>-1.4240502712266012E-2</v>
      </c>
      <c r="L397" s="13">
        <f t="shared" si="57"/>
        <v>2.7529349201614671E-2</v>
      </c>
      <c r="M397" s="13">
        <f t="shared" si="58"/>
        <v>3.7747094142096221E-3</v>
      </c>
      <c r="N397" s="13">
        <f t="shared" si="59"/>
        <v>1.7855953679286313E-4</v>
      </c>
      <c r="O397" s="13">
        <f t="shared" si="60"/>
        <v>1.0300849493599515E-2</v>
      </c>
    </row>
    <row r="398" spans="1:15" x14ac:dyDescent="0.35">
      <c r="A398" s="2">
        <v>45511</v>
      </c>
      <c r="B398">
        <v>208.40452575683591</v>
      </c>
      <c r="C398">
        <v>805.02398681640625</v>
      </c>
      <c r="D398">
        <v>151.80096435546881</v>
      </c>
      <c r="E398">
        <v>194.17454528808591</v>
      </c>
      <c r="F398">
        <v>74.232322692871094</v>
      </c>
      <c r="G398">
        <v>164.67546081542969</v>
      </c>
      <c r="H398">
        <v>5199.5</v>
      </c>
      <c r="I398" s="13">
        <f t="shared" si="54"/>
        <v>1.2420720688285224E-2</v>
      </c>
      <c r="J398" s="13">
        <f t="shared" si="55"/>
        <v>-8.0876730402738E-3</v>
      </c>
      <c r="K398" s="13">
        <f t="shared" si="56"/>
        <v>-4.4037462099707684E-4</v>
      </c>
      <c r="L398" s="13">
        <f t="shared" si="57"/>
        <v>2.9952409217700308E-4</v>
      </c>
      <c r="M398" s="13">
        <f t="shared" si="58"/>
        <v>7.6361399476689504E-3</v>
      </c>
      <c r="N398" s="13">
        <f t="shared" si="59"/>
        <v>1.1416482915502464E-2</v>
      </c>
      <c r="O398" s="13">
        <f t="shared" si="60"/>
        <v>-7.764715388769489E-3</v>
      </c>
    </row>
    <row r="399" spans="1:15" x14ac:dyDescent="0.35">
      <c r="A399" s="2">
        <v>45512</v>
      </c>
      <c r="B399">
        <v>211.8710021972656</v>
      </c>
      <c r="C399">
        <v>833.96441650390625</v>
      </c>
      <c r="D399">
        <v>153.06201171875</v>
      </c>
      <c r="E399">
        <v>197.72084045410159</v>
      </c>
      <c r="F399">
        <v>74.213180541992188</v>
      </c>
      <c r="G399">
        <v>165.4987487792969</v>
      </c>
      <c r="H399">
        <v>5319.31005859375</v>
      </c>
      <c r="I399" s="13">
        <f t="shared" si="54"/>
        <v>1.6496582944345049E-2</v>
      </c>
      <c r="J399" s="13">
        <f t="shared" si="55"/>
        <v>3.5318661123967678E-2</v>
      </c>
      <c r="K399" s="13">
        <f t="shared" si="56"/>
        <v>8.2729268855401689E-3</v>
      </c>
      <c r="L399" s="13">
        <f t="shared" si="57"/>
        <v>1.809866661900196E-2</v>
      </c>
      <c r="M399" s="13">
        <f t="shared" si="58"/>
        <v>-2.5790139233412195E-4</v>
      </c>
      <c r="N399" s="13">
        <f t="shared" si="59"/>
        <v>4.9870016871040555E-3</v>
      </c>
      <c r="O399" s="13">
        <f t="shared" si="60"/>
        <v>2.2781139590898881E-2</v>
      </c>
    </row>
    <row r="400" spans="1:15" x14ac:dyDescent="0.35">
      <c r="A400" s="2">
        <v>45513</v>
      </c>
      <c r="B400">
        <v>214.78123474121091</v>
      </c>
      <c r="C400">
        <v>849.3634033203125</v>
      </c>
      <c r="D400">
        <v>153.44410705566409</v>
      </c>
      <c r="E400">
        <v>199.40678405761719</v>
      </c>
      <c r="F400">
        <v>74.136611938476563</v>
      </c>
      <c r="G400">
        <v>165.1791076660156</v>
      </c>
      <c r="H400">
        <v>5344.16015625</v>
      </c>
      <c r="I400" s="13">
        <f t="shared" si="54"/>
        <v>1.3642388007254754E-2</v>
      </c>
      <c r="J400" s="13">
        <f t="shared" si="55"/>
        <v>1.8296396234455586E-2</v>
      </c>
      <c r="K400" s="13">
        <f t="shared" si="56"/>
        <v>2.493232672639296E-3</v>
      </c>
      <c r="L400" s="13">
        <f t="shared" si="57"/>
        <v>8.4907401456015604E-3</v>
      </c>
      <c r="M400" s="13">
        <f t="shared" si="58"/>
        <v>-1.0322712156796122E-3</v>
      </c>
      <c r="N400" s="13">
        <f t="shared" si="59"/>
        <v>-1.9332483660737874E-3</v>
      </c>
      <c r="O400" s="13">
        <f t="shared" si="60"/>
        <v>4.6607984343816989E-3</v>
      </c>
    </row>
    <row r="401" spans="1:15" x14ac:dyDescent="0.35">
      <c r="A401" s="2">
        <v>45516</v>
      </c>
      <c r="B401">
        <v>216.3125915527344</v>
      </c>
      <c r="C401">
        <v>857.9471435546875</v>
      </c>
      <c r="D401">
        <v>152.73716735839841</v>
      </c>
      <c r="E401">
        <v>199.78466796875</v>
      </c>
      <c r="F401">
        <v>74.25146484375</v>
      </c>
      <c r="G401">
        <v>161.56636047363281</v>
      </c>
      <c r="H401">
        <v>5344.39013671875</v>
      </c>
      <c r="I401" s="13">
        <f t="shared" si="54"/>
        <v>7.1045473599131688E-3</v>
      </c>
      <c r="J401" s="13">
        <f t="shared" si="55"/>
        <v>1.0055361721209138E-2</v>
      </c>
      <c r="K401" s="13">
        <f t="shared" si="56"/>
        <v>-4.6177935267331244E-3</v>
      </c>
      <c r="L401" s="13">
        <f t="shared" si="57"/>
        <v>1.893247072741774E-3</v>
      </c>
      <c r="M401" s="13">
        <f t="shared" si="58"/>
        <v>1.5480075043688101E-3</v>
      </c>
      <c r="N401" s="13">
        <f t="shared" si="59"/>
        <v>-2.2114427144886633E-2</v>
      </c>
      <c r="O401" s="13">
        <f t="shared" si="60"/>
        <v>4.3033051720097097E-5</v>
      </c>
    </row>
    <row r="402" spans="1:15" x14ac:dyDescent="0.35">
      <c r="A402" s="2">
        <v>45517</v>
      </c>
      <c r="B402">
        <v>220.03167724609381</v>
      </c>
      <c r="C402">
        <v>859.18896484375</v>
      </c>
      <c r="D402">
        <v>151.31373596191409</v>
      </c>
      <c r="E402">
        <v>201.48030090332031</v>
      </c>
      <c r="F402">
        <v>74.768295288085938</v>
      </c>
      <c r="G402">
        <v>162.0312805175781</v>
      </c>
      <c r="H402">
        <v>5434.43017578125</v>
      </c>
      <c r="I402" s="13">
        <f t="shared" si="54"/>
        <v>1.7046978831008777E-2</v>
      </c>
      <c r="J402" s="13">
        <f t="shared" si="55"/>
        <v>1.4463868058953834E-3</v>
      </c>
      <c r="K402" s="13">
        <f t="shared" si="56"/>
        <v>-9.3631808370054671E-3</v>
      </c>
      <c r="L402" s="13">
        <f t="shared" si="57"/>
        <v>8.4514879644113101E-3</v>
      </c>
      <c r="M402" s="13">
        <f t="shared" si="58"/>
        <v>6.9364293179767517E-3</v>
      </c>
      <c r="N402" s="13">
        <f t="shared" si="59"/>
        <v>2.8734471760250642E-3</v>
      </c>
      <c r="O402" s="13">
        <f t="shared" si="60"/>
        <v>1.6707233419049988E-2</v>
      </c>
    </row>
    <row r="403" spans="1:15" x14ac:dyDescent="0.35">
      <c r="A403" s="2">
        <v>45518</v>
      </c>
      <c r="B403">
        <v>220.4791564941406</v>
      </c>
      <c r="C403">
        <v>857.09283447265625</v>
      </c>
      <c r="D403">
        <v>151.39970397949219</v>
      </c>
      <c r="E403">
        <v>203.70884704589841</v>
      </c>
      <c r="F403">
        <v>74.663032531738281</v>
      </c>
      <c r="G403">
        <v>163.49383544921881</v>
      </c>
      <c r="H403">
        <v>5455.2099609375</v>
      </c>
      <c r="I403" s="13">
        <f t="shared" si="54"/>
        <v>2.0316385781645133E-3</v>
      </c>
      <c r="J403" s="13">
        <f t="shared" si="55"/>
        <v>-2.4426424776425848E-3</v>
      </c>
      <c r="K403" s="13">
        <f t="shared" si="56"/>
        <v>5.6798284150097412E-4</v>
      </c>
      <c r="L403" s="13">
        <f t="shared" si="57"/>
        <v>1.1000139690594067E-2</v>
      </c>
      <c r="M403" s="13">
        <f t="shared" si="58"/>
        <v>-1.4088447890313091E-3</v>
      </c>
      <c r="N403" s="13">
        <f t="shared" si="59"/>
        <v>8.985879744340633E-3</v>
      </c>
      <c r="O403" s="13">
        <f t="shared" si="60"/>
        <v>3.8164365611984101E-3</v>
      </c>
    </row>
    <row r="404" spans="1:15" x14ac:dyDescent="0.35">
      <c r="A404" s="2">
        <v>45519</v>
      </c>
      <c r="B404">
        <v>223.46235656738281</v>
      </c>
      <c r="C404">
        <v>871.63739013671875</v>
      </c>
      <c r="D404">
        <v>151.98246765136719</v>
      </c>
      <c r="E404">
        <v>204.97816467285159</v>
      </c>
      <c r="F404">
        <v>74.088768005371094</v>
      </c>
      <c r="G404">
        <v>162.64146423339841</v>
      </c>
      <c r="H404">
        <v>5543.22021484375</v>
      </c>
      <c r="I404" s="13">
        <f t="shared" si="54"/>
        <v>1.3439810829061014E-2</v>
      </c>
      <c r="J404" s="13">
        <f t="shared" si="55"/>
        <v>1.6827262755643092E-2</v>
      </c>
      <c r="K404" s="13">
        <f t="shared" si="56"/>
        <v>3.8417840145822976E-3</v>
      </c>
      <c r="L404" s="13">
        <f t="shared" si="57"/>
        <v>6.2117056425541623E-3</v>
      </c>
      <c r="M404" s="13">
        <f t="shared" si="58"/>
        <v>-7.7211486145844334E-3</v>
      </c>
      <c r="N404" s="13">
        <f t="shared" si="59"/>
        <v>-5.2271137617254599E-3</v>
      </c>
      <c r="O404" s="13">
        <f t="shared" si="60"/>
        <v>1.6004489931304131E-2</v>
      </c>
    </row>
    <row r="405" spans="1:15" x14ac:dyDescent="0.35">
      <c r="A405" s="2">
        <v>45520</v>
      </c>
      <c r="B405">
        <v>224.78492736816409</v>
      </c>
      <c r="C405">
        <v>864.9215087890625</v>
      </c>
      <c r="D405">
        <v>152.2690734863281</v>
      </c>
      <c r="E405">
        <v>207.3229675292969</v>
      </c>
      <c r="F405">
        <v>75.198982238769531</v>
      </c>
      <c r="G405">
        <v>162.6124267578125</v>
      </c>
      <c r="H405">
        <v>5554.25</v>
      </c>
      <c r="I405" s="13">
        <f t="shared" si="54"/>
        <v>5.9010938210141287E-3</v>
      </c>
      <c r="J405" s="13">
        <f t="shared" si="55"/>
        <v>-7.7347388953034734E-3</v>
      </c>
      <c r="K405" s="13">
        <f t="shared" si="56"/>
        <v>1.8840063630530092E-3</v>
      </c>
      <c r="L405" s="13">
        <f t="shared" si="57"/>
        <v>1.1374347307388497E-2</v>
      </c>
      <c r="M405" s="13">
        <f t="shared" si="58"/>
        <v>1.4873754867373745E-2</v>
      </c>
      <c r="N405" s="13">
        <f t="shared" si="59"/>
        <v>-1.7855267203458334E-4</v>
      </c>
      <c r="O405" s="13">
        <f t="shared" si="60"/>
        <v>1.9878023683961516E-3</v>
      </c>
    </row>
    <row r="406" spans="1:15" x14ac:dyDescent="0.35">
      <c r="A406" s="2">
        <v>45523</v>
      </c>
      <c r="B406">
        <v>224.62580871582031</v>
      </c>
      <c r="C406">
        <v>866.66998291015625</v>
      </c>
      <c r="D406">
        <v>152.49835205078119</v>
      </c>
      <c r="E406">
        <v>208.75700378417969</v>
      </c>
      <c r="F406">
        <v>75.945526123046875</v>
      </c>
      <c r="G406">
        <v>163.1257629394531</v>
      </c>
      <c r="H406">
        <v>5608.25</v>
      </c>
      <c r="I406" s="13">
        <f t="shared" si="54"/>
        <v>-7.0812130737808103E-4</v>
      </c>
      <c r="J406" s="13">
        <f t="shared" si="55"/>
        <v>2.0195002386194194E-3</v>
      </c>
      <c r="K406" s="13">
        <f t="shared" si="56"/>
        <v>1.5046136069405932E-3</v>
      </c>
      <c r="L406" s="13">
        <f t="shared" si="57"/>
        <v>6.8931072482471822E-3</v>
      </c>
      <c r="M406" s="13">
        <f t="shared" si="58"/>
        <v>9.8786249458194253E-3</v>
      </c>
      <c r="N406" s="13">
        <f t="shared" si="59"/>
        <v>3.1518355712439263E-3</v>
      </c>
      <c r="O406" s="13">
        <f t="shared" si="60"/>
        <v>9.6753274361777754E-3</v>
      </c>
    </row>
    <row r="407" spans="1:15" x14ac:dyDescent="0.35">
      <c r="A407" s="2">
        <v>45524</v>
      </c>
      <c r="B407">
        <v>225.24235534667969</v>
      </c>
      <c r="C407">
        <v>870.49493408203125</v>
      </c>
      <c r="D407">
        <v>153.00468444824219</v>
      </c>
      <c r="E407">
        <v>207.85591125488281</v>
      </c>
      <c r="F407">
        <v>75.591400146484375</v>
      </c>
      <c r="G407">
        <v>165.0531921386719</v>
      </c>
      <c r="H407">
        <v>5597.1201171875</v>
      </c>
      <c r="I407" s="13">
        <f t="shared" si="54"/>
        <v>2.741011994753064E-3</v>
      </c>
      <c r="J407" s="13">
        <f t="shared" si="55"/>
        <v>4.4036778727232226E-3</v>
      </c>
      <c r="K407" s="13">
        <f t="shared" si="56"/>
        <v>3.3147484678147346E-3</v>
      </c>
      <c r="L407" s="13">
        <f t="shared" si="57"/>
        <v>-4.3258089315946491E-3</v>
      </c>
      <c r="M407" s="13">
        <f t="shared" si="58"/>
        <v>-4.6737997123108468E-3</v>
      </c>
      <c r="N407" s="13">
        <f t="shared" si="59"/>
        <v>1.1746343456933844E-2</v>
      </c>
      <c r="O407" s="13">
        <f t="shared" si="60"/>
        <v>-1.9865272376097089E-3</v>
      </c>
    </row>
    <row r="408" spans="1:15" x14ac:dyDescent="0.35">
      <c r="A408" s="2">
        <v>45525</v>
      </c>
      <c r="B408">
        <v>225.13294982910159</v>
      </c>
      <c r="C408">
        <v>875.68084716796875</v>
      </c>
      <c r="D408">
        <v>154.21791076660159</v>
      </c>
      <c r="E408">
        <v>207.93341064453119</v>
      </c>
      <c r="F408">
        <v>76.223091125488281</v>
      </c>
      <c r="G408">
        <v>164.8110656738281</v>
      </c>
      <c r="H408">
        <v>5620.85009765625</v>
      </c>
      <c r="I408" s="13">
        <f t="shared" si="54"/>
        <v>-4.8584155690955828E-4</v>
      </c>
      <c r="J408" s="13">
        <f t="shared" si="55"/>
        <v>5.9397551936031748E-3</v>
      </c>
      <c r="K408" s="13">
        <f t="shared" si="56"/>
        <v>7.8980689829017698E-3</v>
      </c>
      <c r="L408" s="13">
        <f t="shared" si="57"/>
        <v>3.7278201465994529E-4</v>
      </c>
      <c r="M408" s="13">
        <f t="shared" si="58"/>
        <v>8.3219278914214451E-3</v>
      </c>
      <c r="N408" s="13">
        <f t="shared" si="59"/>
        <v>-1.4680372461935245E-3</v>
      </c>
      <c r="O408" s="13">
        <f t="shared" si="60"/>
        <v>4.2307147210067959E-3</v>
      </c>
    </row>
    <row r="409" spans="1:15" x14ac:dyDescent="0.35">
      <c r="A409" s="2">
        <v>45526</v>
      </c>
      <c r="B409">
        <v>223.2734375</v>
      </c>
      <c r="C409">
        <v>871.8460693359375</v>
      </c>
      <c r="D409">
        <v>155.0968322753906</v>
      </c>
      <c r="E409">
        <v>209.90034484863281</v>
      </c>
      <c r="F409">
        <v>75.533973693847656</v>
      </c>
      <c r="G409">
        <v>164.8013916015625</v>
      </c>
      <c r="H409">
        <v>5570.64013671875</v>
      </c>
      <c r="I409" s="13">
        <f t="shared" si="54"/>
        <v>-8.2939183791634237E-3</v>
      </c>
      <c r="J409" s="13">
        <f t="shared" si="55"/>
        <v>-4.3888124997294694E-3</v>
      </c>
      <c r="K409" s="13">
        <f t="shared" si="56"/>
        <v>5.6830390021689638E-3</v>
      </c>
      <c r="L409" s="13">
        <f t="shared" si="57"/>
        <v>9.4149824307821952E-3</v>
      </c>
      <c r="M409" s="13">
        <f t="shared" si="58"/>
        <v>-9.0819121871281369E-3</v>
      </c>
      <c r="N409" s="13">
        <f t="shared" si="59"/>
        <v>-5.8699676270414073E-5</v>
      </c>
      <c r="O409" s="13">
        <f t="shared" si="60"/>
        <v>-8.9729422566572192E-3</v>
      </c>
    </row>
    <row r="410" spans="1:15" x14ac:dyDescent="0.35">
      <c r="A410" s="2">
        <v>45527</v>
      </c>
      <c r="B410">
        <v>225.57049560546881</v>
      </c>
      <c r="C410">
        <v>873.48529052734375</v>
      </c>
      <c r="D410">
        <v>156.79731750488281</v>
      </c>
      <c r="E410">
        <v>211.52815246582031</v>
      </c>
      <c r="F410">
        <v>76.242225646972656</v>
      </c>
      <c r="G410">
        <v>163.85218811035159</v>
      </c>
      <c r="H410">
        <v>5634.60986328125</v>
      </c>
      <c r="I410" s="13">
        <f t="shared" si="54"/>
        <v>1.0235531731609031E-2</v>
      </c>
      <c r="J410" s="13">
        <f t="shared" si="55"/>
        <v>1.8784074028467337E-3</v>
      </c>
      <c r="K410" s="13">
        <f t="shared" si="56"/>
        <v>1.0904353802918E-2</v>
      </c>
      <c r="L410" s="13">
        <f t="shared" si="57"/>
        <v>7.7252284696830908E-3</v>
      </c>
      <c r="M410" s="13">
        <f t="shared" si="58"/>
        <v>9.3329138180550664E-3</v>
      </c>
      <c r="N410" s="13">
        <f t="shared" si="59"/>
        <v>-5.7763322176675068E-3</v>
      </c>
      <c r="O410" s="13">
        <f t="shared" si="60"/>
        <v>1.141793740166443E-2</v>
      </c>
    </row>
    <row r="411" spans="1:15" x14ac:dyDescent="0.35">
      <c r="A411" s="2">
        <v>45530</v>
      </c>
      <c r="B411">
        <v>225.9085998535156</v>
      </c>
      <c r="C411">
        <v>886.69879150390625</v>
      </c>
      <c r="D411">
        <v>157.255859375</v>
      </c>
      <c r="E411">
        <v>212.36143493652341</v>
      </c>
      <c r="F411">
        <v>77.180183410644531</v>
      </c>
      <c r="G411">
        <v>164.99510192871091</v>
      </c>
      <c r="H411">
        <v>5616.83984375</v>
      </c>
      <c r="I411" s="13">
        <f t="shared" si="54"/>
        <v>1.4977628627906117E-3</v>
      </c>
      <c r="J411" s="13">
        <f t="shared" si="55"/>
        <v>1.5014053732368323E-2</v>
      </c>
      <c r="K411" s="13">
        <f t="shared" si="56"/>
        <v>2.9201563920922195E-3</v>
      </c>
      <c r="L411" s="13">
        <f t="shared" si="57"/>
        <v>3.931606573227657E-3</v>
      </c>
      <c r="M411" s="13">
        <f t="shared" si="58"/>
        <v>1.2227280946698813E-2</v>
      </c>
      <c r="N411" s="13">
        <f t="shared" si="59"/>
        <v>6.9510587731337267E-3</v>
      </c>
      <c r="O411" s="13">
        <f t="shared" si="60"/>
        <v>-3.1587101696058145E-3</v>
      </c>
    </row>
    <row r="412" spans="1:15" x14ac:dyDescent="0.35">
      <c r="A412" s="2">
        <v>45531</v>
      </c>
      <c r="B412">
        <v>226.75384521484381</v>
      </c>
      <c r="C412">
        <v>902.9820556640625</v>
      </c>
      <c r="D412">
        <v>156.85157775878909</v>
      </c>
      <c r="E412">
        <v>213.3400573730469</v>
      </c>
      <c r="F412">
        <v>76.194374084472656</v>
      </c>
      <c r="G412">
        <v>163.92967224121091</v>
      </c>
      <c r="H412">
        <v>5625.7998046875</v>
      </c>
      <c r="I412" s="13">
        <f t="shared" si="54"/>
        <v>3.7345547567113691E-3</v>
      </c>
      <c r="J412" s="13">
        <f t="shared" si="55"/>
        <v>1.8197337837448445E-2</v>
      </c>
      <c r="K412" s="13">
        <f t="shared" si="56"/>
        <v>-2.5741627969165844E-3</v>
      </c>
      <c r="L412" s="13">
        <f t="shared" si="57"/>
        <v>4.5977013382165356E-3</v>
      </c>
      <c r="M412" s="13">
        <f t="shared" si="58"/>
        <v>-1.2855103453315718E-2</v>
      </c>
      <c r="N412" s="13">
        <f t="shared" si="59"/>
        <v>-6.4782801256545973E-3</v>
      </c>
      <c r="O412" s="13">
        <f t="shared" si="60"/>
        <v>1.5939251127232035E-3</v>
      </c>
    </row>
    <row r="413" spans="1:15" x14ac:dyDescent="0.35">
      <c r="A413" s="2">
        <v>45532</v>
      </c>
      <c r="B413">
        <v>225.22245788574219</v>
      </c>
      <c r="C413">
        <v>882.26776123046875</v>
      </c>
      <c r="D413">
        <v>157.7852783203125</v>
      </c>
      <c r="E413">
        <v>214.41558837890619</v>
      </c>
      <c r="F413">
        <v>76.002952575683594</v>
      </c>
      <c r="G413">
        <v>163.7456359863281</v>
      </c>
      <c r="H413">
        <v>5592.18017578125</v>
      </c>
      <c r="I413" s="13">
        <f t="shared" si="54"/>
        <v>-6.7764313248428231E-3</v>
      </c>
      <c r="J413" s="13">
        <f t="shared" si="55"/>
        <v>-2.3207087212225957E-2</v>
      </c>
      <c r="K413" s="13">
        <f t="shared" si="56"/>
        <v>5.9351171633570616E-3</v>
      </c>
      <c r="L413" s="13">
        <f t="shared" si="57"/>
        <v>5.0287274197346335E-3</v>
      </c>
      <c r="M413" s="13">
        <f t="shared" si="58"/>
        <v>-2.5154398427831449E-3</v>
      </c>
      <c r="N413" s="13">
        <f t="shared" si="59"/>
        <v>-1.1232843587099934E-3</v>
      </c>
      <c r="O413" s="13">
        <f t="shared" si="60"/>
        <v>-5.9939007947352116E-3</v>
      </c>
    </row>
    <row r="414" spans="1:15" x14ac:dyDescent="0.35">
      <c r="A414" s="2">
        <v>45533</v>
      </c>
      <c r="B414">
        <v>228.50398254394531</v>
      </c>
      <c r="C414">
        <v>880.8570556640625</v>
      </c>
      <c r="D414">
        <v>158.08369445800781</v>
      </c>
      <c r="E414">
        <v>215.3070068359375</v>
      </c>
      <c r="F414">
        <v>76.596336364746094</v>
      </c>
      <c r="G414">
        <v>164.68513488769531</v>
      </c>
      <c r="H414">
        <v>5591.9599609375</v>
      </c>
      <c r="I414" s="13">
        <f t="shared" si="54"/>
        <v>1.4465023783508509E-2</v>
      </c>
      <c r="J414" s="13">
        <f t="shared" si="55"/>
        <v>-1.6002336918260487E-3</v>
      </c>
      <c r="K414" s="13">
        <f t="shared" si="56"/>
        <v>1.8894937597316052E-3</v>
      </c>
      <c r="L414" s="13">
        <f t="shared" si="57"/>
        <v>4.1488148195968451E-3</v>
      </c>
      <c r="M414" s="13">
        <f t="shared" si="58"/>
        <v>7.7770582545208132E-3</v>
      </c>
      <c r="N414" s="13">
        <f t="shared" si="59"/>
        <v>5.7211537242635134E-3</v>
      </c>
      <c r="O414" s="13">
        <f t="shared" si="60"/>
        <v>-3.9379843436586222E-5</v>
      </c>
    </row>
    <row r="415" spans="1:15" x14ac:dyDescent="0.35">
      <c r="A415" s="2">
        <v>45534</v>
      </c>
      <c r="B415">
        <v>227.71842956542969</v>
      </c>
      <c r="C415">
        <v>886.569580078125</v>
      </c>
      <c r="D415">
        <v>159.65269470214841</v>
      </c>
      <c r="E415">
        <v>217.81654357910159</v>
      </c>
      <c r="F415">
        <v>77.554824829101563</v>
      </c>
      <c r="G415">
        <v>166.1476745605469</v>
      </c>
      <c r="H415">
        <v>5648.39990234375</v>
      </c>
      <c r="I415" s="13">
        <f t="shared" si="54"/>
        <v>-3.4437315397326256E-3</v>
      </c>
      <c r="J415" s="13">
        <f t="shared" si="55"/>
        <v>6.4642505558560629E-3</v>
      </c>
      <c r="K415" s="13">
        <f t="shared" si="56"/>
        <v>9.8761932904108049E-3</v>
      </c>
      <c r="L415" s="13">
        <f t="shared" si="57"/>
        <v>1.1588216913297146E-2</v>
      </c>
      <c r="M415" s="13">
        <f t="shared" si="58"/>
        <v>1.2435855941161063E-2</v>
      </c>
      <c r="N415" s="13">
        <f t="shared" si="59"/>
        <v>8.84162125894092E-3</v>
      </c>
      <c r="O415" s="13">
        <f t="shared" si="60"/>
        <v>1.0042457079144168E-2</v>
      </c>
    </row>
    <row r="416" spans="1:15" x14ac:dyDescent="0.35">
      <c r="A416" s="2">
        <v>45538</v>
      </c>
      <c r="B416">
        <v>221.5232849121094</v>
      </c>
      <c r="C416">
        <v>872.8494873046875</v>
      </c>
      <c r="D416">
        <v>160.9040222167969</v>
      </c>
      <c r="E416">
        <v>213.45634460449219</v>
      </c>
      <c r="F416">
        <v>76.996109008789063</v>
      </c>
      <c r="G416">
        <v>169.0340270996094</v>
      </c>
      <c r="H416">
        <v>5528.93017578125</v>
      </c>
      <c r="I416" s="13">
        <f t="shared" si="54"/>
        <v>-2.7582200002212256E-2</v>
      </c>
      <c r="J416" s="13">
        <f t="shared" si="55"/>
        <v>-1.5596478570165535E-2</v>
      </c>
      <c r="K416" s="13">
        <f t="shared" si="56"/>
        <v>7.8072540965963295E-3</v>
      </c>
      <c r="L416" s="13">
        <f t="shared" si="57"/>
        <v>-2.0220828437261557E-2</v>
      </c>
      <c r="M416" s="13">
        <f t="shared" si="58"/>
        <v>-7.2302151839382231E-3</v>
      </c>
      <c r="N416" s="13">
        <f t="shared" si="59"/>
        <v>1.7223039762541293E-2</v>
      </c>
      <c r="O416" s="13">
        <f t="shared" si="60"/>
        <v>-2.1377963372397696E-2</v>
      </c>
    </row>
    <row r="417" spans="1:15" x14ac:dyDescent="0.35">
      <c r="A417" s="2">
        <v>45539</v>
      </c>
      <c r="B417">
        <v>219.6140441894531</v>
      </c>
      <c r="C417">
        <v>884.2249755859375</v>
      </c>
      <c r="D417">
        <v>161.09654235839841</v>
      </c>
      <c r="E417">
        <v>212.5164794921875</v>
      </c>
      <c r="F417">
        <v>78.103912353515625</v>
      </c>
      <c r="G417">
        <v>170.3706359863281</v>
      </c>
      <c r="H417">
        <v>5520.06982421875</v>
      </c>
      <c r="I417" s="13">
        <f t="shared" si="54"/>
        <v>-8.6560466224547845E-3</v>
      </c>
      <c r="J417" s="13">
        <f t="shared" si="55"/>
        <v>1.2948395138029291E-2</v>
      </c>
      <c r="K417" s="13">
        <f t="shared" si="56"/>
        <v>1.1957753229129677E-3</v>
      </c>
      <c r="L417" s="13">
        <f t="shared" si="57"/>
        <v>-4.4128009313677205E-3</v>
      </c>
      <c r="M417" s="13">
        <f t="shared" si="58"/>
        <v>1.4285261522606981E-2</v>
      </c>
      <c r="N417" s="13">
        <f t="shared" si="59"/>
        <v>7.8762370810234721E-3</v>
      </c>
      <c r="O417" s="13">
        <f t="shared" si="60"/>
        <v>-1.6038290273809634E-3</v>
      </c>
    </row>
    <row r="418" spans="1:15" x14ac:dyDescent="0.35">
      <c r="A418" s="2">
        <v>45540</v>
      </c>
      <c r="B418">
        <v>221.13548278808591</v>
      </c>
      <c r="C418">
        <v>880.21124267578125</v>
      </c>
      <c r="D418">
        <v>158.81524658203119</v>
      </c>
      <c r="E418">
        <v>210.86930847167969</v>
      </c>
      <c r="F418">
        <v>77.381431579589844</v>
      </c>
      <c r="G418">
        <v>169.95414733886719</v>
      </c>
      <c r="H418">
        <v>5503.41015625</v>
      </c>
      <c r="I418" s="13">
        <f t="shared" si="54"/>
        <v>6.9038968785248723E-3</v>
      </c>
      <c r="J418" s="13">
        <f t="shared" si="55"/>
        <v>-4.5496003674388615E-3</v>
      </c>
      <c r="K418" s="13">
        <f t="shared" si="56"/>
        <v>-1.426227182256923E-2</v>
      </c>
      <c r="L418" s="13">
        <f t="shared" si="57"/>
        <v>-7.7809854643984952E-3</v>
      </c>
      <c r="M418" s="13">
        <f t="shared" si="58"/>
        <v>-9.2933000040062736E-3</v>
      </c>
      <c r="N418" s="13">
        <f t="shared" si="59"/>
        <v>-2.4475963890378343E-3</v>
      </c>
      <c r="O418" s="13">
        <f t="shared" si="60"/>
        <v>-3.0225810146741962E-3</v>
      </c>
    </row>
    <row r="419" spans="1:15" x14ac:dyDescent="0.35">
      <c r="A419" s="2">
        <v>45541</v>
      </c>
      <c r="B419">
        <v>219.58421325683591</v>
      </c>
      <c r="C419">
        <v>870.9718017578125</v>
      </c>
      <c r="D419">
        <v>158.22807312011719</v>
      </c>
      <c r="E419">
        <v>205.8598937988281</v>
      </c>
      <c r="F419">
        <v>77.044281005859375</v>
      </c>
      <c r="G419">
        <v>170.07037353515619</v>
      </c>
      <c r="H419">
        <v>5408.419921875</v>
      </c>
      <c r="I419" s="13">
        <f t="shared" si="54"/>
        <v>-7.0397395516561163E-3</v>
      </c>
      <c r="J419" s="13">
        <f t="shared" si="55"/>
        <v>-1.0552325392483491E-2</v>
      </c>
      <c r="K419" s="13">
        <f t="shared" si="56"/>
        <v>-3.704062484611467E-3</v>
      </c>
      <c r="L419" s="13">
        <f t="shared" si="57"/>
        <v>-2.4042740236649186E-2</v>
      </c>
      <c r="M419" s="13">
        <f t="shared" si="58"/>
        <v>-4.3665151842196114E-3</v>
      </c>
      <c r="N419" s="13">
        <f t="shared" si="59"/>
        <v>6.8363423035970139E-4</v>
      </c>
      <c r="O419" s="13">
        <f t="shared" si="60"/>
        <v>-1.7410944507424406E-2</v>
      </c>
    </row>
    <row r="420" spans="1:15" x14ac:dyDescent="0.35">
      <c r="A420" s="2">
        <v>45544</v>
      </c>
      <c r="B420">
        <v>219.6737060546875</v>
      </c>
      <c r="C420">
        <v>890.65283203125</v>
      </c>
      <c r="D420">
        <v>160.37461853027341</v>
      </c>
      <c r="E420">
        <v>210.0747375488281</v>
      </c>
      <c r="F420">
        <v>78.209869384765625</v>
      </c>
      <c r="G420">
        <v>170.52558898925781</v>
      </c>
      <c r="H420">
        <v>5471.0498046875</v>
      </c>
      <c r="I420" s="13">
        <f t="shared" si="54"/>
        <v>4.0747267222904763E-4</v>
      </c>
      <c r="J420" s="13">
        <f t="shared" si="55"/>
        <v>2.23451112007996E-2</v>
      </c>
      <c r="K420" s="13">
        <f t="shared" si="56"/>
        <v>1.3474951380549365E-2</v>
      </c>
      <c r="L420" s="13">
        <f t="shared" si="57"/>
        <v>2.0267550284196596E-2</v>
      </c>
      <c r="M420" s="13">
        <f t="shared" si="58"/>
        <v>1.5015511996274836E-2</v>
      </c>
      <c r="N420" s="13">
        <f t="shared" si="59"/>
        <v>2.6730541476698874E-3</v>
      </c>
      <c r="O420" s="13">
        <f t="shared" si="60"/>
        <v>1.1513534435818254E-2</v>
      </c>
    </row>
    <row r="421" spans="1:15" x14ac:dyDescent="0.35">
      <c r="A421" s="2">
        <v>45545</v>
      </c>
      <c r="B421">
        <v>218.878173828125</v>
      </c>
      <c r="C421">
        <v>888.46722412109375</v>
      </c>
      <c r="D421">
        <v>161.11579895019531</v>
      </c>
      <c r="E421">
        <v>199.1742248535156</v>
      </c>
      <c r="F421">
        <v>79.279129028320313</v>
      </c>
      <c r="G421">
        <v>172.2012023925781</v>
      </c>
      <c r="H421">
        <v>5495.52001953125</v>
      </c>
      <c r="I421" s="13">
        <f t="shared" si="54"/>
        <v>-3.6279999500473344E-3</v>
      </c>
      <c r="J421" s="13">
        <f t="shared" si="55"/>
        <v>-2.4569550571625089E-3</v>
      </c>
      <c r="K421" s="13">
        <f t="shared" si="56"/>
        <v>4.6109102652901902E-3</v>
      </c>
      <c r="L421" s="13">
        <f t="shared" si="57"/>
        <v>-5.3283417019385104E-2</v>
      </c>
      <c r="M421" s="13">
        <f t="shared" si="58"/>
        <v>1.3579057387059517E-2</v>
      </c>
      <c r="N421" s="13">
        <f t="shared" si="59"/>
        <v>9.7782069937288173E-3</v>
      </c>
      <c r="O421" s="13">
        <f t="shared" si="60"/>
        <v>4.4626999777935411E-3</v>
      </c>
    </row>
    <row r="422" spans="1:15" x14ac:dyDescent="0.35">
      <c r="A422" s="2">
        <v>45546</v>
      </c>
      <c r="B422">
        <v>221.4139099121094</v>
      </c>
      <c r="C422">
        <v>894.53741455078125</v>
      </c>
      <c r="D422">
        <v>158.651611328125</v>
      </c>
      <c r="E422">
        <v>200.79234313964841</v>
      </c>
      <c r="F422">
        <v>80.367645263671875</v>
      </c>
      <c r="G422">
        <v>168.45286560058591</v>
      </c>
      <c r="H422">
        <v>5554.1298828125</v>
      </c>
      <c r="I422" s="13">
        <f t="shared" si="54"/>
        <v>1.1518554222257876E-2</v>
      </c>
      <c r="J422" s="13">
        <f t="shared" si="55"/>
        <v>6.8089714970328208E-3</v>
      </c>
      <c r="K422" s="13">
        <f t="shared" si="56"/>
        <v>-1.5412680113494198E-2</v>
      </c>
      <c r="L422" s="13">
        <f t="shared" si="57"/>
        <v>8.0913118430628907E-3</v>
      </c>
      <c r="M422" s="13">
        <f t="shared" si="58"/>
        <v>1.3636769156578589E-2</v>
      </c>
      <c r="N422" s="13">
        <f t="shared" si="59"/>
        <v>-2.2007593217069233E-2</v>
      </c>
      <c r="O422" s="13">
        <f t="shared" si="60"/>
        <v>1.0608555649843339E-2</v>
      </c>
    </row>
    <row r="423" spans="1:15" x14ac:dyDescent="0.35">
      <c r="A423" s="2">
        <v>45547</v>
      </c>
      <c r="B423">
        <v>221.5232849121094</v>
      </c>
      <c r="C423">
        <v>909.0721435546875</v>
      </c>
      <c r="D423">
        <v>158.47833251953119</v>
      </c>
      <c r="E423">
        <v>200.18193054199219</v>
      </c>
      <c r="F423">
        <v>80.396537780761719</v>
      </c>
      <c r="G423">
        <v>168.01701354980469</v>
      </c>
      <c r="H423">
        <v>5595.759765625</v>
      </c>
      <c r="I423" s="13">
        <f t="shared" si="54"/>
        <v>4.9386235114633832E-4</v>
      </c>
      <c r="J423" s="13">
        <f t="shared" si="55"/>
        <v>1.6117727466302977E-2</v>
      </c>
      <c r="K423" s="13">
        <f t="shared" si="56"/>
        <v>-1.0927938480710614E-3</v>
      </c>
      <c r="L423" s="13">
        <f t="shared" si="57"/>
        <v>-3.0446495411771764E-3</v>
      </c>
      <c r="M423" s="13">
        <f t="shared" si="58"/>
        <v>3.5943973158409888E-4</v>
      </c>
      <c r="N423" s="13">
        <f t="shared" si="59"/>
        <v>-2.590735882006155E-3</v>
      </c>
      <c r="O423" s="13">
        <f t="shared" si="60"/>
        <v>7.4673521568026698E-3</v>
      </c>
    </row>
    <row r="424" spans="1:15" x14ac:dyDescent="0.35">
      <c r="A424" s="2">
        <v>45548</v>
      </c>
      <c r="B424">
        <v>221.25477600097659</v>
      </c>
      <c r="C424">
        <v>910.0357666015625</v>
      </c>
      <c r="D424">
        <v>159.3254089355469</v>
      </c>
      <c r="E424">
        <v>197.97276306152341</v>
      </c>
      <c r="F424">
        <v>81.542877197265625</v>
      </c>
      <c r="G424">
        <v>168.60784912109381</v>
      </c>
      <c r="H424">
        <v>5626.02001953125</v>
      </c>
      <c r="I424" s="13">
        <f t="shared" si="54"/>
        <v>-1.2128376166301506E-3</v>
      </c>
      <c r="J424" s="13">
        <f t="shared" si="55"/>
        <v>1.0594458213588269E-3</v>
      </c>
      <c r="K424" s="13">
        <f t="shared" si="56"/>
        <v>5.3308272466187183E-3</v>
      </c>
      <c r="L424" s="13">
        <f t="shared" si="57"/>
        <v>-1.1097144837789367E-2</v>
      </c>
      <c r="M424" s="13">
        <f t="shared" si="58"/>
        <v>1.415786965500153E-2</v>
      </c>
      <c r="N424" s="13">
        <f t="shared" si="59"/>
        <v>3.5103537707790824E-3</v>
      </c>
      <c r="O424" s="13">
        <f t="shared" si="60"/>
        <v>5.3931422343560355E-3</v>
      </c>
    </row>
    <row r="425" spans="1:15" x14ac:dyDescent="0.35">
      <c r="A425" s="2">
        <v>45551</v>
      </c>
      <c r="B425">
        <v>215.10939025878909</v>
      </c>
      <c r="C425">
        <v>901.958740234375</v>
      </c>
      <c r="D425">
        <v>160.74040222167969</v>
      </c>
      <c r="E425">
        <v>201.4028015136719</v>
      </c>
      <c r="F425">
        <v>81.533233642578125</v>
      </c>
      <c r="G425">
        <v>171.66850280761719</v>
      </c>
      <c r="H425">
        <v>5633.08984375</v>
      </c>
      <c r="I425" s="13">
        <f t="shared" si="54"/>
        <v>-2.816817946185219E-2</v>
      </c>
      <c r="J425" s="13">
        <f t="shared" si="55"/>
        <v>-8.9151262138267122E-3</v>
      </c>
      <c r="K425" s="13">
        <f t="shared" si="56"/>
        <v>8.8419472213515371E-3</v>
      </c>
      <c r="L425" s="13">
        <f t="shared" si="57"/>
        <v>1.7177429447782899E-2</v>
      </c>
      <c r="M425" s="13">
        <f t="shared" si="58"/>
        <v>-1.1827059952652702E-4</v>
      </c>
      <c r="N425" s="13">
        <f t="shared" si="59"/>
        <v>1.798970872887385E-2</v>
      </c>
      <c r="O425" s="13">
        <f t="shared" si="60"/>
        <v>1.2558408673102855E-3</v>
      </c>
    </row>
    <row r="426" spans="1:15" x14ac:dyDescent="0.35">
      <c r="A426" s="2">
        <v>45552</v>
      </c>
      <c r="B426">
        <v>215.57672119140619</v>
      </c>
      <c r="C426">
        <v>891.42779541015625</v>
      </c>
      <c r="D426">
        <v>160.8173828125</v>
      </c>
      <c r="E426">
        <v>202.7496032714844</v>
      </c>
      <c r="F426">
        <v>81.851119995117188</v>
      </c>
      <c r="G426">
        <v>170.35127258300781</v>
      </c>
      <c r="H426">
        <v>5634.580078125</v>
      </c>
      <c r="I426" s="13">
        <f t="shared" si="54"/>
        <v>2.1701703565820993E-3</v>
      </c>
      <c r="J426" s="13">
        <f t="shared" si="55"/>
        <v>-1.1744334708147159E-2</v>
      </c>
      <c r="K426" s="13">
        <f t="shared" si="56"/>
        <v>4.7879787629945345E-4</v>
      </c>
      <c r="L426" s="13">
        <f t="shared" si="57"/>
        <v>6.6648458714729788E-3</v>
      </c>
      <c r="M426" s="13">
        <f t="shared" si="58"/>
        <v>3.8912753465255045E-3</v>
      </c>
      <c r="N426" s="13">
        <f t="shared" si="59"/>
        <v>-7.7026934238957024E-3</v>
      </c>
      <c r="O426" s="13">
        <f t="shared" si="60"/>
        <v>2.6451509389645083E-4</v>
      </c>
    </row>
    <row r="427" spans="1:15" x14ac:dyDescent="0.35">
      <c r="A427" s="2">
        <v>45553</v>
      </c>
      <c r="B427">
        <v>219.45491027832031</v>
      </c>
      <c r="C427">
        <v>886.70867919921875</v>
      </c>
      <c r="D427">
        <v>159.93182373046881</v>
      </c>
      <c r="E427">
        <v>201.0830383300781</v>
      </c>
      <c r="F427">
        <v>81.186447143554688</v>
      </c>
      <c r="G427">
        <v>168.45286560058591</v>
      </c>
      <c r="H427">
        <v>5618.259765625</v>
      </c>
      <c r="I427" s="13">
        <f t="shared" si="54"/>
        <v>1.7829930274414912E-2</v>
      </c>
      <c r="J427" s="13">
        <f t="shared" si="55"/>
        <v>-5.3079472336754439E-3</v>
      </c>
      <c r="K427" s="13">
        <f t="shared" si="56"/>
        <v>-5.52183022790675E-3</v>
      </c>
      <c r="L427" s="13">
        <f t="shared" si="57"/>
        <v>-8.2537874898633689E-3</v>
      </c>
      <c r="M427" s="13">
        <f t="shared" si="58"/>
        <v>-8.1536610933593597E-3</v>
      </c>
      <c r="N427" s="13">
        <f t="shared" si="59"/>
        <v>-1.1206633193751271E-2</v>
      </c>
      <c r="O427" s="13">
        <f t="shared" si="60"/>
        <v>-2.9006587083132912E-3</v>
      </c>
    </row>
    <row r="428" spans="1:15" x14ac:dyDescent="0.35">
      <c r="A428" s="2">
        <v>45554</v>
      </c>
      <c r="B428">
        <v>227.5891418457031</v>
      </c>
      <c r="C428">
        <v>894.8751220703125</v>
      </c>
      <c r="D428">
        <v>158.651611328125</v>
      </c>
      <c r="E428">
        <v>203.94139099121091</v>
      </c>
      <c r="F428">
        <v>79.269493103027344</v>
      </c>
      <c r="G428">
        <v>166.1476745605469</v>
      </c>
      <c r="H428">
        <v>5713.64013671875</v>
      </c>
      <c r="I428" s="13">
        <f t="shared" si="54"/>
        <v>3.6395202664293913E-2</v>
      </c>
      <c r="J428" s="13">
        <f t="shared" si="55"/>
        <v>9.1676855861750062E-3</v>
      </c>
      <c r="K428" s="13">
        <f t="shared" si="56"/>
        <v>-8.0369482682921198E-3</v>
      </c>
      <c r="L428" s="13">
        <f t="shared" si="57"/>
        <v>1.4114704736936275E-2</v>
      </c>
      <c r="M428" s="13">
        <f t="shared" si="58"/>
        <v>-2.3894973871934313E-2</v>
      </c>
      <c r="N428" s="13">
        <f t="shared" si="59"/>
        <v>-1.3778982609216407E-2</v>
      </c>
      <c r="O428" s="13">
        <f t="shared" si="60"/>
        <v>1.6834356892725128E-2</v>
      </c>
    </row>
    <row r="429" spans="1:15" x14ac:dyDescent="0.35">
      <c r="A429" s="2">
        <v>45555</v>
      </c>
      <c r="B429">
        <v>226.9228820800781</v>
      </c>
      <c r="C429">
        <v>901.07452392578125</v>
      </c>
      <c r="D429">
        <v>158.01629638671881</v>
      </c>
      <c r="E429">
        <v>204.53245544433591</v>
      </c>
      <c r="F429">
        <v>79.722236633300781</v>
      </c>
      <c r="G429">
        <v>168.74345397949219</v>
      </c>
      <c r="H429">
        <v>5702.5498046875</v>
      </c>
      <c r="I429" s="13">
        <f t="shared" si="54"/>
        <v>-2.9317606917899411E-3</v>
      </c>
      <c r="J429" s="13">
        <f t="shared" si="55"/>
        <v>6.9037865202956905E-3</v>
      </c>
      <c r="K429" s="13">
        <f t="shared" si="56"/>
        <v>-4.012505077523488E-3</v>
      </c>
      <c r="L429" s="13">
        <f t="shared" si="57"/>
        <v>2.8940157163675293E-3</v>
      </c>
      <c r="M429" s="13">
        <f t="shared" si="58"/>
        <v>5.6951987976049407E-3</v>
      </c>
      <c r="N429" s="13">
        <f t="shared" si="59"/>
        <v>1.5502539089337086E-2</v>
      </c>
      <c r="O429" s="13">
        <f t="shared" si="60"/>
        <v>-1.9429136300157343E-3</v>
      </c>
    </row>
    <row r="430" spans="1:15" x14ac:dyDescent="0.35">
      <c r="A430" s="2">
        <v>45558</v>
      </c>
      <c r="B430">
        <v>225.20257568359381</v>
      </c>
      <c r="C430">
        <v>911.10870361328125</v>
      </c>
      <c r="D430">
        <v>157.11146545410159</v>
      </c>
      <c r="E430">
        <v>204.8715515136719</v>
      </c>
      <c r="F430">
        <v>81.706634521484375</v>
      </c>
      <c r="G430">
        <v>168.3075866699219</v>
      </c>
      <c r="H430">
        <v>5718.56982421875</v>
      </c>
      <c r="I430" s="13">
        <f t="shared" si="54"/>
        <v>-7.6098997255302425E-3</v>
      </c>
      <c r="J430" s="13">
        <f t="shared" si="55"/>
        <v>1.1074246889869395E-2</v>
      </c>
      <c r="K430" s="13">
        <f t="shared" si="56"/>
        <v>-5.7426449129981318E-3</v>
      </c>
      <c r="L430" s="13">
        <f t="shared" si="57"/>
        <v>1.6565355546890909E-3</v>
      </c>
      <c r="M430" s="13">
        <f t="shared" si="58"/>
        <v>2.4586653398576151E-2</v>
      </c>
      <c r="N430" s="13">
        <f t="shared" si="59"/>
        <v>-2.5863593341791972E-3</v>
      </c>
      <c r="O430" s="13">
        <f t="shared" si="60"/>
        <v>2.8053344257131223E-3</v>
      </c>
    </row>
    <row r="431" spans="1:15" x14ac:dyDescent="0.35">
      <c r="A431" s="2">
        <v>45559</v>
      </c>
      <c r="B431">
        <v>226.09751892089841</v>
      </c>
      <c r="C431">
        <v>895.66986083984375</v>
      </c>
      <c r="D431">
        <v>156.68792724609381</v>
      </c>
      <c r="E431">
        <v>205.01690673828119</v>
      </c>
      <c r="F431">
        <v>81.196075439453125</v>
      </c>
      <c r="G431">
        <v>167.79426574707031</v>
      </c>
      <c r="H431">
        <v>5732.93017578125</v>
      </c>
      <c r="I431" s="13">
        <f t="shared" si="54"/>
        <v>3.9660723368111902E-3</v>
      </c>
      <c r="J431" s="13">
        <f t="shared" si="55"/>
        <v>-1.7090327343793055E-2</v>
      </c>
      <c r="K431" s="13">
        <f t="shared" si="56"/>
        <v>-2.6994218284015145E-3</v>
      </c>
      <c r="L431" s="13">
        <f t="shared" si="57"/>
        <v>7.0924285754377374E-4</v>
      </c>
      <c r="M431" s="13">
        <f t="shared" si="58"/>
        <v>-6.2682904890958317E-3</v>
      </c>
      <c r="N431" s="13">
        <f t="shared" si="59"/>
        <v>-3.0545581244557324E-3</v>
      </c>
      <c r="O431" s="13">
        <f t="shared" si="60"/>
        <v>2.5080311033453448E-3</v>
      </c>
    </row>
    <row r="432" spans="1:15" x14ac:dyDescent="0.35">
      <c r="A432" s="2">
        <v>45560</v>
      </c>
      <c r="B432">
        <v>225.10313415527341</v>
      </c>
      <c r="C432">
        <v>902.505126953125</v>
      </c>
      <c r="D432">
        <v>154.58952331542969</v>
      </c>
      <c r="E432">
        <v>203.6604309082031</v>
      </c>
      <c r="F432">
        <v>81.513969421386719</v>
      </c>
      <c r="G432">
        <v>166.84504699707031</v>
      </c>
      <c r="H432">
        <v>5722.259765625</v>
      </c>
      <c r="I432" s="13">
        <f t="shared" si="54"/>
        <v>-4.4077346465005093E-3</v>
      </c>
      <c r="J432" s="13">
        <f t="shared" si="55"/>
        <v>7.6024848322135017E-3</v>
      </c>
      <c r="K432" s="13">
        <f t="shared" si="56"/>
        <v>-1.3482735192221443E-2</v>
      </c>
      <c r="L432" s="13">
        <f t="shared" si="57"/>
        <v>-6.6383950690796717E-3</v>
      </c>
      <c r="M432" s="13">
        <f t="shared" si="58"/>
        <v>3.9074955290719993E-3</v>
      </c>
      <c r="N432" s="13">
        <f t="shared" si="59"/>
        <v>-5.6731009158803667E-3</v>
      </c>
      <c r="O432" s="13">
        <f t="shared" si="60"/>
        <v>-1.862983206212128E-3</v>
      </c>
    </row>
    <row r="433" spans="1:15" x14ac:dyDescent="0.35">
      <c r="A433" s="2">
        <v>45561</v>
      </c>
      <c r="B433">
        <v>226.2467041015625</v>
      </c>
      <c r="C433">
        <v>895.57061767578125</v>
      </c>
      <c r="D433">
        <v>155.34996032714841</v>
      </c>
      <c r="E433">
        <v>203.26313781738281</v>
      </c>
      <c r="F433">
        <v>80.396537780761719</v>
      </c>
      <c r="G433">
        <v>167.76518249511719</v>
      </c>
      <c r="H433">
        <v>5745.3701171875</v>
      </c>
      <c r="I433" s="13">
        <f t="shared" si="54"/>
        <v>5.067343760445959E-3</v>
      </c>
      <c r="J433" s="13">
        <f t="shared" si="55"/>
        <v>-7.7132942576976504E-3</v>
      </c>
      <c r="K433" s="13">
        <f t="shared" si="56"/>
        <v>4.9070129990997037E-3</v>
      </c>
      <c r="L433" s="13">
        <f t="shared" si="57"/>
        <v>-1.9526675159241211E-3</v>
      </c>
      <c r="M433" s="13">
        <f t="shared" si="58"/>
        <v>-1.3803296672863972E-2</v>
      </c>
      <c r="N433" s="13">
        <f t="shared" si="59"/>
        <v>5.4997590405237917E-3</v>
      </c>
      <c r="O433" s="13">
        <f t="shared" si="60"/>
        <v>4.0305421581992218E-3</v>
      </c>
    </row>
    <row r="434" spans="1:15" x14ac:dyDescent="0.35">
      <c r="A434" s="2">
        <v>45562</v>
      </c>
      <c r="B434">
        <v>226.51518249511719</v>
      </c>
      <c r="C434">
        <v>879.85357666015625</v>
      </c>
      <c r="D434">
        <v>155.35960388183591</v>
      </c>
      <c r="E434">
        <v>203.9607849121094</v>
      </c>
      <c r="F434">
        <v>81.436904907226563</v>
      </c>
      <c r="G434">
        <v>168.09449768066409</v>
      </c>
      <c r="H434">
        <v>5738.169921875</v>
      </c>
      <c r="I434" s="13">
        <f t="shared" si="54"/>
        <v>1.1859585931167842E-3</v>
      </c>
      <c r="J434" s="13">
        <f t="shared" si="55"/>
        <v>-1.7705573298729415E-2</v>
      </c>
      <c r="K434" s="13">
        <f t="shared" si="56"/>
        <v>6.2074398740433279E-5</v>
      </c>
      <c r="L434" s="13">
        <f t="shared" si="57"/>
        <v>3.4263594956713351E-3</v>
      </c>
      <c r="M434" s="13">
        <f t="shared" si="58"/>
        <v>1.2857434673372432E-2</v>
      </c>
      <c r="N434" s="13">
        <f t="shared" si="59"/>
        <v>1.9610290280157312E-3</v>
      </c>
      <c r="O434" s="13">
        <f t="shared" si="60"/>
        <v>-1.2540029000721238E-3</v>
      </c>
    </row>
    <row r="435" spans="1:15" x14ac:dyDescent="0.35">
      <c r="A435" s="2">
        <v>45565</v>
      </c>
      <c r="B435">
        <v>231.696044921875</v>
      </c>
      <c r="C435">
        <v>880.74774169921875</v>
      </c>
      <c r="D435">
        <v>155.9949035644531</v>
      </c>
      <c r="E435">
        <v>204.3096008300781</v>
      </c>
      <c r="F435">
        <v>81.427276611328125</v>
      </c>
      <c r="G435">
        <v>167.7554931640625</v>
      </c>
      <c r="H435">
        <v>5762.47998046875</v>
      </c>
      <c r="I435" s="13">
        <f t="shared" si="54"/>
        <v>2.2614387908913857E-2</v>
      </c>
      <c r="J435" s="13">
        <f t="shared" si="55"/>
        <v>1.0157496834945141E-3</v>
      </c>
      <c r="K435" s="13">
        <f t="shared" si="56"/>
        <v>4.0808823967033855E-3</v>
      </c>
      <c r="L435" s="13">
        <f t="shared" si="57"/>
        <v>1.7087499609264502E-3</v>
      </c>
      <c r="M435" s="13">
        <f t="shared" si="58"/>
        <v>-1.1823712027872559E-4</v>
      </c>
      <c r="N435" s="13">
        <f t="shared" si="59"/>
        <v>-2.0187860114763891E-3</v>
      </c>
      <c r="O435" s="13">
        <f t="shared" si="60"/>
        <v>4.2276036584415087E-3</v>
      </c>
    </row>
    <row r="436" spans="1:15" x14ac:dyDescent="0.35">
      <c r="A436" s="2">
        <v>45566</v>
      </c>
      <c r="B436">
        <v>224.94403076171881</v>
      </c>
      <c r="C436">
        <v>871.667236328125</v>
      </c>
      <c r="D436">
        <v>155.9275207519531</v>
      </c>
      <c r="E436">
        <v>200.6082458496094</v>
      </c>
      <c r="F436">
        <v>82.140113830566406</v>
      </c>
      <c r="G436">
        <v>167.60054016113281</v>
      </c>
      <c r="H436">
        <v>5708.75</v>
      </c>
      <c r="I436" s="13">
        <f t="shared" si="54"/>
        <v>-2.9574742378724136E-2</v>
      </c>
      <c r="J436" s="13">
        <f t="shared" si="55"/>
        <v>-1.0363511790445395E-2</v>
      </c>
      <c r="K436" s="13">
        <f t="shared" si="56"/>
        <v>-4.3204853704155487E-4</v>
      </c>
      <c r="L436" s="13">
        <f t="shared" si="57"/>
        <v>-1.8282513890171024E-2</v>
      </c>
      <c r="M436" s="13">
        <f t="shared" si="58"/>
        <v>8.7161839566069106E-3</v>
      </c>
      <c r="N436" s="13">
        <f t="shared" si="59"/>
        <v>-9.2411048890637373E-4</v>
      </c>
      <c r="O436" s="13">
        <f t="shared" si="60"/>
        <v>-9.3678486944544469E-3</v>
      </c>
    </row>
    <row r="437" spans="1:15" x14ac:dyDescent="0.35">
      <c r="A437" s="2">
        <v>45567</v>
      </c>
      <c r="B437">
        <v>225.51084899902341</v>
      </c>
      <c r="C437">
        <v>872.809814453125</v>
      </c>
      <c r="D437">
        <v>155.13819885253909</v>
      </c>
      <c r="E437">
        <v>200.8504943847656</v>
      </c>
      <c r="F437">
        <v>82.294235229492188</v>
      </c>
      <c r="G437">
        <v>166.51573181152341</v>
      </c>
      <c r="H437">
        <v>5709.5400390625</v>
      </c>
      <c r="I437" s="13">
        <f t="shared" si="54"/>
        <v>2.5166495555282711E-3</v>
      </c>
      <c r="J437" s="13">
        <f t="shared" si="55"/>
        <v>1.3099378841022883E-3</v>
      </c>
      <c r="K437" s="13">
        <f t="shared" si="56"/>
        <v>-5.0749635447825204E-3</v>
      </c>
      <c r="L437" s="13">
        <f t="shared" si="57"/>
        <v>1.2068416516079572E-3</v>
      </c>
      <c r="M437" s="13">
        <f t="shared" si="58"/>
        <v>1.8745650764402317E-3</v>
      </c>
      <c r="N437" s="13">
        <f t="shared" si="59"/>
        <v>-6.4936206497090533E-3</v>
      </c>
      <c r="O437" s="13">
        <f t="shared" si="60"/>
        <v>1.3838132698647728E-4</v>
      </c>
    </row>
    <row r="438" spans="1:15" x14ac:dyDescent="0.35">
      <c r="A438" s="2">
        <v>45568</v>
      </c>
      <c r="B438">
        <v>224.40704345703119</v>
      </c>
      <c r="C438">
        <v>869.9683837890625</v>
      </c>
      <c r="D438">
        <v>154.4932556152344</v>
      </c>
      <c r="E438">
        <v>198.8544921875</v>
      </c>
      <c r="F438">
        <v>81.928184509277344</v>
      </c>
      <c r="G438">
        <v>164.77232360839841</v>
      </c>
      <c r="H438">
        <v>5699.93994140625</v>
      </c>
      <c r="I438" s="13">
        <f t="shared" si="54"/>
        <v>-4.9067075352227452E-3</v>
      </c>
      <c r="J438" s="13">
        <f t="shared" si="55"/>
        <v>-3.2608087301555996E-3</v>
      </c>
      <c r="K438" s="13">
        <f t="shared" si="56"/>
        <v>-4.1658827662684602E-3</v>
      </c>
      <c r="L438" s="13">
        <f t="shared" si="57"/>
        <v>-9.9874600315430166E-3</v>
      </c>
      <c r="M438" s="13">
        <f t="shared" si="58"/>
        <v>-4.4579945543275958E-3</v>
      </c>
      <c r="N438" s="13">
        <f t="shared" si="59"/>
        <v>-1.0525126208967461E-2</v>
      </c>
      <c r="O438" s="13">
        <f t="shared" si="60"/>
        <v>-1.6828286544586894E-3</v>
      </c>
    </row>
    <row r="439" spans="1:15" x14ac:dyDescent="0.35">
      <c r="A439" s="2">
        <v>45569</v>
      </c>
      <c r="B439">
        <v>225.5307312011719</v>
      </c>
      <c r="C439">
        <v>877.35992431640625</v>
      </c>
      <c r="D439">
        <v>154.29112243652341</v>
      </c>
      <c r="E439">
        <v>205.91258239746091</v>
      </c>
      <c r="F439">
        <v>80.772239685058594</v>
      </c>
      <c r="G439">
        <v>163.57130432128909</v>
      </c>
      <c r="H439">
        <v>5751.06982421875</v>
      </c>
      <c r="I439" s="13">
        <f t="shared" si="54"/>
        <v>4.9948688180586681E-3</v>
      </c>
      <c r="J439" s="13">
        <f t="shared" si="55"/>
        <v>8.4604416731209001E-3</v>
      </c>
      <c r="K439" s="13">
        <f t="shared" si="56"/>
        <v>-1.3092191312177477E-3</v>
      </c>
      <c r="L439" s="13">
        <f t="shared" si="57"/>
        <v>3.4878359197334244E-2</v>
      </c>
      <c r="M439" s="13">
        <f t="shared" si="58"/>
        <v>-1.4209726621454232E-2</v>
      </c>
      <c r="N439" s="13">
        <f t="shared" si="59"/>
        <v>-7.315656777667422E-3</v>
      </c>
      <c r="O439" s="13">
        <f t="shared" si="60"/>
        <v>8.9302556991863822E-3</v>
      </c>
    </row>
    <row r="440" spans="1:15" x14ac:dyDescent="0.35">
      <c r="A440" s="2">
        <v>45572</v>
      </c>
      <c r="B440">
        <v>220.4493408203125</v>
      </c>
      <c r="C440">
        <v>867.9019775390625</v>
      </c>
      <c r="D440">
        <v>153.5595703125</v>
      </c>
      <c r="E440">
        <v>205.6298522949219</v>
      </c>
      <c r="F440">
        <v>77.342903137207031</v>
      </c>
      <c r="G440">
        <v>161.8666076660156</v>
      </c>
      <c r="H440">
        <v>5695.93994140625</v>
      </c>
      <c r="I440" s="13">
        <f t="shared" si="54"/>
        <v>-2.278850828429712E-2</v>
      </c>
      <c r="J440" s="13">
        <f t="shared" si="55"/>
        <v>-1.0838533008160822E-2</v>
      </c>
      <c r="K440" s="13">
        <f t="shared" si="56"/>
        <v>-4.7526513226047442E-3</v>
      </c>
      <c r="L440" s="13">
        <f t="shared" si="57"/>
        <v>-1.3740024025975966E-3</v>
      </c>
      <c r="M440" s="13">
        <f t="shared" si="58"/>
        <v>-4.3384515433731598E-2</v>
      </c>
      <c r="N440" s="13">
        <f t="shared" si="59"/>
        <v>-1.0476420749337249E-2</v>
      </c>
      <c r="O440" s="13">
        <f t="shared" si="60"/>
        <v>-9.6322638293887732E-3</v>
      </c>
    </row>
    <row r="441" spans="1:15" x14ac:dyDescent="0.35">
      <c r="A441" s="2">
        <v>45573</v>
      </c>
      <c r="B441">
        <v>224.5065002441406</v>
      </c>
      <c r="C441">
        <v>884.62237548828125</v>
      </c>
      <c r="D441">
        <v>153.7135925292969</v>
      </c>
      <c r="E441">
        <v>205.45436096191409</v>
      </c>
      <c r="F441">
        <v>77.545204162597656</v>
      </c>
      <c r="G441">
        <v>162.87394714355469</v>
      </c>
      <c r="H441">
        <v>5751.1298828125</v>
      </c>
      <c r="I441" s="13">
        <f t="shared" si="54"/>
        <v>1.8236739435629836E-2</v>
      </c>
      <c r="J441" s="13">
        <f t="shared" si="55"/>
        <v>1.9082080403545008E-2</v>
      </c>
      <c r="K441" s="13">
        <f t="shared" si="56"/>
        <v>1.0025101331475612E-3</v>
      </c>
      <c r="L441" s="13">
        <f t="shared" si="57"/>
        <v>-8.5379753349381824E-4</v>
      </c>
      <c r="M441" s="13">
        <f t="shared" si="58"/>
        <v>2.6122230293121299E-3</v>
      </c>
      <c r="N441" s="13">
        <f t="shared" si="59"/>
        <v>6.2039846493510487E-3</v>
      </c>
      <c r="O441" s="13">
        <f t="shared" si="60"/>
        <v>9.6427068046943849E-3</v>
      </c>
    </row>
    <row r="442" spans="1:15" x14ac:dyDescent="0.35">
      <c r="A442" s="2">
        <v>45574</v>
      </c>
      <c r="B442">
        <v>228.25538635253909</v>
      </c>
      <c r="C442">
        <v>903.18072509765625</v>
      </c>
      <c r="D442">
        <v>154.63764953613281</v>
      </c>
      <c r="E442">
        <v>208.05726623535159</v>
      </c>
      <c r="F442">
        <v>77.622261047363281</v>
      </c>
      <c r="G442">
        <v>163.94903564453119</v>
      </c>
      <c r="H442">
        <v>5792.0400390625</v>
      </c>
      <c r="I442" s="13">
        <f t="shared" si="54"/>
        <v>1.6560456594330555E-2</v>
      </c>
      <c r="J442" s="13">
        <f t="shared" si="55"/>
        <v>2.0761812343089495E-2</v>
      </c>
      <c r="K442" s="13">
        <f t="shared" si="56"/>
        <v>5.9935531108066724E-3</v>
      </c>
      <c r="L442" s="13">
        <f t="shared" si="57"/>
        <v>1.2589438752768557E-2</v>
      </c>
      <c r="M442" s="13">
        <f t="shared" si="58"/>
        <v>9.9320938182315241E-4</v>
      </c>
      <c r="N442" s="13">
        <f t="shared" si="59"/>
        <v>6.5790500388768726E-3</v>
      </c>
      <c r="O442" s="13">
        <f t="shared" si="60"/>
        <v>7.088231016994585E-3</v>
      </c>
    </row>
    <row r="443" spans="1:15" x14ac:dyDescent="0.35">
      <c r="A443" s="2">
        <v>45575</v>
      </c>
      <c r="B443">
        <v>227.75819396972659</v>
      </c>
      <c r="C443">
        <v>887.8114013671875</v>
      </c>
      <c r="D443">
        <v>154.5028991699219</v>
      </c>
      <c r="E443">
        <v>207.49186706542969</v>
      </c>
      <c r="F443">
        <v>77.969039916992188</v>
      </c>
      <c r="G443">
        <v>163.63909912109381</v>
      </c>
      <c r="H443">
        <v>5780.0498046875</v>
      </c>
      <c r="I443" s="13">
        <f t="shared" si="54"/>
        <v>-2.1806042682985232E-3</v>
      </c>
      <c r="J443" s="13">
        <f t="shared" si="55"/>
        <v>-1.7163337340210853E-2</v>
      </c>
      <c r="K443" s="13">
        <f t="shared" si="56"/>
        <v>-8.7177418367796148E-4</v>
      </c>
      <c r="L443" s="13">
        <f t="shared" si="57"/>
        <v>-2.7212162101266746E-3</v>
      </c>
      <c r="M443" s="13">
        <f t="shared" si="58"/>
        <v>4.457568536094093E-3</v>
      </c>
      <c r="N443" s="13">
        <f t="shared" si="59"/>
        <v>-1.892233466500039E-3</v>
      </c>
      <c r="O443" s="13">
        <f t="shared" si="60"/>
        <v>-2.0722685059824846E-3</v>
      </c>
    </row>
    <row r="444" spans="1:15" x14ac:dyDescent="0.35">
      <c r="A444" s="2">
        <v>45576</v>
      </c>
      <c r="B444">
        <v>226.27653503417969</v>
      </c>
      <c r="C444">
        <v>883.24151611328125</v>
      </c>
      <c r="D444">
        <v>155.41734313964841</v>
      </c>
      <c r="E444">
        <v>216.7043762207031</v>
      </c>
      <c r="F444">
        <v>78.855270385742188</v>
      </c>
      <c r="G444">
        <v>165.71180725097659</v>
      </c>
      <c r="H444">
        <v>5815.02978515625</v>
      </c>
      <c r="I444" s="13">
        <f t="shared" si="54"/>
        <v>-6.5266557839823132E-3</v>
      </c>
      <c r="J444" s="13">
        <f t="shared" si="55"/>
        <v>-5.1606537004366716E-3</v>
      </c>
      <c r="K444" s="13">
        <f t="shared" si="56"/>
        <v>5.901173906006414E-3</v>
      </c>
      <c r="L444" s="13">
        <f t="shared" si="57"/>
        <v>4.3441959135994294E-2</v>
      </c>
      <c r="M444" s="13">
        <f t="shared" si="58"/>
        <v>1.1302328078292794E-2</v>
      </c>
      <c r="N444" s="13">
        <f t="shared" si="59"/>
        <v>1.2586790891855082E-2</v>
      </c>
      <c r="O444" s="13">
        <f t="shared" si="60"/>
        <v>6.0336087072987198E-3</v>
      </c>
    </row>
    <row r="445" spans="1:15" x14ac:dyDescent="0.35">
      <c r="A445" s="2">
        <v>45579</v>
      </c>
      <c r="B445">
        <v>230.00555419921881</v>
      </c>
      <c r="C445">
        <v>883.96661376953125</v>
      </c>
      <c r="D445">
        <v>155.5521240234375</v>
      </c>
      <c r="E445">
        <v>215.91474914550781</v>
      </c>
      <c r="F445">
        <v>79.866737365722656</v>
      </c>
      <c r="G445">
        <v>167.0871887207031</v>
      </c>
      <c r="H445">
        <v>5859.85009765625</v>
      </c>
      <c r="I445" s="13">
        <f t="shared" si="54"/>
        <v>1.6345599701801005E-2</v>
      </c>
      <c r="J445" s="13">
        <f t="shared" si="55"/>
        <v>8.2061380850312804E-4</v>
      </c>
      <c r="K445" s="13">
        <f t="shared" si="56"/>
        <v>8.6684325286583359E-4</v>
      </c>
      <c r="L445" s="13">
        <f t="shared" si="57"/>
        <v>-3.6504532775566419E-3</v>
      </c>
      <c r="M445" s="13">
        <f t="shared" si="58"/>
        <v>1.2745310954828037E-2</v>
      </c>
      <c r="N445" s="13">
        <f t="shared" si="59"/>
        <v>8.2655856349338041E-3</v>
      </c>
      <c r="O445" s="13">
        <f t="shared" si="60"/>
        <v>7.6781145745943233E-3</v>
      </c>
    </row>
    <row r="446" spans="1:15" x14ac:dyDescent="0.35">
      <c r="A446" s="2">
        <v>45580</v>
      </c>
      <c r="B446">
        <v>232.5412902832031</v>
      </c>
      <c r="C446">
        <v>888.7850341796875</v>
      </c>
      <c r="D446">
        <v>157.95854187011719</v>
      </c>
      <c r="E446">
        <v>216.8018798828125</v>
      </c>
      <c r="F446">
        <v>79.751144409179688</v>
      </c>
      <c r="G446">
        <v>168.1138610839844</v>
      </c>
      <c r="H446">
        <v>5815.259765625</v>
      </c>
      <c r="I446" s="13">
        <f t="shared" si="54"/>
        <v>1.0964344551760315E-2</v>
      </c>
      <c r="J446" s="13">
        <f t="shared" si="55"/>
        <v>5.4361052565742108E-3</v>
      </c>
      <c r="K446" s="13">
        <f t="shared" si="56"/>
        <v>1.5351727194256265E-2</v>
      </c>
      <c r="L446" s="13">
        <f t="shared" si="57"/>
        <v>4.1002906784283581E-3</v>
      </c>
      <c r="M446" s="13">
        <f t="shared" si="58"/>
        <v>-1.4483712659882908E-3</v>
      </c>
      <c r="N446" s="13">
        <f t="shared" si="59"/>
        <v>6.1257300615892955E-3</v>
      </c>
      <c r="O446" s="13">
        <f t="shared" si="60"/>
        <v>-7.6385660375134215E-3</v>
      </c>
    </row>
    <row r="447" spans="1:15" x14ac:dyDescent="0.35">
      <c r="A447" s="2">
        <v>45581</v>
      </c>
      <c r="B447">
        <v>230.48284912109381</v>
      </c>
      <c r="C447">
        <v>881.6021728515625</v>
      </c>
      <c r="D447">
        <v>158.1318054199219</v>
      </c>
      <c r="E447">
        <v>218.02049255371091</v>
      </c>
      <c r="F447">
        <v>81.292404174804688</v>
      </c>
      <c r="G447">
        <v>166.96128845214841</v>
      </c>
      <c r="H447">
        <v>5842.47021484375</v>
      </c>
      <c r="I447" s="13">
        <f t="shared" si="54"/>
        <v>-8.8913494910504588E-3</v>
      </c>
      <c r="J447" s="13">
        <f t="shared" si="55"/>
        <v>-8.1144968880803546E-3</v>
      </c>
      <c r="K447" s="13">
        <f t="shared" si="56"/>
        <v>1.0962914156873345E-3</v>
      </c>
      <c r="L447" s="13">
        <f t="shared" si="57"/>
        <v>5.6051203370045015E-3</v>
      </c>
      <c r="M447" s="13">
        <f t="shared" si="58"/>
        <v>1.9141491084391032E-2</v>
      </c>
      <c r="N447" s="13">
        <f t="shared" si="59"/>
        <v>-6.879514515758983E-3</v>
      </c>
      <c r="O447" s="13">
        <f t="shared" si="60"/>
        <v>4.6682327827797659E-3</v>
      </c>
    </row>
    <row r="448" spans="1:15" x14ac:dyDescent="0.35">
      <c r="A448" s="2">
        <v>45582</v>
      </c>
      <c r="B448">
        <v>230.85078430175781</v>
      </c>
      <c r="C448">
        <v>879.52569580078125</v>
      </c>
      <c r="D448">
        <v>158.314697265625</v>
      </c>
      <c r="E448">
        <v>218.7808837890625</v>
      </c>
      <c r="F448">
        <v>80.704795837402344</v>
      </c>
      <c r="G448">
        <v>166.86442565917969</v>
      </c>
      <c r="H448">
        <v>5841.47021484375</v>
      </c>
      <c r="I448" s="13">
        <f t="shared" si="54"/>
        <v>1.5950940144829474E-3</v>
      </c>
      <c r="J448" s="13">
        <f t="shared" si="55"/>
        <v>-2.3581229392501653E-3</v>
      </c>
      <c r="K448" s="13">
        <f t="shared" si="56"/>
        <v>1.1559101744838488E-3</v>
      </c>
      <c r="L448" s="13">
        <f t="shared" si="57"/>
        <v>3.4816373969657802E-3</v>
      </c>
      <c r="M448" s="13">
        <f t="shared" si="58"/>
        <v>-7.2545811218525224E-3</v>
      </c>
      <c r="N448" s="13">
        <f t="shared" si="59"/>
        <v>-5.8031955953393756E-4</v>
      </c>
      <c r="O448" s="13">
        <f t="shared" si="60"/>
        <v>-1.7117512853816633E-4</v>
      </c>
    </row>
    <row r="449" spans="1:15" x14ac:dyDescent="0.35">
      <c r="A449" s="2">
        <v>45583</v>
      </c>
      <c r="B449">
        <v>233.6848449707031</v>
      </c>
      <c r="C449">
        <v>883.7679443359375</v>
      </c>
      <c r="D449">
        <v>158.94036865234381</v>
      </c>
      <c r="E449">
        <v>219.7070007324219</v>
      </c>
      <c r="F449">
        <v>81.28277587890625</v>
      </c>
      <c r="G449">
        <v>166.8712463378906</v>
      </c>
      <c r="H449">
        <v>5864.669921875</v>
      </c>
      <c r="I449" s="13">
        <f t="shared" si="54"/>
        <v>1.2201844821795963E-2</v>
      </c>
      <c r="J449" s="13">
        <f t="shared" si="55"/>
        <v>4.811741644844607E-3</v>
      </c>
      <c r="K449" s="13">
        <f t="shared" si="56"/>
        <v>3.944284993899567E-3</v>
      </c>
      <c r="L449" s="13">
        <f t="shared" si="57"/>
        <v>4.2241455380673514E-3</v>
      </c>
      <c r="M449" s="13">
        <f t="shared" si="58"/>
        <v>7.1361338175775745E-3</v>
      </c>
      <c r="N449" s="13">
        <f t="shared" si="59"/>
        <v>4.0874735811302617E-5</v>
      </c>
      <c r="O449" s="13">
        <f t="shared" si="60"/>
        <v>3.9636869427743873E-3</v>
      </c>
    </row>
    <row r="450" spans="1:15" x14ac:dyDescent="0.35">
      <c r="A450" s="2">
        <v>45586</v>
      </c>
      <c r="B450">
        <v>235.15655517578119</v>
      </c>
      <c r="C450">
        <v>880.9962158203125</v>
      </c>
      <c r="D450">
        <v>156.736083984375</v>
      </c>
      <c r="E450">
        <v>217.39656066894531</v>
      </c>
      <c r="F450">
        <v>80.945625305175781</v>
      </c>
      <c r="G450">
        <v>165.17604064941409</v>
      </c>
      <c r="H450">
        <v>5853.97998046875</v>
      </c>
      <c r="I450" s="13">
        <f t="shared" si="54"/>
        <v>6.278093353117852E-3</v>
      </c>
      <c r="J450" s="13">
        <f t="shared" si="55"/>
        <v>-3.1411911656817866E-3</v>
      </c>
      <c r="K450" s="13">
        <f t="shared" si="56"/>
        <v>-1.3965694789902257E-2</v>
      </c>
      <c r="L450" s="13">
        <f t="shared" si="57"/>
        <v>-1.0571689574191636E-2</v>
      </c>
      <c r="M450" s="13">
        <f t="shared" si="58"/>
        <v>-4.1564985744474755E-3</v>
      </c>
      <c r="N450" s="13">
        <f t="shared" si="59"/>
        <v>-1.0210716866056901E-2</v>
      </c>
      <c r="O450" s="13">
        <f t="shared" si="60"/>
        <v>-1.8244327564190331E-3</v>
      </c>
    </row>
    <row r="451" spans="1:15" x14ac:dyDescent="0.35">
      <c r="A451" s="2">
        <v>45587</v>
      </c>
      <c r="B451">
        <v>234.5400085449219</v>
      </c>
      <c r="C451">
        <v>887.67236328125</v>
      </c>
      <c r="D451">
        <v>157.33287048339841</v>
      </c>
      <c r="E451">
        <v>218.48841857910159</v>
      </c>
      <c r="F451">
        <v>80.627738952636719</v>
      </c>
      <c r="G451">
        <v>165.33189392089841</v>
      </c>
      <c r="H451">
        <v>5851.2001953125</v>
      </c>
      <c r="I451" s="13">
        <f t="shared" si="54"/>
        <v>-2.6252991083800807E-3</v>
      </c>
      <c r="J451" s="13">
        <f t="shared" si="55"/>
        <v>7.5493840369072135E-3</v>
      </c>
      <c r="K451" s="13">
        <f t="shared" si="56"/>
        <v>3.800357907408822E-3</v>
      </c>
      <c r="L451" s="13">
        <f t="shared" si="57"/>
        <v>5.0098546443068685E-3</v>
      </c>
      <c r="M451" s="13">
        <f t="shared" si="58"/>
        <v>-3.9348906815390109E-3</v>
      </c>
      <c r="N451" s="13">
        <f t="shared" si="59"/>
        <v>9.4311371519168732E-4</v>
      </c>
      <c r="O451" s="13">
        <f t="shared" si="60"/>
        <v>-4.7496666719579368E-4</v>
      </c>
    </row>
    <row r="452" spans="1:15" x14ac:dyDescent="0.35">
      <c r="A452" s="2">
        <v>45588</v>
      </c>
      <c r="B452">
        <v>229.46856689453119</v>
      </c>
      <c r="C452">
        <v>893.3153076171875</v>
      </c>
      <c r="D452">
        <v>159.65269470214841</v>
      </c>
      <c r="E452">
        <v>217.79624938964841</v>
      </c>
      <c r="F452">
        <v>81.841484069824219</v>
      </c>
      <c r="G452">
        <v>165.21501159667969</v>
      </c>
      <c r="H452">
        <v>5797.419921875</v>
      </c>
      <c r="I452" s="13">
        <f t="shared" si="54"/>
        <v>-2.1860128767870909E-2</v>
      </c>
      <c r="J452" s="13">
        <f t="shared" si="55"/>
        <v>6.3368919520311543E-3</v>
      </c>
      <c r="K452" s="13">
        <f t="shared" si="56"/>
        <v>1.4637042758860016E-2</v>
      </c>
      <c r="L452" s="13">
        <f t="shared" si="57"/>
        <v>-3.1730189988500028E-3</v>
      </c>
      <c r="M452" s="13">
        <f t="shared" si="58"/>
        <v>1.4941509229972087E-2</v>
      </c>
      <c r="N452" s="13">
        <f t="shared" si="59"/>
        <v>-7.0720570750563842E-4</v>
      </c>
      <c r="O452" s="13">
        <f t="shared" si="60"/>
        <v>-9.2338242676795641E-3</v>
      </c>
    </row>
    <row r="453" spans="1:15" x14ac:dyDescent="0.35">
      <c r="A453" s="2">
        <v>45589</v>
      </c>
      <c r="B453">
        <v>229.2796325683594</v>
      </c>
      <c r="C453">
        <v>887.602783203125</v>
      </c>
      <c r="D453">
        <v>157.54463195800781</v>
      </c>
      <c r="E453">
        <v>219.32679748535159</v>
      </c>
      <c r="F453">
        <v>79.770401000976563</v>
      </c>
      <c r="G453">
        <v>165.25396728515619</v>
      </c>
      <c r="H453">
        <v>5809.85986328125</v>
      </c>
      <c r="I453" s="13">
        <f t="shared" ref="I453:I516" si="61">LN(B453/B452)</f>
        <v>-8.2369516469049436E-4</v>
      </c>
      <c r="J453" s="13">
        <f t="shared" ref="J453:J516" si="62">LN(C453/C452)</f>
        <v>-6.4152798890203255E-3</v>
      </c>
      <c r="K453" s="13">
        <f t="shared" ref="K453:K516" si="63">LN(D453/D452)</f>
        <v>-1.3292002196146407E-2</v>
      </c>
      <c r="L453" s="13">
        <f t="shared" ref="L453:L516" si="64">LN(E453/E452)</f>
        <v>7.0028535968288102E-3</v>
      </c>
      <c r="M453" s="13">
        <f t="shared" ref="M453:M516" si="65">LN(F453/F452)</f>
        <v>-2.5631734399328285E-2</v>
      </c>
      <c r="N453" s="13">
        <f t="shared" ref="N453:N516" si="66">LN(G453/G452)</f>
        <v>2.3576003284026984E-4</v>
      </c>
      <c r="O453" s="13">
        <f t="shared" ref="O453:O516" si="67">LN(H453/H452)</f>
        <v>2.1434731305568283E-3</v>
      </c>
    </row>
    <row r="454" spans="1:15" x14ac:dyDescent="0.35">
      <c r="A454" s="2">
        <v>45590</v>
      </c>
      <c r="B454">
        <v>230.11492919921881</v>
      </c>
      <c r="C454">
        <v>885.41705322265625</v>
      </c>
      <c r="D454">
        <v>154.85906982421881</v>
      </c>
      <c r="E454">
        <v>216.72389221191409</v>
      </c>
      <c r="F454">
        <v>78.441070556640625</v>
      </c>
      <c r="G454">
        <v>163.8900146484375</v>
      </c>
      <c r="H454">
        <v>5808.1201171875</v>
      </c>
      <c r="I454" s="13">
        <f t="shared" si="61"/>
        <v>3.6365147561123481E-3</v>
      </c>
      <c r="J454" s="13">
        <f t="shared" si="62"/>
        <v>-2.46554611832683E-3</v>
      </c>
      <c r="K454" s="13">
        <f t="shared" si="63"/>
        <v>-1.719331925183883E-2</v>
      </c>
      <c r="L454" s="13">
        <f t="shared" si="64"/>
        <v>-1.193868626449004E-2</v>
      </c>
      <c r="M454" s="13">
        <f t="shared" si="65"/>
        <v>-1.6804871544245065E-2</v>
      </c>
      <c r="N454" s="13">
        <f t="shared" si="66"/>
        <v>-8.2879257652329428E-3</v>
      </c>
      <c r="O454" s="13">
        <f t="shared" si="67"/>
        <v>-2.9949201318627087E-4</v>
      </c>
    </row>
    <row r="455" spans="1:15" x14ac:dyDescent="0.35">
      <c r="A455" s="2">
        <v>45593</v>
      </c>
      <c r="B455">
        <v>232.0937805175781</v>
      </c>
      <c r="C455">
        <v>885.15887451171875</v>
      </c>
      <c r="D455">
        <v>155.5521240234375</v>
      </c>
      <c r="E455">
        <v>219.833740234375</v>
      </c>
      <c r="F455">
        <v>79.828208923339844</v>
      </c>
      <c r="G455">
        <v>164.94221496582031</v>
      </c>
      <c r="H455">
        <v>5823.52001953125</v>
      </c>
      <c r="I455" s="13">
        <f t="shared" si="61"/>
        <v>8.5626400685589639E-3</v>
      </c>
      <c r="J455" s="13">
        <f t="shared" si="62"/>
        <v>-2.9163246684109373E-4</v>
      </c>
      <c r="K455" s="13">
        <f t="shared" si="63"/>
        <v>4.4654017932918349E-3</v>
      </c>
      <c r="L455" s="13">
        <f t="shared" si="64"/>
        <v>1.4247377190250108E-2</v>
      </c>
      <c r="M455" s="13">
        <f t="shared" si="65"/>
        <v>1.7529287940086107E-2</v>
      </c>
      <c r="N455" s="13">
        <f t="shared" si="66"/>
        <v>6.3996397781372494E-3</v>
      </c>
      <c r="O455" s="13">
        <f t="shared" si="67"/>
        <v>2.6479346267329448E-3</v>
      </c>
    </row>
    <row r="456" spans="1:15" x14ac:dyDescent="0.35">
      <c r="A456" s="2">
        <v>45594</v>
      </c>
      <c r="B456">
        <v>232.36228942871091</v>
      </c>
      <c r="C456">
        <v>881.2147216796875</v>
      </c>
      <c r="D456">
        <v>154.09861755371091</v>
      </c>
      <c r="E456">
        <v>217.299072265625</v>
      </c>
      <c r="F456">
        <v>76.639694213867188</v>
      </c>
      <c r="G456">
        <v>162.86701965332031</v>
      </c>
      <c r="H456">
        <v>5832.919921875</v>
      </c>
      <c r="I456" s="13">
        <f t="shared" si="61"/>
        <v>1.1562296562395737E-3</v>
      </c>
      <c r="J456" s="13">
        <f t="shared" si="62"/>
        <v>-4.4658269299170036E-3</v>
      </c>
      <c r="K456" s="13">
        <f t="shared" si="63"/>
        <v>-9.388106987215138E-3</v>
      </c>
      <c r="L456" s="13">
        <f t="shared" si="64"/>
        <v>-1.1596916557963423E-2</v>
      </c>
      <c r="M456" s="13">
        <f t="shared" si="65"/>
        <v>-4.076179351889736E-2</v>
      </c>
      <c r="N456" s="13">
        <f t="shared" si="66"/>
        <v>-1.2661162745214611E-2</v>
      </c>
      <c r="O456" s="13">
        <f t="shared" si="67"/>
        <v>1.6128259449012198E-3</v>
      </c>
    </row>
    <row r="457" spans="1:15" x14ac:dyDescent="0.35">
      <c r="A457" s="2">
        <v>45595</v>
      </c>
      <c r="B457">
        <v>228.812255859375</v>
      </c>
      <c r="C457">
        <v>873.36614990234375</v>
      </c>
      <c r="D457">
        <v>154.59916687011719</v>
      </c>
      <c r="E457">
        <v>218.77113342285159</v>
      </c>
      <c r="F457">
        <v>76.186935424804688</v>
      </c>
      <c r="G457">
        <v>161.8830261230469</v>
      </c>
      <c r="H457">
        <v>5813.669921875</v>
      </c>
      <c r="I457" s="13">
        <f t="shared" si="61"/>
        <v>-1.5395922123959786E-2</v>
      </c>
      <c r="J457" s="13">
        <f t="shared" si="62"/>
        <v>-8.9464375835242339E-3</v>
      </c>
      <c r="K457" s="13">
        <f t="shared" si="63"/>
        <v>3.2429760130983131E-3</v>
      </c>
      <c r="L457" s="13">
        <f t="shared" si="64"/>
        <v>6.7515126223114171E-3</v>
      </c>
      <c r="M457" s="13">
        <f t="shared" si="65"/>
        <v>-5.9251468769486206E-3</v>
      </c>
      <c r="N457" s="13">
        <f t="shared" si="66"/>
        <v>-6.0600240363843831E-3</v>
      </c>
      <c r="O457" s="13">
        <f t="shared" si="67"/>
        <v>-3.3056916724881185E-3</v>
      </c>
    </row>
    <row r="458" spans="1:15" x14ac:dyDescent="0.35">
      <c r="A458" s="2">
        <v>45596</v>
      </c>
      <c r="B458">
        <v>224.64570617675781</v>
      </c>
      <c r="C458">
        <v>868.488037109375</v>
      </c>
      <c r="D458">
        <v>153.87724304199219</v>
      </c>
      <c r="E458">
        <v>216.34370422363281</v>
      </c>
      <c r="F458">
        <v>76.341072082519531</v>
      </c>
      <c r="G458">
        <v>160.92826843261719</v>
      </c>
      <c r="H458">
        <v>5705.4501953125</v>
      </c>
      <c r="I458" s="13">
        <f t="shared" si="61"/>
        <v>-1.8377301947281943E-2</v>
      </c>
      <c r="J458" s="13">
        <f t="shared" si="62"/>
        <v>-5.6010722164382453E-3</v>
      </c>
      <c r="K458" s="13">
        <f t="shared" si="63"/>
        <v>-4.6805857622334961E-3</v>
      </c>
      <c r="L458" s="13">
        <f t="shared" si="64"/>
        <v>-1.1157764216936768E-2</v>
      </c>
      <c r="M458" s="13">
        <f t="shared" si="65"/>
        <v>2.0210938660011803E-3</v>
      </c>
      <c r="N458" s="13">
        <f t="shared" si="66"/>
        <v>-5.9152854345103732E-3</v>
      </c>
      <c r="O458" s="13">
        <f t="shared" si="67"/>
        <v>-1.8790134928745348E-2</v>
      </c>
    </row>
    <row r="459" spans="1:15" x14ac:dyDescent="0.35">
      <c r="A459" s="2">
        <v>45597</v>
      </c>
      <c r="B459">
        <v>221.66249084472659</v>
      </c>
      <c r="C459">
        <v>872.755859375</v>
      </c>
      <c r="D459">
        <v>154.13713073730469</v>
      </c>
      <c r="E459">
        <v>217.33807373046881</v>
      </c>
      <c r="F459">
        <v>74.510818481445313</v>
      </c>
      <c r="G459">
        <v>160.8503112792969</v>
      </c>
      <c r="H459">
        <v>5728.7998046875</v>
      </c>
      <c r="I459" s="13">
        <f t="shared" si="61"/>
        <v>-1.3368608426875303E-2</v>
      </c>
      <c r="J459" s="13">
        <f t="shared" si="62"/>
        <v>4.9020482662767125E-3</v>
      </c>
      <c r="K459" s="13">
        <f t="shared" si="63"/>
        <v>1.6875040849332775E-3</v>
      </c>
      <c r="L459" s="13">
        <f t="shared" si="64"/>
        <v>4.5857183765503212E-3</v>
      </c>
      <c r="M459" s="13">
        <f t="shared" si="65"/>
        <v>-2.426676138217888E-2</v>
      </c>
      <c r="N459" s="13">
        <f t="shared" si="66"/>
        <v>-4.8453911951071651E-4</v>
      </c>
      <c r="O459" s="13">
        <f t="shared" si="67"/>
        <v>4.0841580045254591E-3</v>
      </c>
    </row>
    <row r="460" spans="1:15" x14ac:dyDescent="0.35">
      <c r="A460" s="2">
        <v>45600</v>
      </c>
      <c r="B460">
        <v>220.76751708984381</v>
      </c>
      <c r="C460">
        <v>881.47039794921875</v>
      </c>
      <c r="D460">
        <v>152.31785583496091</v>
      </c>
      <c r="E460">
        <v>214.25746154785159</v>
      </c>
      <c r="F460">
        <v>75.493385314941406</v>
      </c>
      <c r="G460">
        <v>160.83082580566409</v>
      </c>
      <c r="H460">
        <v>5712.68994140625</v>
      </c>
      <c r="I460" s="13">
        <f t="shared" si="61"/>
        <v>-4.0457245646438843E-3</v>
      </c>
      <c r="J460" s="13">
        <f t="shared" si="62"/>
        <v>9.9355601661382277E-3</v>
      </c>
      <c r="K460" s="13">
        <f t="shared" si="63"/>
        <v>-1.187317129283829E-2</v>
      </c>
      <c r="L460" s="13">
        <f t="shared" si="64"/>
        <v>-1.4275701431434371E-2</v>
      </c>
      <c r="M460" s="13">
        <f t="shared" si="65"/>
        <v>1.3100711335266441E-2</v>
      </c>
      <c r="N460" s="13">
        <f t="shared" si="66"/>
        <v>-1.2114775415942444E-4</v>
      </c>
      <c r="O460" s="13">
        <f t="shared" si="67"/>
        <v>-2.8160448131902913E-3</v>
      </c>
    </row>
    <row r="461" spans="1:15" x14ac:dyDescent="0.35">
      <c r="A461" s="2">
        <v>45601</v>
      </c>
      <c r="B461">
        <v>222.199462890625</v>
      </c>
      <c r="C461">
        <v>885.549072265625</v>
      </c>
      <c r="D461">
        <v>152.42375183105469</v>
      </c>
      <c r="E461">
        <v>215.92449951171881</v>
      </c>
      <c r="F461">
        <v>75.763099670410156</v>
      </c>
      <c r="G461">
        <v>161.4933166503906</v>
      </c>
      <c r="H461">
        <v>5782.759765625</v>
      </c>
      <c r="I461" s="13">
        <f t="shared" si="61"/>
        <v>6.4652710175059896E-3</v>
      </c>
      <c r="J461" s="13">
        <f t="shared" si="62"/>
        <v>4.6164534446377411E-3</v>
      </c>
      <c r="K461" s="13">
        <f t="shared" si="63"/>
        <v>6.949887884835095E-4</v>
      </c>
      <c r="L461" s="13">
        <f t="shared" si="64"/>
        <v>7.7504240509677566E-3</v>
      </c>
      <c r="M461" s="13">
        <f t="shared" si="65"/>
        <v>3.5663216867916243E-3</v>
      </c>
      <c r="N461" s="13">
        <f t="shared" si="66"/>
        <v>4.1107176929142631E-3</v>
      </c>
      <c r="O461" s="13">
        <f t="shared" si="67"/>
        <v>1.2191031029563081E-2</v>
      </c>
    </row>
    <row r="462" spans="1:15" x14ac:dyDescent="0.35">
      <c r="A462" s="2">
        <v>45602</v>
      </c>
      <c r="B462">
        <v>221.47357177734381</v>
      </c>
      <c r="C462">
        <v>894.5819091796875</v>
      </c>
      <c r="D462">
        <v>151.97132873535159</v>
      </c>
      <c r="E462">
        <v>240.85198974609381</v>
      </c>
      <c r="F462">
        <v>71.784683227539063</v>
      </c>
      <c r="G462">
        <v>156.9045715332031</v>
      </c>
      <c r="H462">
        <v>5929.0400390625</v>
      </c>
      <c r="I462" s="13">
        <f t="shared" si="61"/>
        <v>-3.2721923770524216E-3</v>
      </c>
      <c r="J462" s="13">
        <f t="shared" si="62"/>
        <v>1.0148595283610949E-2</v>
      </c>
      <c r="K462" s="13">
        <f t="shared" si="63"/>
        <v>-2.9726067057991353E-3</v>
      </c>
      <c r="L462" s="13">
        <f t="shared" si="64"/>
        <v>0.10925378710841459</v>
      </c>
      <c r="M462" s="13">
        <f t="shared" si="65"/>
        <v>-5.3940234605696344E-2</v>
      </c>
      <c r="N462" s="13">
        <f t="shared" si="66"/>
        <v>-2.8825962917944314E-2</v>
      </c>
      <c r="O462" s="13">
        <f t="shared" si="67"/>
        <v>2.4981280957186654E-2</v>
      </c>
    </row>
    <row r="463" spans="1:15" x14ac:dyDescent="0.35">
      <c r="A463" s="2">
        <v>45603</v>
      </c>
      <c r="B463">
        <v>226.20692443847659</v>
      </c>
      <c r="C463">
        <v>909.18572998046875</v>
      </c>
      <c r="D463">
        <v>150.8643493652344</v>
      </c>
      <c r="E463">
        <v>230.44035339355469</v>
      </c>
      <c r="F463">
        <v>71.881027221679688</v>
      </c>
      <c r="G463">
        <v>159.2038269042969</v>
      </c>
      <c r="H463">
        <v>5973.10009765625</v>
      </c>
      <c r="I463" s="13">
        <f t="shared" si="61"/>
        <v>2.1146907639858999E-2</v>
      </c>
      <c r="J463" s="13">
        <f t="shared" si="62"/>
        <v>1.6192928167802895E-2</v>
      </c>
      <c r="K463" s="13">
        <f t="shared" si="63"/>
        <v>-7.3107918294980853E-3</v>
      </c>
      <c r="L463" s="13">
        <f t="shared" si="64"/>
        <v>-4.4190535968926407E-2</v>
      </c>
      <c r="M463" s="13">
        <f t="shared" si="65"/>
        <v>1.3412248236827878E-3</v>
      </c>
      <c r="N463" s="13">
        <f t="shared" si="66"/>
        <v>1.4547515546189181E-2</v>
      </c>
      <c r="O463" s="13">
        <f t="shared" si="67"/>
        <v>7.4037541739956567E-3</v>
      </c>
    </row>
    <row r="464" spans="1:15" x14ac:dyDescent="0.35">
      <c r="A464" s="2">
        <v>45604</v>
      </c>
      <c r="B464">
        <v>225.93812561035159</v>
      </c>
      <c r="C464">
        <v>938.90069580078125</v>
      </c>
      <c r="D464">
        <v>149.65153503417969</v>
      </c>
      <c r="E464">
        <v>231.0252685546875</v>
      </c>
      <c r="F464">
        <v>74.144767761230469</v>
      </c>
      <c r="G464">
        <v>163.39314270019531</v>
      </c>
      <c r="H464">
        <v>5995.5400390625</v>
      </c>
      <c r="I464" s="13">
        <f t="shared" si="61"/>
        <v>-1.188993929106832E-3</v>
      </c>
      <c r="J464" s="13">
        <f t="shared" si="62"/>
        <v>3.2160321627896137E-2</v>
      </c>
      <c r="K464" s="13">
        <f t="shared" si="63"/>
        <v>-8.0715927419553433E-3</v>
      </c>
      <c r="L464" s="13">
        <f t="shared" si="64"/>
        <v>2.5350337990715263E-3</v>
      </c>
      <c r="M464" s="13">
        <f t="shared" si="65"/>
        <v>3.1007150598847198E-2</v>
      </c>
      <c r="N464" s="13">
        <f t="shared" si="66"/>
        <v>2.59739037412773E-2</v>
      </c>
      <c r="O464" s="13">
        <f t="shared" si="67"/>
        <v>3.7497940357180464E-3</v>
      </c>
    </row>
    <row r="465" spans="1:15" x14ac:dyDescent="0.35">
      <c r="A465" s="2">
        <v>45607</v>
      </c>
      <c r="B465">
        <v>223.2204284667969</v>
      </c>
      <c r="C465">
        <v>928.03741455078125</v>
      </c>
      <c r="D465">
        <v>149.23760986328119</v>
      </c>
      <c r="E465">
        <v>233.27723693847659</v>
      </c>
      <c r="F465">
        <v>73.123680114746094</v>
      </c>
      <c r="G465">
        <v>161.7563781738281</v>
      </c>
      <c r="H465">
        <v>6001.35009765625</v>
      </c>
      <c r="I465" s="13">
        <f t="shared" si="61"/>
        <v>-1.2101429594558958E-2</v>
      </c>
      <c r="J465" s="13">
        <f t="shared" si="62"/>
        <v>-1.163766896771146E-2</v>
      </c>
      <c r="K465" s="13">
        <f t="shared" si="63"/>
        <v>-2.7697589061763499E-3</v>
      </c>
      <c r="L465" s="13">
        <f t="shared" si="64"/>
        <v>9.7005121285862993E-3</v>
      </c>
      <c r="M465" s="13">
        <f t="shared" si="65"/>
        <v>-1.3867247521594354E-2</v>
      </c>
      <c r="N465" s="13">
        <f t="shared" si="66"/>
        <v>-1.006785030694821E-2</v>
      </c>
      <c r="O465" s="13">
        <f t="shared" si="67"/>
        <v>9.6859419095692381E-4</v>
      </c>
    </row>
    <row r="466" spans="1:15" x14ac:dyDescent="0.35">
      <c r="A466" s="2">
        <v>45608</v>
      </c>
      <c r="B466">
        <v>223.2204284667969</v>
      </c>
      <c r="C466">
        <v>927.53997802734375</v>
      </c>
      <c r="D466">
        <v>146.92742919921881</v>
      </c>
      <c r="E466">
        <v>233.54046630859381</v>
      </c>
      <c r="F466">
        <v>71.53424072265625</v>
      </c>
      <c r="G466">
        <v>161.5712585449219</v>
      </c>
      <c r="H466">
        <v>5983.990234375</v>
      </c>
      <c r="I466" s="13">
        <f t="shared" si="61"/>
        <v>0</v>
      </c>
      <c r="J466" s="13">
        <f t="shared" si="62"/>
        <v>-5.361528302114531E-4</v>
      </c>
      <c r="K466" s="13">
        <f t="shared" si="63"/>
        <v>-1.5600946872977757E-2</v>
      </c>
      <c r="L466" s="13">
        <f t="shared" si="64"/>
        <v>1.1277609918612093E-3</v>
      </c>
      <c r="M466" s="13">
        <f t="shared" si="65"/>
        <v>-2.1976029382132244E-2</v>
      </c>
      <c r="N466" s="13">
        <f t="shared" si="66"/>
        <v>-1.1450901692954311E-3</v>
      </c>
      <c r="O466" s="13">
        <f t="shared" si="67"/>
        <v>-2.8968514769364996E-3</v>
      </c>
    </row>
    <row r="467" spans="1:15" x14ac:dyDescent="0.35">
      <c r="A467" s="2">
        <v>45609</v>
      </c>
      <c r="B467">
        <v>224.1064147949219</v>
      </c>
      <c r="C467">
        <v>928.8829345703125</v>
      </c>
      <c r="D467">
        <v>147.5050048828125</v>
      </c>
      <c r="E467">
        <v>235.10026550292969</v>
      </c>
      <c r="F467">
        <v>71.514976501464844</v>
      </c>
      <c r="G467">
        <v>162.29222106933591</v>
      </c>
      <c r="H467">
        <v>5985.3798828125</v>
      </c>
      <c r="I467" s="13">
        <f t="shared" si="61"/>
        <v>3.9612533878111301E-3</v>
      </c>
      <c r="J467" s="13">
        <f t="shared" si="62"/>
        <v>1.4468220232818701E-3</v>
      </c>
      <c r="K467" s="13">
        <f t="shared" si="63"/>
        <v>3.9233206508158839E-3</v>
      </c>
      <c r="L467" s="13">
        <f t="shared" si="64"/>
        <v>6.656719522051156E-3</v>
      </c>
      <c r="M467" s="13">
        <f t="shared" si="65"/>
        <v>-2.6933696921505724E-4</v>
      </c>
      <c r="N467" s="13">
        <f t="shared" si="66"/>
        <v>4.452269309429018E-3</v>
      </c>
      <c r="O467" s="13">
        <f t="shared" si="67"/>
        <v>2.3220076414018386E-4</v>
      </c>
    </row>
    <row r="468" spans="1:15" x14ac:dyDescent="0.35">
      <c r="A468" s="2">
        <v>45610</v>
      </c>
      <c r="B468">
        <v>227.19245910644531</v>
      </c>
      <c r="C468">
        <v>919.093994140625</v>
      </c>
      <c r="D468">
        <v>146.1862487792969</v>
      </c>
      <c r="E468">
        <v>235.79240417480469</v>
      </c>
      <c r="F468">
        <v>72.516792297363281</v>
      </c>
      <c r="G468">
        <v>162.77934265136719</v>
      </c>
      <c r="H468">
        <v>5949.169921875</v>
      </c>
      <c r="I468" s="13">
        <f t="shared" si="61"/>
        <v>1.3676490647910995E-2</v>
      </c>
      <c r="J468" s="13">
        <f t="shared" si="62"/>
        <v>-1.059432272815394E-2</v>
      </c>
      <c r="K468" s="13">
        <f t="shared" si="63"/>
        <v>-8.9806213182790813E-3</v>
      </c>
      <c r="L468" s="13">
        <f t="shared" si="64"/>
        <v>2.9396897207632834E-3</v>
      </c>
      <c r="M468" s="13">
        <f t="shared" si="65"/>
        <v>1.3911263611110313E-2</v>
      </c>
      <c r="N468" s="13">
        <f t="shared" si="66"/>
        <v>2.9970135872231709E-3</v>
      </c>
      <c r="O468" s="13">
        <f t="shared" si="67"/>
        <v>-6.0681085822440004E-3</v>
      </c>
    </row>
    <row r="469" spans="1:15" x14ac:dyDescent="0.35">
      <c r="A469" s="2">
        <v>45611</v>
      </c>
      <c r="B469">
        <v>223.98695373535159</v>
      </c>
      <c r="C469">
        <v>902.361328125</v>
      </c>
      <c r="D469">
        <v>148.23655700683591</v>
      </c>
      <c r="E469">
        <v>239.1459655761719</v>
      </c>
      <c r="F469">
        <v>73.547531127929688</v>
      </c>
      <c r="G469">
        <v>165.17604064941409</v>
      </c>
      <c r="H469">
        <v>5870.6201171875</v>
      </c>
      <c r="I469" s="13">
        <f t="shared" si="61"/>
        <v>-1.4209687837560925E-2</v>
      </c>
      <c r="J469" s="13">
        <f t="shared" si="62"/>
        <v>-1.8373370488145694E-2</v>
      </c>
      <c r="K469" s="13">
        <f t="shared" si="63"/>
        <v>1.3927870608685484E-2</v>
      </c>
      <c r="L469" s="13">
        <f t="shared" si="64"/>
        <v>1.4122325552062229E-2</v>
      </c>
      <c r="M469" s="13">
        <f t="shared" si="65"/>
        <v>1.4113726286718654E-2</v>
      </c>
      <c r="N469" s="13">
        <f t="shared" si="66"/>
        <v>1.4616260553503773E-2</v>
      </c>
      <c r="O469" s="13">
        <f t="shared" si="67"/>
        <v>-1.3291430866793769E-2</v>
      </c>
    </row>
    <row r="470" spans="1:15" x14ac:dyDescent="0.35">
      <c r="A470" s="2">
        <v>45614</v>
      </c>
      <c r="B470">
        <v>226.9933776855469</v>
      </c>
      <c r="C470">
        <v>914.7366943359375</v>
      </c>
      <c r="D470">
        <v>148.97772216796881</v>
      </c>
      <c r="E470">
        <v>238.87300109863281</v>
      </c>
      <c r="F470">
        <v>73.5860595703125</v>
      </c>
      <c r="G470">
        <v>166.3548889160156</v>
      </c>
      <c r="H470">
        <v>5893.6201171875</v>
      </c>
      <c r="I470" s="13">
        <f t="shared" si="61"/>
        <v>1.3333035958434261E-2</v>
      </c>
      <c r="J470" s="13">
        <f t="shared" si="62"/>
        <v>1.3621232755832442E-2</v>
      </c>
      <c r="K470" s="13">
        <f t="shared" si="63"/>
        <v>4.9874232121417733E-3</v>
      </c>
      <c r="L470" s="13">
        <f t="shared" si="64"/>
        <v>-1.1420655925315154E-3</v>
      </c>
      <c r="M470" s="13">
        <f t="shared" si="65"/>
        <v>5.237205600789475E-4</v>
      </c>
      <c r="N470" s="13">
        <f t="shared" si="66"/>
        <v>7.1115731883301227E-3</v>
      </c>
      <c r="O470" s="13">
        <f t="shared" si="67"/>
        <v>3.9101597462065374E-3</v>
      </c>
    </row>
    <row r="471" spans="1:15" x14ac:dyDescent="0.35">
      <c r="A471" s="2">
        <v>45615</v>
      </c>
      <c r="B471">
        <v>227.25218200683591</v>
      </c>
      <c r="C471">
        <v>925.32159423828125</v>
      </c>
      <c r="D471">
        <v>147.2739562988281</v>
      </c>
      <c r="E471">
        <v>236.98173522949219</v>
      </c>
      <c r="F471">
        <v>74.250732421875</v>
      </c>
      <c r="G471">
        <v>166.3646240234375</v>
      </c>
      <c r="H471">
        <v>5916.97998046875</v>
      </c>
      <c r="I471" s="13">
        <f t="shared" si="61"/>
        <v>1.1394909373147902E-3</v>
      </c>
      <c r="J471" s="13">
        <f t="shared" si="62"/>
        <v>1.1505088426259689E-2</v>
      </c>
      <c r="K471" s="13">
        <f t="shared" si="63"/>
        <v>-1.1502278483469772E-2</v>
      </c>
      <c r="L471" s="13">
        <f t="shared" si="64"/>
        <v>-7.9489629216940652E-3</v>
      </c>
      <c r="M471" s="13">
        <f t="shared" si="65"/>
        <v>8.9920421190249639E-3</v>
      </c>
      <c r="N471" s="13">
        <f t="shared" si="66"/>
        <v>5.8518403917285433E-5</v>
      </c>
      <c r="O471" s="13">
        <f t="shared" si="67"/>
        <v>3.955750520596487E-3</v>
      </c>
    </row>
    <row r="472" spans="1:15" x14ac:dyDescent="0.35">
      <c r="A472" s="2">
        <v>45616</v>
      </c>
      <c r="B472">
        <v>227.9689636230469</v>
      </c>
      <c r="C472">
        <v>923.26226806640625</v>
      </c>
      <c r="D472">
        <v>147.3798522949219</v>
      </c>
      <c r="E472">
        <v>234.72978210449219</v>
      </c>
      <c r="F472">
        <v>74.058067321777344</v>
      </c>
      <c r="G472">
        <v>166.49128723144531</v>
      </c>
      <c r="H472">
        <v>5917.10986328125</v>
      </c>
      <c r="I472" s="13">
        <f t="shared" si="61"/>
        <v>3.1491604265965587E-3</v>
      </c>
      <c r="J472" s="13">
        <f t="shared" si="62"/>
        <v>-2.2280049780193942E-3</v>
      </c>
      <c r="K472" s="13">
        <f t="shared" si="63"/>
        <v>7.1878250044322273E-4</v>
      </c>
      <c r="L472" s="13">
        <f t="shared" si="64"/>
        <v>-9.5480824642236693E-3</v>
      </c>
      <c r="M472" s="13">
        <f t="shared" si="65"/>
        <v>-2.5981628711446488E-3</v>
      </c>
      <c r="N472" s="13">
        <f t="shared" si="66"/>
        <v>7.6106933864662036E-4</v>
      </c>
      <c r="O472" s="13">
        <f t="shared" si="67"/>
        <v>2.19506213354446E-5</v>
      </c>
    </row>
    <row r="473" spans="1:15" x14ac:dyDescent="0.35">
      <c r="A473" s="2">
        <v>45617</v>
      </c>
      <c r="B473">
        <v>227.49113464355469</v>
      </c>
      <c r="C473">
        <v>950.689208984375</v>
      </c>
      <c r="D473">
        <v>149.6803894042969</v>
      </c>
      <c r="E473">
        <v>238.6097717285156</v>
      </c>
      <c r="F473">
        <v>74.520454406738281</v>
      </c>
      <c r="G473">
        <v>168.30340576171881</v>
      </c>
      <c r="H473">
        <v>5948.7099609375</v>
      </c>
      <c r="I473" s="13">
        <f t="shared" si="61"/>
        <v>-2.0982261963951201E-3</v>
      </c>
      <c r="J473" s="13">
        <f t="shared" si="62"/>
        <v>2.9273863142171959E-2</v>
      </c>
      <c r="K473" s="13">
        <f t="shared" si="63"/>
        <v>1.5489000408493278E-2</v>
      </c>
      <c r="L473" s="13">
        <f t="shared" si="64"/>
        <v>1.6394474102664112E-2</v>
      </c>
      <c r="M473" s="13">
        <f t="shared" si="65"/>
        <v>6.2241644664240816E-3</v>
      </c>
      <c r="N473" s="13">
        <f t="shared" si="66"/>
        <v>1.0825358136000491E-2</v>
      </c>
      <c r="O473" s="13">
        <f t="shared" si="67"/>
        <v>5.3262518442884913E-3</v>
      </c>
    </row>
    <row r="474" spans="1:15" x14ac:dyDescent="0.35">
      <c r="A474" s="2">
        <v>45618</v>
      </c>
      <c r="B474">
        <v>228.83502197265619</v>
      </c>
      <c r="C474">
        <v>959.00579833984375</v>
      </c>
      <c r="D474">
        <v>149.36274719238281</v>
      </c>
      <c r="E474">
        <v>242.3045654296875</v>
      </c>
      <c r="F474">
        <v>73.701011657714844</v>
      </c>
      <c r="G474">
        <v>171.74253845214841</v>
      </c>
      <c r="H474">
        <v>5969.33984375</v>
      </c>
      <c r="I474" s="13">
        <f t="shared" si="61"/>
        <v>5.8900468222810318E-3</v>
      </c>
      <c r="J474" s="13">
        <f t="shared" si="62"/>
        <v>8.7099164003083956E-3</v>
      </c>
      <c r="K474" s="13">
        <f t="shared" si="63"/>
        <v>-2.1243913837317172E-3</v>
      </c>
      <c r="L474" s="13">
        <f t="shared" si="64"/>
        <v>1.5366006437418261E-2</v>
      </c>
      <c r="M474" s="13">
        <f t="shared" si="65"/>
        <v>-1.1057117697052614E-2</v>
      </c>
      <c r="N474" s="13">
        <f t="shared" si="66"/>
        <v>2.0228148673851653E-2</v>
      </c>
      <c r="O474" s="13">
        <f t="shared" si="67"/>
        <v>3.4619595915364653E-3</v>
      </c>
    </row>
    <row r="475" spans="1:15" x14ac:dyDescent="0.35">
      <c r="A475" s="2">
        <v>45621</v>
      </c>
      <c r="B475">
        <v>231.82151794433591</v>
      </c>
      <c r="C475">
        <v>955.9019775390625</v>
      </c>
      <c r="D475">
        <v>149.9499206542969</v>
      </c>
      <c r="E475">
        <v>244.0008239746094</v>
      </c>
      <c r="F475">
        <v>74.3216552734375</v>
      </c>
      <c r="G475">
        <v>172.82395935058591</v>
      </c>
      <c r="H475">
        <v>5987.3701171875</v>
      </c>
      <c r="I475" s="13">
        <f t="shared" si="61"/>
        <v>1.2966440528748457E-2</v>
      </c>
      <c r="J475" s="13">
        <f t="shared" si="62"/>
        <v>-3.2417472611785815E-3</v>
      </c>
      <c r="K475" s="13">
        <f t="shared" si="63"/>
        <v>3.9234838897427259E-3</v>
      </c>
      <c r="L475" s="13">
        <f t="shared" si="64"/>
        <v>6.9761325336361512E-3</v>
      </c>
      <c r="M475" s="13">
        <f t="shared" si="65"/>
        <v>8.3858407050437511E-3</v>
      </c>
      <c r="N475" s="13">
        <f t="shared" si="66"/>
        <v>6.2770144867748531E-3</v>
      </c>
      <c r="O475" s="13">
        <f t="shared" si="67"/>
        <v>3.0159278201245415E-3</v>
      </c>
    </row>
    <row r="476" spans="1:15" x14ac:dyDescent="0.35">
      <c r="A476" s="2">
        <v>45622</v>
      </c>
      <c r="B476">
        <v>234.0016784667969</v>
      </c>
      <c r="C476">
        <v>966.45684814453125</v>
      </c>
      <c r="D476">
        <v>149.93052673339841</v>
      </c>
      <c r="E476">
        <v>243.68885803222659</v>
      </c>
      <c r="F476">
        <v>75.145942687988281</v>
      </c>
      <c r="G476">
        <v>174.6945495605469</v>
      </c>
      <c r="H476">
        <v>6021.6298828125</v>
      </c>
      <c r="I476" s="13">
        <f t="shared" si="61"/>
        <v>9.360531884026144E-3</v>
      </c>
      <c r="J476" s="13">
        <f t="shared" si="62"/>
        <v>1.0981276263835655E-2</v>
      </c>
      <c r="K476" s="13">
        <f t="shared" si="63"/>
        <v>-1.2934435102034177E-4</v>
      </c>
      <c r="L476" s="13">
        <f t="shared" si="64"/>
        <v>-1.2793626621355506E-3</v>
      </c>
      <c r="M476" s="13">
        <f t="shared" si="65"/>
        <v>1.1029758721931834E-2</v>
      </c>
      <c r="N476" s="13">
        <f t="shared" si="66"/>
        <v>1.0765517393616282E-2</v>
      </c>
      <c r="O476" s="13">
        <f t="shared" si="67"/>
        <v>5.705697155263866E-3</v>
      </c>
    </row>
    <row r="477" spans="1:15" x14ac:dyDescent="0.35">
      <c r="A477" s="2">
        <v>45623</v>
      </c>
      <c r="B477">
        <v>233.87223815917969</v>
      </c>
      <c r="C477">
        <v>956.55853271484375</v>
      </c>
      <c r="D477">
        <v>150.78437805175781</v>
      </c>
      <c r="E477">
        <v>243.51338195800781</v>
      </c>
      <c r="F477">
        <v>76.144775390625</v>
      </c>
      <c r="G477">
        <v>174.7432556152344</v>
      </c>
      <c r="H477">
        <v>5998.740234375</v>
      </c>
      <c r="I477" s="13">
        <f t="shared" si="61"/>
        <v>-5.5331278927908624E-4</v>
      </c>
      <c r="J477" s="13">
        <f t="shared" si="62"/>
        <v>-1.0294668411747247E-2</v>
      </c>
      <c r="K477" s="13">
        <f t="shared" si="63"/>
        <v>5.6788246902893984E-3</v>
      </c>
      <c r="L477" s="13">
        <f t="shared" si="64"/>
        <v>-7.2034185150732992E-4</v>
      </c>
      <c r="M477" s="13">
        <f t="shared" si="65"/>
        <v>1.3204342313582997E-2</v>
      </c>
      <c r="N477" s="13">
        <f t="shared" si="66"/>
        <v>2.7876809138271849E-4</v>
      </c>
      <c r="O477" s="13">
        <f t="shared" si="67"/>
        <v>-3.8084810835777119E-3</v>
      </c>
    </row>
    <row r="478" spans="1:15" x14ac:dyDescent="0.35">
      <c r="A478" s="2">
        <v>45625</v>
      </c>
      <c r="B478">
        <v>236.2614440917969</v>
      </c>
      <c r="C478">
        <v>966.8349609375</v>
      </c>
      <c r="D478">
        <v>150.40596008300781</v>
      </c>
      <c r="E478">
        <v>243.4451599121094</v>
      </c>
      <c r="F478">
        <v>76.290245056152344</v>
      </c>
      <c r="G478">
        <v>174.64582824707031</v>
      </c>
      <c r="H478">
        <v>6032.3798828125</v>
      </c>
      <c r="I478" s="13">
        <f t="shared" si="61"/>
        <v>1.0164030323116146E-2</v>
      </c>
      <c r="J478" s="13">
        <f t="shared" si="62"/>
        <v>1.0685827983223935E-2</v>
      </c>
      <c r="K478" s="13">
        <f t="shared" si="63"/>
        <v>-2.51281744435975E-3</v>
      </c>
      <c r="L478" s="13">
        <f t="shared" si="64"/>
        <v>-2.8019652795395391E-4</v>
      </c>
      <c r="M478" s="13">
        <f t="shared" si="65"/>
        <v>1.9086127224669314E-3</v>
      </c>
      <c r="N478" s="13">
        <f t="shared" si="66"/>
        <v>-5.5770128598367724E-4</v>
      </c>
      <c r="O478" s="13">
        <f t="shared" si="67"/>
        <v>5.5921203968016227E-3</v>
      </c>
    </row>
    <row r="479" spans="1:15" x14ac:dyDescent="0.35">
      <c r="A479" s="2">
        <v>45628</v>
      </c>
      <c r="B479">
        <v>238.51127624511719</v>
      </c>
      <c r="C479">
        <v>969.938720703125</v>
      </c>
      <c r="D479">
        <v>150.20220947265619</v>
      </c>
      <c r="E479">
        <v>240.0623474121094</v>
      </c>
      <c r="F479">
        <v>74.7386474609375</v>
      </c>
      <c r="G479">
        <v>175.0744934082031</v>
      </c>
      <c r="H479">
        <v>6047.14990234375</v>
      </c>
      <c r="I479" s="13">
        <f t="shared" si="61"/>
        <v>9.4775832636369035E-3</v>
      </c>
      <c r="J479" s="13">
        <f t="shared" si="62"/>
        <v>3.2050852941801554E-3</v>
      </c>
      <c r="K479" s="13">
        <f t="shared" si="63"/>
        <v>-1.3555895161078224E-3</v>
      </c>
      <c r="L479" s="13">
        <f t="shared" si="64"/>
        <v>-1.3993030702454287E-2</v>
      </c>
      <c r="M479" s="13">
        <f t="shared" si="65"/>
        <v>-2.054775295850246E-2</v>
      </c>
      <c r="N479" s="13">
        <f t="shared" si="66"/>
        <v>2.4514753605625757E-3</v>
      </c>
      <c r="O479" s="13">
        <f t="shared" si="67"/>
        <v>2.4454638805813736E-3</v>
      </c>
    </row>
    <row r="480" spans="1:15" x14ac:dyDescent="0.35">
      <c r="A480" s="2">
        <v>45629</v>
      </c>
      <c r="B480">
        <v>241.5574951171875</v>
      </c>
      <c r="C480">
        <v>977.0516357421875</v>
      </c>
      <c r="D480">
        <v>147.83467102050781</v>
      </c>
      <c r="E480">
        <v>238.66827392578119</v>
      </c>
      <c r="F480">
        <v>73.98223876953125</v>
      </c>
      <c r="G480">
        <v>170.9046630859375</v>
      </c>
      <c r="H480">
        <v>6049.8798828125</v>
      </c>
      <c r="I480" s="13">
        <f t="shared" si="61"/>
        <v>1.2690930712197498E-2</v>
      </c>
      <c r="J480" s="13">
        <f t="shared" si="62"/>
        <v>7.3066069998355323E-3</v>
      </c>
      <c r="K480" s="13">
        <f t="shared" si="63"/>
        <v>-1.5887887768618544E-2</v>
      </c>
      <c r="L480" s="13">
        <f t="shared" si="64"/>
        <v>-5.8240578928101692E-3</v>
      </c>
      <c r="M480" s="13">
        <f t="shared" si="65"/>
        <v>-1.0172279536970951E-2</v>
      </c>
      <c r="N480" s="13">
        <f t="shared" si="66"/>
        <v>-2.4105684753106277E-2</v>
      </c>
      <c r="O480" s="13">
        <f t="shared" si="67"/>
        <v>4.5134724202218132E-4</v>
      </c>
    </row>
    <row r="481" spans="1:15" x14ac:dyDescent="0.35">
      <c r="A481" s="2">
        <v>45630</v>
      </c>
      <c r="B481">
        <v>241.91587829589841</v>
      </c>
      <c r="C481">
        <v>985.77606201171875</v>
      </c>
      <c r="D481">
        <v>146.0008239746094</v>
      </c>
      <c r="E481">
        <v>237.28395080566409</v>
      </c>
      <c r="F481">
        <v>73.448883056640625</v>
      </c>
      <c r="G481">
        <v>170.60264587402341</v>
      </c>
      <c r="H481">
        <v>6086.490234375</v>
      </c>
      <c r="I481" s="13">
        <f t="shared" si="61"/>
        <v>1.4825356020006239E-3</v>
      </c>
      <c r="J481" s="13">
        <f t="shared" si="62"/>
        <v>8.889709203537639E-3</v>
      </c>
      <c r="K481" s="13">
        <f t="shared" si="63"/>
        <v>-1.2482296303205005E-2</v>
      </c>
      <c r="L481" s="13">
        <f t="shared" si="64"/>
        <v>-5.8170839500128182E-3</v>
      </c>
      <c r="M481" s="13">
        <f t="shared" si="65"/>
        <v>-7.2353521164409381E-3</v>
      </c>
      <c r="N481" s="13">
        <f t="shared" si="66"/>
        <v>-1.7687310504129234E-3</v>
      </c>
      <c r="O481" s="13">
        <f t="shared" si="67"/>
        <v>6.0331816281361198E-3</v>
      </c>
    </row>
    <row r="482" spans="1:15" x14ac:dyDescent="0.35">
      <c r="A482" s="2">
        <v>45631</v>
      </c>
      <c r="B482">
        <v>241.94572448730469</v>
      </c>
      <c r="C482">
        <v>977.16107177734375</v>
      </c>
      <c r="D482">
        <v>145.07902526855469</v>
      </c>
      <c r="E482">
        <v>239.3116760253906</v>
      </c>
      <c r="F482">
        <v>73.89495849609375</v>
      </c>
      <c r="G482">
        <v>171.49897766113281</v>
      </c>
      <c r="H482">
        <v>6075.10986328125</v>
      </c>
      <c r="I482" s="13">
        <f t="shared" si="61"/>
        <v>1.2336664563769673E-4</v>
      </c>
      <c r="J482" s="13">
        <f t="shared" si="62"/>
        <v>-8.7777090769909482E-3</v>
      </c>
      <c r="K482" s="13">
        <f t="shared" si="63"/>
        <v>-6.333669541014963E-3</v>
      </c>
      <c r="L482" s="13">
        <f t="shared" si="64"/>
        <v>8.509257495280283E-3</v>
      </c>
      <c r="M482" s="13">
        <f t="shared" si="65"/>
        <v>6.0549093546572712E-3</v>
      </c>
      <c r="N482" s="13">
        <f t="shared" si="66"/>
        <v>5.2401612649420415E-3</v>
      </c>
      <c r="O482" s="13">
        <f t="shared" si="67"/>
        <v>-1.8715258393823342E-3</v>
      </c>
    </row>
    <row r="483" spans="1:15" x14ac:dyDescent="0.35">
      <c r="A483" s="2">
        <v>45632</v>
      </c>
      <c r="B483">
        <v>241.74664306640619</v>
      </c>
      <c r="C483">
        <v>987.457275390625</v>
      </c>
      <c r="D483">
        <v>144.87525939941409</v>
      </c>
      <c r="E483">
        <v>241.1444396972656</v>
      </c>
      <c r="F483">
        <v>72.964004516601563</v>
      </c>
      <c r="G483">
        <v>169.34587097167969</v>
      </c>
      <c r="H483">
        <v>6090.27001953125</v>
      </c>
      <c r="I483" s="13">
        <f t="shared" si="61"/>
        <v>-8.2317375875520609E-4</v>
      </c>
      <c r="J483" s="13">
        <f t="shared" si="62"/>
        <v>1.0481728316731238E-2</v>
      </c>
      <c r="K483" s="13">
        <f t="shared" si="63"/>
        <v>-1.4055036497762148E-3</v>
      </c>
      <c r="L483" s="13">
        <f t="shared" si="64"/>
        <v>7.629302663655301E-3</v>
      </c>
      <c r="M483" s="13">
        <f t="shared" si="65"/>
        <v>-1.2678374279382152E-2</v>
      </c>
      <c r="N483" s="13">
        <f t="shared" si="66"/>
        <v>-1.2634108087854697E-2</v>
      </c>
      <c r="O483" s="13">
        <f t="shared" si="67"/>
        <v>2.4923453675383123E-3</v>
      </c>
    </row>
    <row r="484" spans="1:15" x14ac:dyDescent="0.35">
      <c r="A484" s="2">
        <v>45635</v>
      </c>
      <c r="B484">
        <v>245.63902282714841</v>
      </c>
      <c r="C484">
        <v>982.73199462890625</v>
      </c>
      <c r="D484">
        <v>145.1566467285156</v>
      </c>
      <c r="E484">
        <v>237.68365478515619</v>
      </c>
      <c r="F484">
        <v>72.440338134765625</v>
      </c>
      <c r="G484">
        <v>166.39385986328119</v>
      </c>
      <c r="H484">
        <v>6052.85009765625</v>
      </c>
      <c r="I484" s="13">
        <f t="shared" si="61"/>
        <v>1.5972823118797299E-2</v>
      </c>
      <c r="J484" s="13">
        <f t="shared" si="62"/>
        <v>-4.79678769346693E-3</v>
      </c>
      <c r="K484" s="13">
        <f t="shared" si="63"/>
        <v>1.9403893947119522E-3</v>
      </c>
      <c r="L484" s="13">
        <f t="shared" si="64"/>
        <v>-1.4455480853557547E-2</v>
      </c>
      <c r="M484" s="13">
        <f t="shared" si="65"/>
        <v>-7.2029299313278849E-3</v>
      </c>
      <c r="N484" s="13">
        <f t="shared" si="66"/>
        <v>-1.7585569494594094E-2</v>
      </c>
      <c r="O484" s="13">
        <f t="shared" si="67"/>
        <v>-6.1631672852274621E-3</v>
      </c>
    </row>
    <row r="485" spans="1:15" x14ac:dyDescent="0.35">
      <c r="A485" s="2">
        <v>45636</v>
      </c>
      <c r="B485">
        <v>246.65443420410159</v>
      </c>
      <c r="C485">
        <v>988.2431640625</v>
      </c>
      <c r="D485">
        <v>144.7976379394531</v>
      </c>
      <c r="E485">
        <v>236.75752258300781</v>
      </c>
      <c r="F485">
        <v>71.89727783203125</v>
      </c>
      <c r="G485">
        <v>167.8454895019531</v>
      </c>
      <c r="H485">
        <v>6034.91015625</v>
      </c>
      <c r="I485" s="13">
        <f t="shared" si="61"/>
        <v>4.1252338516178898E-3</v>
      </c>
      <c r="J485" s="13">
        <f t="shared" si="62"/>
        <v>5.5923422194780591E-3</v>
      </c>
      <c r="K485" s="13">
        <f t="shared" si="63"/>
        <v>-2.4763143123133369E-3</v>
      </c>
      <c r="L485" s="13">
        <f t="shared" si="64"/>
        <v>-3.9041020158865009E-3</v>
      </c>
      <c r="M485" s="13">
        <f t="shared" si="65"/>
        <v>-7.5248972572886435E-3</v>
      </c>
      <c r="N485" s="13">
        <f t="shared" si="66"/>
        <v>8.6862230230853633E-3</v>
      </c>
      <c r="O485" s="13">
        <f t="shared" si="67"/>
        <v>-2.9682843142792522E-3</v>
      </c>
    </row>
    <row r="486" spans="1:15" x14ac:dyDescent="0.35">
      <c r="A486" s="2">
        <v>45637</v>
      </c>
      <c r="B486">
        <v>245.3802185058594</v>
      </c>
      <c r="C486">
        <v>989.52655029296875</v>
      </c>
      <c r="D486">
        <v>142.2845764160156</v>
      </c>
      <c r="E486">
        <v>237.41070556640619</v>
      </c>
      <c r="F486">
        <v>71.742118835449219</v>
      </c>
      <c r="G486">
        <v>166.23797607421881</v>
      </c>
      <c r="H486">
        <v>6084.18994140625</v>
      </c>
      <c r="I486" s="13">
        <f t="shared" si="61"/>
        <v>-5.1793853938362118E-3</v>
      </c>
      <c r="J486" s="13">
        <f t="shared" si="62"/>
        <v>1.2978117738267696E-3</v>
      </c>
      <c r="K486" s="13">
        <f t="shared" si="63"/>
        <v>-1.7508055824614253E-2</v>
      </c>
      <c r="L486" s="13">
        <f t="shared" si="64"/>
        <v>2.7550702800490596E-3</v>
      </c>
      <c r="M486" s="13">
        <f t="shared" si="65"/>
        <v>-2.1603969458212969E-3</v>
      </c>
      <c r="N486" s="13">
        <f t="shared" si="66"/>
        <v>-9.6234983144586877E-3</v>
      </c>
      <c r="O486" s="13">
        <f t="shared" si="67"/>
        <v>8.1326264113682351E-3</v>
      </c>
    </row>
    <row r="487" spans="1:15" x14ac:dyDescent="0.35">
      <c r="A487" s="2">
        <v>45638</v>
      </c>
      <c r="B487">
        <v>246.8435974121094</v>
      </c>
      <c r="C487">
        <v>983.25927734375</v>
      </c>
      <c r="D487">
        <v>141.8964538574219</v>
      </c>
      <c r="E487">
        <v>235.4609375</v>
      </c>
      <c r="F487">
        <v>71.005111694335938</v>
      </c>
      <c r="G487">
        <v>166.45233154296881</v>
      </c>
      <c r="H487">
        <v>6051.25</v>
      </c>
      <c r="I487" s="13">
        <f t="shared" si="61"/>
        <v>5.9460073665833771E-3</v>
      </c>
      <c r="J487" s="13">
        <f t="shared" si="62"/>
        <v>-6.3537500580447539E-3</v>
      </c>
      <c r="K487" s="13">
        <f t="shared" si="63"/>
        <v>-2.7315180013358568E-3</v>
      </c>
      <c r="L487" s="13">
        <f t="shared" si="64"/>
        <v>-8.2465470051681661E-3</v>
      </c>
      <c r="M487" s="13">
        <f t="shared" si="65"/>
        <v>-1.0326136447387448E-2</v>
      </c>
      <c r="N487" s="13">
        <f t="shared" si="66"/>
        <v>1.2886188356215822E-3</v>
      </c>
      <c r="O487" s="13">
        <f t="shared" si="67"/>
        <v>-5.4287314614632513E-3</v>
      </c>
    </row>
    <row r="488" spans="1:15" x14ac:dyDescent="0.35">
      <c r="A488" s="2">
        <v>45639</v>
      </c>
      <c r="B488">
        <v>247.0128173828125</v>
      </c>
      <c r="C488">
        <v>984.2142333984375</v>
      </c>
      <c r="D488">
        <v>142.2651672363281</v>
      </c>
      <c r="E488">
        <v>233.91090393066409</v>
      </c>
      <c r="F488">
        <v>71.39300537109375</v>
      </c>
      <c r="G488">
        <v>166.6568908691406</v>
      </c>
      <c r="H488">
        <v>6051.08984375</v>
      </c>
      <c r="I488" s="13">
        <f t="shared" si="61"/>
        <v>6.8530031100658834E-4</v>
      </c>
      <c r="J488" s="13">
        <f t="shared" si="62"/>
        <v>9.7074356982698902E-4</v>
      </c>
      <c r="K488" s="13">
        <f t="shared" si="63"/>
        <v>2.5950977082196442E-3</v>
      </c>
      <c r="L488" s="13">
        <f t="shared" si="64"/>
        <v>-6.6047387900892741E-3</v>
      </c>
      <c r="M488" s="13">
        <f t="shared" si="65"/>
        <v>5.4480304118478019E-3</v>
      </c>
      <c r="N488" s="13">
        <f t="shared" si="66"/>
        <v>1.2281818582156002E-3</v>
      </c>
      <c r="O488" s="13">
        <f t="shared" si="67"/>
        <v>-2.6466989371873972E-5</v>
      </c>
    </row>
    <row r="489" spans="1:15" x14ac:dyDescent="0.35">
      <c r="A489" s="2">
        <v>45642</v>
      </c>
      <c r="B489">
        <v>249.90971374511719</v>
      </c>
      <c r="C489">
        <v>987.7159423828125</v>
      </c>
      <c r="D489">
        <v>139.57743835449219</v>
      </c>
      <c r="E489">
        <v>233.55995178222659</v>
      </c>
      <c r="F489">
        <v>70.588104248046875</v>
      </c>
      <c r="G489">
        <v>166.7348327636719</v>
      </c>
      <c r="H489">
        <v>6074.080078125</v>
      </c>
      <c r="I489" s="13">
        <f t="shared" si="61"/>
        <v>1.1659480094418573E-2</v>
      </c>
      <c r="J489" s="13">
        <f t="shared" si="62"/>
        <v>3.551558476192586E-3</v>
      </c>
      <c r="K489" s="13">
        <f t="shared" si="63"/>
        <v>-1.9073130232889781E-2</v>
      </c>
      <c r="L489" s="13">
        <f t="shared" si="64"/>
        <v>-1.5014934517657414E-3</v>
      </c>
      <c r="M489" s="13">
        <f t="shared" si="65"/>
        <v>-1.1338265324320281E-2</v>
      </c>
      <c r="N489" s="13">
        <f t="shared" si="66"/>
        <v>4.6756947114346488E-4</v>
      </c>
      <c r="O489" s="13">
        <f t="shared" si="67"/>
        <v>3.7921550087844295E-3</v>
      </c>
    </row>
    <row r="490" spans="1:15" x14ac:dyDescent="0.35">
      <c r="A490" s="2">
        <v>45643</v>
      </c>
      <c r="B490">
        <v>252.33872985839841</v>
      </c>
      <c r="C490">
        <v>976.98199462890625</v>
      </c>
      <c r="D490">
        <v>142.0614013671875</v>
      </c>
      <c r="E490">
        <v>232.37059020996091</v>
      </c>
      <c r="F490">
        <v>70.083831787109375</v>
      </c>
      <c r="G490">
        <v>165.94569396972659</v>
      </c>
      <c r="H490">
        <v>6050.60986328125</v>
      </c>
      <c r="I490" s="13">
        <f t="shared" si="61"/>
        <v>9.6726434194961547E-3</v>
      </c>
      <c r="J490" s="13">
        <f t="shared" si="62"/>
        <v>-1.0926926070635438E-2</v>
      </c>
      <c r="K490" s="13">
        <f t="shared" si="63"/>
        <v>1.7639807240765859E-2</v>
      </c>
      <c r="L490" s="13">
        <f t="shared" si="64"/>
        <v>-5.1053281483104075E-3</v>
      </c>
      <c r="M490" s="13">
        <f t="shared" si="65"/>
        <v>-7.169512771290321E-3</v>
      </c>
      <c r="N490" s="13">
        <f t="shared" si="66"/>
        <v>-4.7441326474706551E-3</v>
      </c>
      <c r="O490" s="13">
        <f t="shared" si="67"/>
        <v>-3.8714794806554956E-3</v>
      </c>
    </row>
    <row r="491" spans="1:15" x14ac:dyDescent="0.35">
      <c r="A491" s="2">
        <v>45644</v>
      </c>
      <c r="B491">
        <v>246.93318176269531</v>
      </c>
      <c r="C491">
        <v>959.73199462890625</v>
      </c>
      <c r="D491">
        <v>140.45069885253909</v>
      </c>
      <c r="E491">
        <v>224.58135986328119</v>
      </c>
      <c r="F491">
        <v>68.38677978515625</v>
      </c>
      <c r="G491">
        <v>164.7278747558594</v>
      </c>
      <c r="H491">
        <v>5872.16015625</v>
      </c>
      <c r="I491" s="13">
        <f t="shared" si="61"/>
        <v>-2.1654570181951178E-2</v>
      </c>
      <c r="J491" s="13">
        <f t="shared" si="62"/>
        <v>-1.7814149404767336E-2</v>
      </c>
      <c r="K491" s="13">
        <f t="shared" si="63"/>
        <v>-1.1402838787823943E-2</v>
      </c>
      <c r="L491" s="13">
        <f t="shared" si="64"/>
        <v>-3.4095422554160253E-2</v>
      </c>
      <c r="M491" s="13">
        <f t="shared" si="65"/>
        <v>-2.4512594507745001E-2</v>
      </c>
      <c r="N491" s="13">
        <f t="shared" si="66"/>
        <v>-7.3657215755377654E-3</v>
      </c>
      <c r="O491" s="13">
        <f t="shared" si="67"/>
        <v>-2.993650530451818E-2</v>
      </c>
    </row>
    <row r="492" spans="1:15" x14ac:dyDescent="0.35">
      <c r="A492" s="2">
        <v>45645</v>
      </c>
      <c r="B492">
        <v>248.66532897949219</v>
      </c>
      <c r="C492">
        <v>949.843505859375</v>
      </c>
      <c r="D492">
        <v>139.3154602050781</v>
      </c>
      <c r="E492">
        <v>227.10630798339841</v>
      </c>
      <c r="F492">
        <v>67.659469604492188</v>
      </c>
      <c r="G492">
        <v>164.83503723144531</v>
      </c>
      <c r="H492">
        <v>5867.080078125</v>
      </c>
      <c r="I492" s="13">
        <f t="shared" si="61"/>
        <v>6.9901512304499846E-3</v>
      </c>
      <c r="J492" s="13">
        <f t="shared" si="62"/>
        <v>-1.0356832873839315E-2</v>
      </c>
      <c r="K492" s="13">
        <f t="shared" si="63"/>
        <v>-8.1156697595860285E-3</v>
      </c>
      <c r="L492" s="13">
        <f t="shared" si="64"/>
        <v>1.1180178696860157E-2</v>
      </c>
      <c r="M492" s="13">
        <f t="shared" si="65"/>
        <v>-1.0692203760864424E-2</v>
      </c>
      <c r="N492" s="13">
        <f t="shared" si="66"/>
        <v>6.5033094116424069E-4</v>
      </c>
      <c r="O492" s="13">
        <f t="shared" si="67"/>
        <v>-8.6548675053679336E-4</v>
      </c>
    </row>
    <row r="493" spans="1:15" x14ac:dyDescent="0.35">
      <c r="A493" s="2">
        <v>45646</v>
      </c>
      <c r="B493">
        <v>253.34417724609381</v>
      </c>
      <c r="C493">
        <v>949.11737060546875</v>
      </c>
      <c r="D493">
        <v>140.17903137207031</v>
      </c>
      <c r="E493">
        <v>231.62971496582031</v>
      </c>
      <c r="F493">
        <v>69.501998901367188</v>
      </c>
      <c r="G493">
        <v>163.734130859375</v>
      </c>
      <c r="H493">
        <v>5930.85009765625</v>
      </c>
      <c r="I493" s="13">
        <f t="shared" si="61"/>
        <v>1.8641016532811541E-2</v>
      </c>
      <c r="J493" s="13">
        <f t="shared" si="62"/>
        <v>-7.6477119491746121E-4</v>
      </c>
      <c r="K493" s="13">
        <f t="shared" si="63"/>
        <v>6.1795415730567646E-3</v>
      </c>
      <c r="L493" s="13">
        <f t="shared" si="64"/>
        <v>1.9721815467293589E-2</v>
      </c>
      <c r="M493" s="13">
        <f t="shared" si="65"/>
        <v>2.6868189135652965E-2</v>
      </c>
      <c r="N493" s="13">
        <f t="shared" si="66"/>
        <v>-6.701240401200367E-3</v>
      </c>
      <c r="O493" s="13">
        <f t="shared" si="67"/>
        <v>1.0810479402397299E-2</v>
      </c>
    </row>
    <row r="494" spans="1:15" x14ac:dyDescent="0.35">
      <c r="A494" s="2">
        <v>45649</v>
      </c>
      <c r="B494">
        <v>254.12068176269531</v>
      </c>
      <c r="C494">
        <v>944.97894287109375</v>
      </c>
      <c r="D494">
        <v>140.95526123046881</v>
      </c>
      <c r="E494">
        <v>232.39985656738281</v>
      </c>
      <c r="F494">
        <v>70.297187805175781</v>
      </c>
      <c r="G494">
        <v>163.7828369140625</v>
      </c>
      <c r="H494">
        <v>5974.06982421875</v>
      </c>
      <c r="I494" s="13">
        <f t="shared" si="61"/>
        <v>3.0603306173970337E-3</v>
      </c>
      <c r="J494" s="13">
        <f t="shared" si="62"/>
        <v>-4.3698245863502466E-3</v>
      </c>
      <c r="K494" s="13">
        <f t="shared" si="63"/>
        <v>5.522142629737407E-3</v>
      </c>
      <c r="L494" s="13">
        <f t="shared" si="64"/>
        <v>3.3193673676826666E-3</v>
      </c>
      <c r="M494" s="13">
        <f t="shared" si="65"/>
        <v>1.1376281917258134E-2</v>
      </c>
      <c r="N494" s="13">
        <f t="shared" si="66"/>
        <v>2.9742614788886895E-4</v>
      </c>
      <c r="O494" s="13">
        <f t="shared" si="67"/>
        <v>7.260849585616372E-3</v>
      </c>
    </row>
    <row r="495" spans="1:15" x14ac:dyDescent="0.35">
      <c r="A495" s="2">
        <v>45650</v>
      </c>
      <c r="B495">
        <v>257.0374755859375</v>
      </c>
      <c r="C495">
        <v>953.84271240234375</v>
      </c>
      <c r="D495">
        <v>141.51802062988281</v>
      </c>
      <c r="E495">
        <v>236.22132873535159</v>
      </c>
      <c r="F495">
        <v>70.704483032226563</v>
      </c>
      <c r="G495">
        <v>164.59147644042969</v>
      </c>
      <c r="H495">
        <v>6040.0400390625</v>
      </c>
      <c r="I495" s="13">
        <f t="shared" si="61"/>
        <v>1.1412614432788477E-2</v>
      </c>
      <c r="J495" s="13">
        <f t="shared" si="62"/>
        <v>9.3361415904090091E-3</v>
      </c>
      <c r="K495" s="13">
        <f t="shared" si="63"/>
        <v>3.9845194579588095E-3</v>
      </c>
      <c r="L495" s="13">
        <f t="shared" si="64"/>
        <v>1.6309791361156564E-2</v>
      </c>
      <c r="M495" s="13">
        <f t="shared" si="65"/>
        <v>5.7771848723557739E-3</v>
      </c>
      <c r="N495" s="13">
        <f t="shared" si="66"/>
        <v>4.9251182450243194E-3</v>
      </c>
      <c r="O495" s="13">
        <f t="shared" si="67"/>
        <v>1.0982233165126825E-2</v>
      </c>
    </row>
    <row r="496" spans="1:15" x14ac:dyDescent="0.35">
      <c r="A496" s="2">
        <v>45652</v>
      </c>
      <c r="B496">
        <v>257.853759765625</v>
      </c>
      <c r="C496">
        <v>951.17657470703125</v>
      </c>
      <c r="D496">
        <v>141.25605773925781</v>
      </c>
      <c r="E496">
        <v>237.03050231933591</v>
      </c>
      <c r="F496">
        <v>70.180824279785156</v>
      </c>
      <c r="G496">
        <v>165.78007507324219</v>
      </c>
      <c r="H496">
        <v>6037.58984375</v>
      </c>
      <c r="I496" s="13">
        <f t="shared" si="61"/>
        <v>3.1707079379532798E-3</v>
      </c>
      <c r="J496" s="13">
        <f t="shared" si="62"/>
        <v>-2.7990681816930461E-3</v>
      </c>
      <c r="K496" s="13">
        <f t="shared" si="63"/>
        <v>-1.8528074926582752E-3</v>
      </c>
      <c r="L496" s="13">
        <f t="shared" si="64"/>
        <v>3.4196354643327596E-3</v>
      </c>
      <c r="M496" s="13">
        <f t="shared" si="65"/>
        <v>-7.4338648079233178E-3</v>
      </c>
      <c r="N496" s="13">
        <f t="shared" si="66"/>
        <v>7.1955575822068045E-3</v>
      </c>
      <c r="O496" s="13">
        <f t="shared" si="67"/>
        <v>-4.0574108825781912E-4</v>
      </c>
    </row>
    <row r="497" spans="1:15" x14ac:dyDescent="0.35">
      <c r="A497" s="2">
        <v>45653</v>
      </c>
      <c r="B497">
        <v>254.439208984375</v>
      </c>
      <c r="C497">
        <v>934.82196044921875</v>
      </c>
      <c r="D497">
        <v>140.7417907714844</v>
      </c>
      <c r="E497">
        <v>235.1099853515625</v>
      </c>
      <c r="F497">
        <v>69.928688049316406</v>
      </c>
      <c r="G497">
        <v>165.1662902832031</v>
      </c>
      <c r="H497">
        <v>5970.83984375</v>
      </c>
      <c r="I497" s="13">
        <f t="shared" si="61"/>
        <v>-1.3330658646657596E-2</v>
      </c>
      <c r="J497" s="13">
        <f t="shared" si="62"/>
        <v>-1.7343623452818153E-2</v>
      </c>
      <c r="K497" s="13">
        <f t="shared" si="63"/>
        <v>-3.6473153294826906E-3</v>
      </c>
      <c r="L497" s="13">
        <f t="shared" si="64"/>
        <v>-8.1354071948506294E-3</v>
      </c>
      <c r="M497" s="13">
        <f t="shared" si="65"/>
        <v>-3.5991346833423518E-3</v>
      </c>
      <c r="N497" s="13">
        <f t="shared" si="66"/>
        <v>-3.7092747226209568E-3</v>
      </c>
      <c r="O497" s="13">
        <f t="shared" si="67"/>
        <v>-1.1117304964912211E-2</v>
      </c>
    </row>
    <row r="498" spans="1:15" x14ac:dyDescent="0.35">
      <c r="A498" s="2">
        <v>45656</v>
      </c>
      <c r="B498">
        <v>251.0644836425781</v>
      </c>
      <c r="C498">
        <v>917.42279052734375</v>
      </c>
      <c r="D498">
        <v>139.08258056640619</v>
      </c>
      <c r="E498">
        <v>233.3064880371094</v>
      </c>
      <c r="F498">
        <v>69.589279174804688</v>
      </c>
      <c r="G498">
        <v>162.7890930175781</v>
      </c>
      <c r="H498">
        <v>5906.93994140625</v>
      </c>
      <c r="I498" s="13">
        <f t="shared" si="61"/>
        <v>-1.3352129877046667E-2</v>
      </c>
      <c r="J498" s="13">
        <f t="shared" si="62"/>
        <v>-1.8787670151335079E-2</v>
      </c>
      <c r="K498" s="13">
        <f t="shared" si="63"/>
        <v>-1.1859078912479488E-2</v>
      </c>
      <c r="L498" s="13">
        <f t="shared" si="64"/>
        <v>-7.700438941409397E-3</v>
      </c>
      <c r="M498" s="13">
        <f t="shared" si="65"/>
        <v>-4.8654599952224148E-3</v>
      </c>
      <c r="N498" s="13">
        <f t="shared" si="66"/>
        <v>-1.449733117169332E-2</v>
      </c>
      <c r="O498" s="13">
        <f t="shared" si="67"/>
        <v>-1.0759673941729728E-2</v>
      </c>
    </row>
    <row r="499" spans="1:15" x14ac:dyDescent="0.35">
      <c r="A499" s="2">
        <v>45657</v>
      </c>
      <c r="B499">
        <v>249.2925109863281</v>
      </c>
      <c r="C499">
        <v>911.51361083984375</v>
      </c>
      <c r="D499">
        <v>140.32456970214841</v>
      </c>
      <c r="E499">
        <v>233.68669128417969</v>
      </c>
      <c r="F499">
        <v>69.521385192871094</v>
      </c>
      <c r="G499">
        <v>163.3346862792969</v>
      </c>
      <c r="H499">
        <v>5881.6298828125</v>
      </c>
      <c r="I499" s="13">
        <f t="shared" si="61"/>
        <v>-7.0828631682468583E-3</v>
      </c>
      <c r="J499" s="13">
        <f t="shared" si="62"/>
        <v>-6.461898013628036E-3</v>
      </c>
      <c r="K499" s="13">
        <f t="shared" si="63"/>
        <v>8.8902328713994505E-3</v>
      </c>
      <c r="L499" s="13">
        <f t="shared" si="64"/>
        <v>1.6283035723472059E-3</v>
      </c>
      <c r="M499" s="13">
        <f t="shared" si="65"/>
        <v>-9.7611477355794018E-4</v>
      </c>
      <c r="N499" s="13">
        <f t="shared" si="66"/>
        <v>3.3459306273189338E-3</v>
      </c>
      <c r="O499" s="13">
        <f t="shared" si="67"/>
        <v>-4.2940064589823065E-3</v>
      </c>
    </row>
    <row r="500" spans="1:15" x14ac:dyDescent="0.35">
      <c r="A500" s="2">
        <v>45659</v>
      </c>
      <c r="B500">
        <v>242.7521057128906</v>
      </c>
      <c r="C500">
        <v>905.087158203125</v>
      </c>
      <c r="D500">
        <v>139.74238586425781</v>
      </c>
      <c r="E500">
        <v>233.9693908691406</v>
      </c>
      <c r="F500">
        <v>69.443809509277344</v>
      </c>
      <c r="G500">
        <v>161.70765686035159</v>
      </c>
      <c r="H500">
        <v>5868.5498046875</v>
      </c>
      <c r="I500" s="13">
        <f t="shared" si="61"/>
        <v>-2.6586168367893813E-2</v>
      </c>
      <c r="J500" s="13">
        <f t="shared" si="62"/>
        <v>-7.0752798908901189E-3</v>
      </c>
      <c r="K500" s="13">
        <f t="shared" si="63"/>
        <v>-4.1574678117800093E-3</v>
      </c>
      <c r="L500" s="13">
        <f t="shared" si="64"/>
        <v>1.2090064908139222E-3</v>
      </c>
      <c r="M500" s="13">
        <f t="shared" si="65"/>
        <v>-1.1164765654929376E-3</v>
      </c>
      <c r="N500" s="13">
        <f t="shared" si="66"/>
        <v>-1.0011268023470866E-2</v>
      </c>
      <c r="O500" s="13">
        <f t="shared" si="67"/>
        <v>-2.2263631494489921E-3</v>
      </c>
    </row>
    <row r="501" spans="1:15" x14ac:dyDescent="0.35">
      <c r="A501" s="2">
        <v>45660</v>
      </c>
      <c r="B501">
        <v>242.26429748535159</v>
      </c>
      <c r="C501">
        <v>911.822021484375</v>
      </c>
      <c r="D501">
        <v>139.9073486328125</v>
      </c>
      <c r="E501">
        <v>237.16697692871091</v>
      </c>
      <c r="F501">
        <v>69.81231689453125</v>
      </c>
      <c r="G501">
        <v>160.8795471191406</v>
      </c>
      <c r="H501">
        <v>5942.47021484375</v>
      </c>
      <c r="I501" s="13">
        <f t="shared" si="61"/>
        <v>-2.0115129665821828E-3</v>
      </c>
      <c r="J501" s="13">
        <f t="shared" si="62"/>
        <v>7.4135726791240896E-3</v>
      </c>
      <c r="K501" s="13">
        <f t="shared" si="63"/>
        <v>1.1797814718861519E-3</v>
      </c>
      <c r="L501" s="13">
        <f t="shared" si="64"/>
        <v>1.3574138513497586E-2</v>
      </c>
      <c r="M501" s="13">
        <f t="shared" si="65"/>
        <v>5.2925247161864971E-3</v>
      </c>
      <c r="N501" s="13">
        <f t="shared" si="66"/>
        <v>-5.1341872837309703E-3</v>
      </c>
      <c r="O501" s="13">
        <f t="shared" si="67"/>
        <v>1.251735670782609E-2</v>
      </c>
    </row>
    <row r="502" spans="1:15" x14ac:dyDescent="0.35">
      <c r="A502" s="2">
        <v>45663</v>
      </c>
      <c r="B502">
        <v>243.89691162109381</v>
      </c>
      <c r="C502">
        <v>917.920166015625</v>
      </c>
      <c r="D502">
        <v>139.39308166503909</v>
      </c>
      <c r="E502">
        <v>236.01068115234381</v>
      </c>
      <c r="F502">
        <v>69.084999084472656</v>
      </c>
      <c r="G502">
        <v>156.46614074707031</v>
      </c>
      <c r="H502">
        <v>5975.3798828125</v>
      </c>
      <c r="I502" s="13">
        <f t="shared" si="61"/>
        <v>6.7163740848988299E-3</v>
      </c>
      <c r="J502" s="13">
        <f t="shared" si="62"/>
        <v>6.6656025656557892E-3</v>
      </c>
      <c r="K502" s="13">
        <f t="shared" si="63"/>
        <v>-3.682540326871753E-3</v>
      </c>
      <c r="L502" s="13">
        <f t="shared" si="64"/>
        <v>-4.887373941969665E-3</v>
      </c>
      <c r="M502" s="13">
        <f t="shared" si="65"/>
        <v>-1.0472836751718629E-2</v>
      </c>
      <c r="N502" s="13">
        <f t="shared" si="66"/>
        <v>-2.7816296919042423E-2</v>
      </c>
      <c r="O502" s="13">
        <f t="shared" si="67"/>
        <v>5.5227664968181709E-3</v>
      </c>
    </row>
    <row r="503" spans="1:15" x14ac:dyDescent="0.35">
      <c r="A503" s="2">
        <v>45664</v>
      </c>
      <c r="B503">
        <v>241.1194763183594</v>
      </c>
      <c r="C503">
        <v>916.58709716796875</v>
      </c>
      <c r="D503">
        <v>141.88673400878909</v>
      </c>
      <c r="E503">
        <v>238.2840576171875</v>
      </c>
      <c r="F503">
        <v>68.29949951171875</v>
      </c>
      <c r="G503">
        <v>157.14813232421881</v>
      </c>
      <c r="H503">
        <v>5909.02978515625</v>
      </c>
      <c r="I503" s="13">
        <f t="shared" si="61"/>
        <v>-1.1453079657173515E-2</v>
      </c>
      <c r="J503" s="13">
        <f t="shared" si="62"/>
        <v>-1.4533265788008658E-3</v>
      </c>
      <c r="K503" s="13">
        <f t="shared" si="63"/>
        <v>1.7731223766309021E-2</v>
      </c>
      <c r="L503" s="13">
        <f t="shared" si="64"/>
        <v>9.5864182718066095E-3</v>
      </c>
      <c r="M503" s="13">
        <f t="shared" si="65"/>
        <v>-1.1435178499833026E-2</v>
      </c>
      <c r="N503" s="13">
        <f t="shared" si="66"/>
        <v>4.3492449850029615E-3</v>
      </c>
      <c r="O503" s="13">
        <f t="shared" si="67"/>
        <v>-1.1166021516637011E-2</v>
      </c>
    </row>
    <row r="504" spans="1:15" x14ac:dyDescent="0.35">
      <c r="A504" s="2">
        <v>45665</v>
      </c>
      <c r="B504">
        <v>241.6072692871094</v>
      </c>
      <c r="C504">
        <v>922.55596923828125</v>
      </c>
      <c r="D504">
        <v>138.04437255859381</v>
      </c>
      <c r="E504">
        <v>238.244873046875</v>
      </c>
      <c r="F504">
        <v>68.522552490234375</v>
      </c>
      <c r="G504">
        <v>157.92753601074219</v>
      </c>
      <c r="H504">
        <v>5918.25</v>
      </c>
      <c r="I504" s="13">
        <f t="shared" si="61"/>
        <v>2.0209907125273634E-3</v>
      </c>
      <c r="J504" s="13">
        <f t="shared" si="62"/>
        <v>6.4909501998526896E-3</v>
      </c>
      <c r="K504" s="13">
        <f t="shared" si="63"/>
        <v>-2.7453917731665455E-2</v>
      </c>
      <c r="L504" s="13">
        <f t="shared" si="64"/>
        <v>-1.6445830621953072E-4</v>
      </c>
      <c r="M504" s="13">
        <f t="shared" si="65"/>
        <v>3.2604857602110695E-3</v>
      </c>
      <c r="N504" s="13">
        <f t="shared" si="66"/>
        <v>4.9474164757035508E-3</v>
      </c>
      <c r="O504" s="13">
        <f t="shared" si="67"/>
        <v>1.5591440938312422E-3</v>
      </c>
    </row>
    <row r="505" spans="1:15" x14ac:dyDescent="0.35">
      <c r="A505" s="2">
        <v>45667</v>
      </c>
      <c r="B505">
        <v>235.7835998535156</v>
      </c>
      <c r="C505">
        <v>932.0762939453125</v>
      </c>
      <c r="D505">
        <v>137.84059143066409</v>
      </c>
      <c r="E505">
        <v>235.05036926269531</v>
      </c>
      <c r="F505">
        <v>65.341766357421875</v>
      </c>
      <c r="G505">
        <v>154.47865295410159</v>
      </c>
      <c r="H505">
        <v>5827.0400390625</v>
      </c>
      <c r="I505" s="13">
        <f t="shared" si="61"/>
        <v>-2.4399119120156982E-2</v>
      </c>
      <c r="J505" s="13">
        <f t="shared" si="62"/>
        <v>1.0266626456285614E-2</v>
      </c>
      <c r="K505" s="13">
        <f t="shared" si="63"/>
        <v>-1.4772908392241177E-3</v>
      </c>
      <c r="L505" s="13">
        <f t="shared" si="64"/>
        <v>-1.3499194621865742E-2</v>
      </c>
      <c r="M505" s="13">
        <f t="shared" si="65"/>
        <v>-4.7531485384808059E-2</v>
      </c>
      <c r="N505" s="13">
        <f t="shared" si="66"/>
        <v>-2.2080376769576863E-2</v>
      </c>
      <c r="O505" s="13">
        <f t="shared" si="67"/>
        <v>-1.5531637650233373E-2</v>
      </c>
    </row>
    <row r="506" spans="1:15" x14ac:dyDescent="0.35">
      <c r="A506" s="2">
        <v>45670</v>
      </c>
      <c r="B506">
        <v>233.3446350097656</v>
      </c>
      <c r="C506">
        <v>919.89984130859375</v>
      </c>
      <c r="D506">
        <v>140.17903137207031</v>
      </c>
      <c r="E506">
        <v>239.30317687988281</v>
      </c>
      <c r="F506">
        <v>64.934478759765625</v>
      </c>
      <c r="G506">
        <v>154.75144958496091</v>
      </c>
      <c r="H506">
        <v>5836.22021484375</v>
      </c>
      <c r="I506" s="13">
        <f t="shared" si="61"/>
        <v>-1.0397953638301479E-2</v>
      </c>
      <c r="J506" s="13">
        <f t="shared" si="62"/>
        <v>-1.3149875817864068E-2</v>
      </c>
      <c r="K506" s="13">
        <f t="shared" si="63"/>
        <v>1.6822518246870626E-2</v>
      </c>
      <c r="L506" s="13">
        <f t="shared" si="64"/>
        <v>1.7931442081299556E-2</v>
      </c>
      <c r="M506" s="13">
        <f t="shared" si="65"/>
        <v>-6.2526967098160734E-3</v>
      </c>
      <c r="N506" s="13">
        <f t="shared" si="66"/>
        <v>1.7643605805947673E-3</v>
      </c>
      <c r="O506" s="13">
        <f t="shared" si="67"/>
        <v>1.5742043780551176E-3</v>
      </c>
    </row>
    <row r="507" spans="1:15" x14ac:dyDescent="0.35">
      <c r="A507" s="2">
        <v>45671</v>
      </c>
      <c r="B507">
        <v>232.22969055175781</v>
      </c>
      <c r="C507">
        <v>912.4686279296875</v>
      </c>
      <c r="D507">
        <v>140.45069885253909</v>
      </c>
      <c r="E507">
        <v>242.49766540527341</v>
      </c>
      <c r="F507">
        <v>65.923622131347656</v>
      </c>
      <c r="G507">
        <v>155.6282653808594</v>
      </c>
      <c r="H507">
        <v>5842.91015625</v>
      </c>
      <c r="I507" s="13">
        <f t="shared" si="61"/>
        <v>-4.789553582225577E-3</v>
      </c>
      <c r="J507" s="13">
        <f t="shared" si="62"/>
        <v>-8.1110914590853261E-3</v>
      </c>
      <c r="K507" s="13">
        <f t="shared" si="63"/>
        <v>1.9361281865292416E-3</v>
      </c>
      <c r="L507" s="13">
        <f t="shared" si="64"/>
        <v>1.3260812589878507E-2</v>
      </c>
      <c r="M507" s="13">
        <f t="shared" si="65"/>
        <v>1.511808905034528E-2</v>
      </c>
      <c r="N507" s="13">
        <f t="shared" si="66"/>
        <v>5.6499705754430316E-3</v>
      </c>
      <c r="O507" s="13">
        <f t="shared" si="67"/>
        <v>1.145623334164268E-3</v>
      </c>
    </row>
    <row r="508" spans="1:15" x14ac:dyDescent="0.35">
      <c r="A508" s="2">
        <v>45672</v>
      </c>
      <c r="B508">
        <v>236.79901123046881</v>
      </c>
      <c r="C508">
        <v>918.7060546875</v>
      </c>
      <c r="D508">
        <v>140.66416931152341</v>
      </c>
      <c r="E508">
        <v>247.27961730957031</v>
      </c>
      <c r="F508">
        <v>67.193984985351563</v>
      </c>
      <c r="G508">
        <v>155.54058837890619</v>
      </c>
      <c r="H508">
        <v>5949.91015625</v>
      </c>
      <c r="I508" s="13">
        <f t="shared" si="61"/>
        <v>1.9484800077892047E-2</v>
      </c>
      <c r="J508" s="13">
        <f t="shared" si="62"/>
        <v>6.8125132358229975E-3</v>
      </c>
      <c r="K508" s="13">
        <f t="shared" si="63"/>
        <v>1.5187421527055359E-3</v>
      </c>
      <c r="L508" s="13">
        <f t="shared" si="64"/>
        <v>1.9527667086613562E-2</v>
      </c>
      <c r="M508" s="13">
        <f t="shared" si="65"/>
        <v>1.9086902903821989E-2</v>
      </c>
      <c r="N508" s="13">
        <f t="shared" si="66"/>
        <v>-5.635332920639265E-4</v>
      </c>
      <c r="O508" s="13">
        <f t="shared" si="67"/>
        <v>1.8147132504516373E-2</v>
      </c>
    </row>
    <row r="509" spans="1:15" x14ac:dyDescent="0.35">
      <c r="A509" s="2">
        <v>45673</v>
      </c>
      <c r="B509">
        <v>227.23228454589841</v>
      </c>
      <c r="C509">
        <v>914.97552490234375</v>
      </c>
      <c r="D509">
        <v>143.38102722167969</v>
      </c>
      <c r="E509">
        <v>249.1610412597656</v>
      </c>
      <c r="F509">
        <v>69.211067199707031</v>
      </c>
      <c r="G509">
        <v>156.36872863769531</v>
      </c>
      <c r="H509">
        <v>5937.33984375</v>
      </c>
      <c r="I509" s="13">
        <f t="shared" si="61"/>
        <v>-4.1238953228875275E-2</v>
      </c>
      <c r="J509" s="13">
        <f t="shared" si="62"/>
        <v>-4.0689015732649153E-3</v>
      </c>
      <c r="K509" s="13">
        <f t="shared" si="63"/>
        <v>1.913034122861744E-2</v>
      </c>
      <c r="L509" s="13">
        <f t="shared" si="64"/>
        <v>7.5796892349254182E-3</v>
      </c>
      <c r="M509" s="13">
        <f t="shared" si="65"/>
        <v>2.9577046091321401E-2</v>
      </c>
      <c r="N509" s="13">
        <f t="shared" si="66"/>
        <v>5.3101472740715774E-3</v>
      </c>
      <c r="O509" s="13">
        <f t="shared" si="67"/>
        <v>-2.1149243408667613E-3</v>
      </c>
    </row>
    <row r="510" spans="1:15" x14ac:dyDescent="0.35">
      <c r="A510" s="2">
        <v>45674</v>
      </c>
      <c r="B510">
        <v>228.94453430175781</v>
      </c>
      <c r="C510">
        <v>938.2938232421875</v>
      </c>
      <c r="D510">
        <v>142.6629943847656</v>
      </c>
      <c r="E510">
        <v>253.9527893066406</v>
      </c>
      <c r="F510">
        <v>68.619529724121094</v>
      </c>
      <c r="G510">
        <v>156.98249816894531</v>
      </c>
      <c r="H510">
        <v>5996.66015625</v>
      </c>
      <c r="I510" s="13">
        <f t="shared" si="61"/>
        <v>7.506991702556455E-3</v>
      </c>
      <c r="J510" s="13">
        <f t="shared" si="62"/>
        <v>2.5165828172939088E-2</v>
      </c>
      <c r="K510" s="13">
        <f t="shared" si="63"/>
        <v>-5.0204464406703618E-3</v>
      </c>
      <c r="L510" s="13">
        <f t="shared" si="64"/>
        <v>1.9048941413297316E-2</v>
      </c>
      <c r="M510" s="13">
        <f t="shared" si="65"/>
        <v>-8.5835963963235961E-3</v>
      </c>
      <c r="N510" s="13">
        <f t="shared" si="66"/>
        <v>3.9174591555842268E-3</v>
      </c>
      <c r="O510" s="13">
        <f t="shared" si="67"/>
        <v>9.9414783083940327E-3</v>
      </c>
    </row>
    <row r="511" spans="1:15" x14ac:dyDescent="0.35">
      <c r="A511" s="2">
        <v>45678</v>
      </c>
      <c r="B511">
        <v>221.6375732421875</v>
      </c>
      <c r="C511">
        <v>942.81024169921875</v>
      </c>
      <c r="D511">
        <v>143.74971008300781</v>
      </c>
      <c r="E511">
        <v>257.74502563476563</v>
      </c>
      <c r="F511">
        <v>68.706794738769531</v>
      </c>
      <c r="G511">
        <v>157.55731201171881</v>
      </c>
      <c r="H511">
        <v>6049.240234375</v>
      </c>
      <c r="I511" s="13">
        <f t="shared" si="61"/>
        <v>-3.2436271085390274E-2</v>
      </c>
      <c r="J511" s="13">
        <f t="shared" si="62"/>
        <v>4.8018897195049081E-3</v>
      </c>
      <c r="K511" s="13">
        <f t="shared" si="63"/>
        <v>7.588496572866317E-3</v>
      </c>
      <c r="L511" s="13">
        <f t="shared" si="64"/>
        <v>1.4822442653387783E-2</v>
      </c>
      <c r="M511" s="13">
        <f t="shared" si="65"/>
        <v>1.2709147606738782E-3</v>
      </c>
      <c r="N511" s="13">
        <f t="shared" si="66"/>
        <v>3.6549553605966958E-3</v>
      </c>
      <c r="O511" s="13">
        <f t="shared" si="67"/>
        <v>8.7300094405960496E-3</v>
      </c>
    </row>
    <row r="512" spans="1:15" x14ac:dyDescent="0.35">
      <c r="A512" s="2">
        <v>45679</v>
      </c>
      <c r="B512">
        <v>222.82221984863281</v>
      </c>
      <c r="C512">
        <v>939.7960205078125</v>
      </c>
      <c r="D512">
        <v>140.95526123046881</v>
      </c>
      <c r="E512">
        <v>257.558837890625</v>
      </c>
      <c r="F512">
        <v>66.418190002441406</v>
      </c>
      <c r="G512">
        <v>160.49957275390619</v>
      </c>
      <c r="H512">
        <v>6086.3701171875</v>
      </c>
      <c r="I512" s="13">
        <f t="shared" si="61"/>
        <v>5.3307382587974668E-3</v>
      </c>
      <c r="J512" s="13">
        <f t="shared" si="62"/>
        <v>-3.2021818131171614E-3</v>
      </c>
      <c r="K512" s="13">
        <f t="shared" si="63"/>
        <v>-1.9631119070310871E-2</v>
      </c>
      <c r="L512" s="13">
        <f t="shared" si="64"/>
        <v>-7.2263285964552367E-4</v>
      </c>
      <c r="M512" s="13">
        <f t="shared" si="65"/>
        <v>-3.3877134046054309E-2</v>
      </c>
      <c r="N512" s="13">
        <f t="shared" si="66"/>
        <v>1.8502002733094127E-2</v>
      </c>
      <c r="O512" s="13">
        <f t="shared" si="67"/>
        <v>6.1191810869941294E-3</v>
      </c>
    </row>
    <row r="513" spans="1:15" x14ac:dyDescent="0.35">
      <c r="A513" s="2">
        <v>45680</v>
      </c>
      <c r="B513">
        <v>222.65301513671881</v>
      </c>
      <c r="C513">
        <v>937.26922607421875</v>
      </c>
      <c r="D513">
        <v>142.2845764160156</v>
      </c>
      <c r="E513">
        <v>260.60638427734381</v>
      </c>
      <c r="F513">
        <v>67.135810852050781</v>
      </c>
      <c r="G513">
        <v>161.8732604980469</v>
      </c>
      <c r="H513">
        <v>6118.7099609375</v>
      </c>
      <c r="I513" s="13">
        <f t="shared" si="61"/>
        <v>-7.5965937840136394E-4</v>
      </c>
      <c r="J513" s="13">
        <f t="shared" si="62"/>
        <v>-2.692283568150637E-3</v>
      </c>
      <c r="K513" s="13">
        <f t="shared" si="63"/>
        <v>9.3865676298560703E-3</v>
      </c>
      <c r="L513" s="13">
        <f t="shared" si="64"/>
        <v>1.1762972103780533E-2</v>
      </c>
      <c r="M513" s="13">
        <f t="shared" si="65"/>
        <v>1.0746630599030067E-2</v>
      </c>
      <c r="N513" s="13">
        <f t="shared" si="66"/>
        <v>8.5224058409569241E-3</v>
      </c>
      <c r="O513" s="13">
        <f t="shared" si="67"/>
        <v>5.2994194595293717E-3</v>
      </c>
    </row>
    <row r="514" spans="1:15" x14ac:dyDescent="0.35">
      <c r="A514" s="2">
        <v>45681</v>
      </c>
      <c r="B514">
        <v>221.7769470214844</v>
      </c>
      <c r="C514">
        <v>934.80206298828125</v>
      </c>
      <c r="D514">
        <v>142.459228515625</v>
      </c>
      <c r="E514">
        <v>259.51864624023438</v>
      </c>
      <c r="F514">
        <v>70.626899719238281</v>
      </c>
      <c r="G514">
        <v>160.87054443359381</v>
      </c>
      <c r="H514">
        <v>6101.240234375</v>
      </c>
      <c r="I514" s="13">
        <f t="shared" si="61"/>
        <v>-3.9424400897496298E-3</v>
      </c>
      <c r="J514" s="13">
        <f t="shared" si="62"/>
        <v>-2.6357591494298015E-3</v>
      </c>
      <c r="K514" s="13">
        <f t="shared" si="63"/>
        <v>1.2267316688680566E-3</v>
      </c>
      <c r="L514" s="13">
        <f t="shared" si="64"/>
        <v>-4.1826082539674625E-3</v>
      </c>
      <c r="M514" s="13">
        <f t="shared" si="65"/>
        <v>5.0693492399307906E-2</v>
      </c>
      <c r="N514" s="13">
        <f t="shared" si="66"/>
        <v>-6.2137167337750548E-3</v>
      </c>
      <c r="O514" s="13">
        <f t="shared" si="67"/>
        <v>-2.8592159844677591E-3</v>
      </c>
    </row>
    <row r="515" spans="1:15" x14ac:dyDescent="0.35">
      <c r="A515" s="2">
        <v>45684</v>
      </c>
      <c r="B515">
        <v>228.82508850097659</v>
      </c>
      <c r="C515">
        <v>960.23931884765625</v>
      </c>
      <c r="D515">
        <v>148.34892272949219</v>
      </c>
      <c r="E515">
        <v>260.50839233398438</v>
      </c>
      <c r="F515">
        <v>71.596656799316406</v>
      </c>
      <c r="G515">
        <v>166.30085754394531</v>
      </c>
      <c r="H515">
        <v>6012.27978515625</v>
      </c>
      <c r="I515" s="13">
        <f t="shared" si="61"/>
        <v>3.1285772400412339E-2</v>
      </c>
      <c r="J515" s="13">
        <f t="shared" si="62"/>
        <v>2.6847734321579664E-2</v>
      </c>
      <c r="K515" s="13">
        <f t="shared" si="63"/>
        <v>4.0511241938597925E-2</v>
      </c>
      <c r="L515" s="13">
        <f t="shared" si="64"/>
        <v>3.8065224129491325E-3</v>
      </c>
      <c r="M515" s="13">
        <f t="shared" si="65"/>
        <v>1.3637292345159983E-2</v>
      </c>
      <c r="N515" s="13">
        <f t="shared" si="66"/>
        <v>3.3198573089519227E-2</v>
      </c>
      <c r="O515" s="13">
        <f t="shared" si="67"/>
        <v>-1.4688059032112328E-2</v>
      </c>
    </row>
    <row r="516" spans="1:15" x14ac:dyDescent="0.35">
      <c r="A516" s="2">
        <v>45685</v>
      </c>
      <c r="B516">
        <v>237.187255859375</v>
      </c>
      <c r="C516">
        <v>953.6934814453125</v>
      </c>
      <c r="D516">
        <v>145.9134826660156</v>
      </c>
      <c r="E516">
        <v>261.77243041992188</v>
      </c>
      <c r="F516">
        <v>68.406181335449219</v>
      </c>
      <c r="G516">
        <v>162.89955139160159</v>
      </c>
      <c r="H516">
        <v>6067.7001953125</v>
      </c>
      <c r="I516" s="13">
        <f t="shared" si="61"/>
        <v>3.5892032241055319E-2</v>
      </c>
      <c r="J516" s="13">
        <f t="shared" si="62"/>
        <v>-6.8402223149022796E-3</v>
      </c>
      <c r="K516" s="13">
        <f t="shared" si="63"/>
        <v>-1.6553223447164048E-2</v>
      </c>
      <c r="L516" s="13">
        <f t="shared" si="64"/>
        <v>4.8404632102502718E-3</v>
      </c>
      <c r="M516" s="13">
        <f t="shared" si="65"/>
        <v>-4.5585189182831734E-2</v>
      </c>
      <c r="N516" s="13">
        <f t="shared" si="66"/>
        <v>-2.0664781077854483E-2</v>
      </c>
      <c r="O516" s="13">
        <f t="shared" si="67"/>
        <v>9.1756441777168015E-3</v>
      </c>
    </row>
    <row r="517" spans="1:15" x14ac:dyDescent="0.35">
      <c r="A517" s="2">
        <v>45686</v>
      </c>
      <c r="B517">
        <v>238.28228759765619</v>
      </c>
      <c r="C517">
        <v>959.01580810546875</v>
      </c>
      <c r="D517">
        <v>146.6606140136719</v>
      </c>
      <c r="E517">
        <v>261.22366333007813</v>
      </c>
      <c r="F517">
        <v>68.745590209960938</v>
      </c>
      <c r="G517">
        <v>162.93876647949219</v>
      </c>
      <c r="H517">
        <v>6039.31005859375</v>
      </c>
      <c r="I517" s="13">
        <f t="shared" ref="I517:I580" si="68">LN(B517/B516)</f>
        <v>4.6061149000702585E-3</v>
      </c>
      <c r="J517" s="13">
        <f t="shared" ref="J517:J580" si="69">LN(C517/C516)</f>
        <v>5.5652371493047524E-3</v>
      </c>
      <c r="K517" s="13">
        <f t="shared" ref="K517:K580" si="70">LN(D517/D516)</f>
        <v>5.1073077226309925E-3</v>
      </c>
      <c r="L517" s="13">
        <f t="shared" ref="L517:L580" si="71">LN(E517/E516)</f>
        <v>-2.0985521605060308E-3</v>
      </c>
      <c r="M517" s="13">
        <f t="shared" ref="M517:M580" si="72">LN(F517/F516)</f>
        <v>4.9494011422502341E-3</v>
      </c>
      <c r="N517" s="13">
        <f t="shared" ref="N517:N580" si="73">LN(G517/G516)</f>
        <v>2.4070274077119609E-4</v>
      </c>
      <c r="O517" s="13">
        <f t="shared" ref="O517:O580" si="74">LN(H517/H516)</f>
        <v>-4.6898760569196018E-3</v>
      </c>
    </row>
    <row r="518" spans="1:15" x14ac:dyDescent="0.35">
      <c r="A518" s="2">
        <v>45687</v>
      </c>
      <c r="B518">
        <v>236.52027893066409</v>
      </c>
      <c r="C518">
        <v>973.92791748046875</v>
      </c>
      <c r="D518">
        <v>148.32951354980469</v>
      </c>
      <c r="E518">
        <v>262.84054565429688</v>
      </c>
      <c r="F518">
        <v>69.1431884765625</v>
      </c>
      <c r="G518">
        <v>164.09539794921881</v>
      </c>
      <c r="H518">
        <v>6071.169921875</v>
      </c>
      <c r="I518" s="13">
        <f t="shared" si="68"/>
        <v>-7.4221029115561716E-3</v>
      </c>
      <c r="J518" s="13">
        <f t="shared" si="69"/>
        <v>1.5429735515452769E-2</v>
      </c>
      <c r="K518" s="13">
        <f t="shared" si="70"/>
        <v>1.1315072512881897E-2</v>
      </c>
      <c r="L518" s="13">
        <f t="shared" si="71"/>
        <v>6.1705700441088713E-3</v>
      </c>
      <c r="M518" s="13">
        <f t="shared" si="72"/>
        <v>5.766957577335822E-3</v>
      </c>
      <c r="N518" s="13">
        <f t="shared" si="73"/>
        <v>7.0734890609478688E-3</v>
      </c>
      <c r="O518" s="13">
        <f t="shared" si="74"/>
        <v>5.2615481521802376E-3</v>
      </c>
    </row>
    <row r="519" spans="1:15" x14ac:dyDescent="0.35">
      <c r="A519" s="2">
        <v>45688</v>
      </c>
      <c r="B519">
        <v>234.93742370605469</v>
      </c>
      <c r="C519">
        <v>974.79345703125</v>
      </c>
      <c r="D519">
        <v>147.63090515136719</v>
      </c>
      <c r="E519">
        <v>261.92922973632813</v>
      </c>
      <c r="F519">
        <v>69.395317077636719</v>
      </c>
      <c r="G519">
        <v>162.7035217285156</v>
      </c>
      <c r="H519">
        <v>6040.52978515625</v>
      </c>
      <c r="I519" s="13">
        <f t="shared" si="68"/>
        <v>-6.7147536801551106E-3</v>
      </c>
      <c r="J519" s="13">
        <f t="shared" si="69"/>
        <v>8.883154041607875E-4</v>
      </c>
      <c r="K519" s="13">
        <f t="shared" si="70"/>
        <v>-4.7209670740715227E-3</v>
      </c>
      <c r="L519" s="13">
        <f t="shared" si="71"/>
        <v>-3.4732062585075578E-3</v>
      </c>
      <c r="M519" s="13">
        <f t="shared" si="72"/>
        <v>3.6398383023467039E-3</v>
      </c>
      <c r="N519" s="13">
        <f t="shared" si="73"/>
        <v>-8.5182939921081453E-3</v>
      </c>
      <c r="O519" s="13">
        <f t="shared" si="74"/>
        <v>-5.0596039902671948E-3</v>
      </c>
    </row>
    <row r="520" spans="1:15" x14ac:dyDescent="0.35">
      <c r="A520" s="2">
        <v>45691</v>
      </c>
      <c r="B520">
        <v>226.9833984375</v>
      </c>
      <c r="C520">
        <v>1000.608764648438</v>
      </c>
      <c r="D520">
        <v>147.3592224121094</v>
      </c>
      <c r="E520">
        <v>261.4490966796875</v>
      </c>
      <c r="F520">
        <v>68.900749206542969</v>
      </c>
      <c r="G520">
        <v>165.4186706542969</v>
      </c>
      <c r="H520">
        <v>5994.56982421875</v>
      </c>
      <c r="I520" s="13">
        <f t="shared" si="68"/>
        <v>-3.4442316412519346E-2</v>
      </c>
      <c r="J520" s="13">
        <f t="shared" si="69"/>
        <v>2.6138248794042241E-2</v>
      </c>
      <c r="K520" s="13">
        <f t="shared" si="70"/>
        <v>-1.8419790405700557E-3</v>
      </c>
      <c r="L520" s="13">
        <f t="shared" si="71"/>
        <v>-1.834746175362458E-3</v>
      </c>
      <c r="M520" s="13">
        <f t="shared" si="72"/>
        <v>-7.1523361830831212E-3</v>
      </c>
      <c r="N520" s="13">
        <f t="shared" si="73"/>
        <v>1.6549998521035319E-2</v>
      </c>
      <c r="O520" s="13">
        <f t="shared" si="74"/>
        <v>-7.6376907294952029E-3</v>
      </c>
    </row>
    <row r="521" spans="1:15" x14ac:dyDescent="0.35">
      <c r="A521" s="2">
        <v>45692</v>
      </c>
      <c r="B521">
        <v>231.75184631347659</v>
      </c>
      <c r="C521">
        <v>1016.555480957031</v>
      </c>
      <c r="D521">
        <v>148.93110656738281</v>
      </c>
      <c r="E521">
        <v>262.55636596679688</v>
      </c>
      <c r="F521">
        <v>67.785545349121094</v>
      </c>
      <c r="G521">
        <v>164.80116271972659</v>
      </c>
      <c r="H521">
        <v>6037.8798828125</v>
      </c>
      <c r="I521" s="13">
        <f t="shared" si="68"/>
        <v>2.0790291076551649E-2</v>
      </c>
      <c r="J521" s="13">
        <f t="shared" si="69"/>
        <v>1.5811353551151625E-2</v>
      </c>
      <c r="K521" s="13">
        <f t="shared" si="70"/>
        <v>1.0610531285276722E-2</v>
      </c>
      <c r="L521" s="13">
        <f t="shared" si="71"/>
        <v>4.2261808858183132E-3</v>
      </c>
      <c r="M521" s="13">
        <f t="shared" si="72"/>
        <v>-1.6318075009220639E-2</v>
      </c>
      <c r="N521" s="13">
        <f t="shared" si="73"/>
        <v>-3.739985257959275E-3</v>
      </c>
      <c r="O521" s="13">
        <f t="shared" si="74"/>
        <v>7.1989074030291136E-3</v>
      </c>
    </row>
    <row r="522" spans="1:15" x14ac:dyDescent="0.35">
      <c r="A522" s="2">
        <v>45693</v>
      </c>
      <c r="B522">
        <v>231.42332458496091</v>
      </c>
      <c r="C522">
        <v>1037.466430664062</v>
      </c>
      <c r="D522">
        <v>150.095458984375</v>
      </c>
      <c r="E522">
        <v>264.996337890625</v>
      </c>
      <c r="F522">
        <v>67.106704711914063</v>
      </c>
      <c r="G522">
        <v>165.66371154785159</v>
      </c>
      <c r="H522">
        <v>6061.47998046875</v>
      </c>
      <c r="I522" s="13">
        <f t="shared" si="68"/>
        <v>-1.4185638792746195E-3</v>
      </c>
      <c r="J522" s="13">
        <f t="shared" si="69"/>
        <v>2.0361683635245618E-2</v>
      </c>
      <c r="K522" s="13">
        <f t="shared" si="70"/>
        <v>7.7876579255601363E-3</v>
      </c>
      <c r="L522" s="13">
        <f t="shared" si="71"/>
        <v>9.250220136485094E-3</v>
      </c>
      <c r="M522" s="13">
        <f t="shared" si="72"/>
        <v>-1.0065016599463452E-2</v>
      </c>
      <c r="N522" s="13">
        <f t="shared" si="73"/>
        <v>5.2202267414689293E-3</v>
      </c>
      <c r="O522" s="13">
        <f t="shared" si="74"/>
        <v>3.9010539156136138E-3</v>
      </c>
    </row>
    <row r="523" spans="1:15" x14ac:dyDescent="0.35">
      <c r="A523" s="2">
        <v>45694</v>
      </c>
      <c r="B523">
        <v>232.1699523925781</v>
      </c>
      <c r="C523">
        <v>1045.534301757812</v>
      </c>
      <c r="D523">
        <v>148.95051574707031</v>
      </c>
      <c r="E523">
        <v>271.33633422851563</v>
      </c>
      <c r="F523">
        <v>67.174598693847656</v>
      </c>
      <c r="G523">
        <v>165.53630065917969</v>
      </c>
      <c r="H523">
        <v>6083.56982421875</v>
      </c>
      <c r="I523" s="13">
        <f t="shared" si="68"/>
        <v>3.2210495286589275E-3</v>
      </c>
      <c r="J523" s="13">
        <f t="shared" si="69"/>
        <v>7.7464316861070538E-3</v>
      </c>
      <c r="K523" s="13">
        <f t="shared" si="70"/>
        <v>-7.6573432081623169E-3</v>
      </c>
      <c r="L523" s="13">
        <f t="shared" si="71"/>
        <v>2.3643130473450909E-2</v>
      </c>
      <c r="M523" s="13">
        <f t="shared" si="72"/>
        <v>1.0112202666659026E-3</v>
      </c>
      <c r="N523" s="13">
        <f t="shared" si="73"/>
        <v>-7.6938943394386911E-4</v>
      </c>
      <c r="O523" s="13">
        <f t="shared" si="74"/>
        <v>3.6376743552662661E-3</v>
      </c>
    </row>
    <row r="524" spans="1:15" x14ac:dyDescent="0.35">
      <c r="A524" s="2">
        <v>45695</v>
      </c>
      <c r="B524">
        <v>226.6051330566406</v>
      </c>
      <c r="C524">
        <v>1039.538940429688</v>
      </c>
      <c r="D524">
        <v>148.57208251953119</v>
      </c>
      <c r="E524">
        <v>270.25845336914063</v>
      </c>
      <c r="F524">
        <v>66.204841613769531</v>
      </c>
      <c r="G524">
        <v>164.64430236816409</v>
      </c>
      <c r="H524">
        <v>6025.990234375</v>
      </c>
      <c r="I524" s="13">
        <f t="shared" si="68"/>
        <v>-2.4260656058344453E-2</v>
      </c>
      <c r="J524" s="13">
        <f t="shared" si="69"/>
        <v>-5.7507599537954543E-3</v>
      </c>
      <c r="K524" s="13">
        <f t="shared" si="70"/>
        <v>-2.5438970607746373E-3</v>
      </c>
      <c r="L524" s="13">
        <f t="shared" si="71"/>
        <v>-3.9804012416047333E-3</v>
      </c>
      <c r="M524" s="13">
        <f t="shared" si="72"/>
        <v>-1.4541584015177248E-2</v>
      </c>
      <c r="N524" s="13">
        <f t="shared" si="73"/>
        <v>-5.4031063780632564E-3</v>
      </c>
      <c r="O524" s="13">
        <f t="shared" si="74"/>
        <v>-9.5098456936601999E-3</v>
      </c>
    </row>
    <row r="525" spans="1:15" x14ac:dyDescent="0.35">
      <c r="A525" s="2">
        <v>45698</v>
      </c>
      <c r="B525">
        <v>226.87419128417969</v>
      </c>
      <c r="C525">
        <v>1057.574829101562</v>
      </c>
      <c r="D525">
        <v>149.6588439941406</v>
      </c>
      <c r="E525">
        <v>265.59405517578119</v>
      </c>
      <c r="F525">
        <v>67.591583251953125</v>
      </c>
      <c r="G525">
        <v>164.21302795410159</v>
      </c>
      <c r="H525">
        <v>6066.43994140625</v>
      </c>
      <c r="I525" s="13">
        <f t="shared" si="68"/>
        <v>1.1866395871620097E-3</v>
      </c>
      <c r="J525" s="13">
        <f t="shared" si="69"/>
        <v>1.72011014695106E-2</v>
      </c>
      <c r="K525" s="13">
        <f t="shared" si="70"/>
        <v>7.2880857642470404E-3</v>
      </c>
      <c r="L525" s="13">
        <f t="shared" si="71"/>
        <v>-1.7409701111442348E-2</v>
      </c>
      <c r="M525" s="13">
        <f t="shared" si="72"/>
        <v>2.0729870761633629E-2</v>
      </c>
      <c r="N525" s="13">
        <f t="shared" si="73"/>
        <v>-2.6228678611698308E-3</v>
      </c>
      <c r="O525" s="13">
        <f t="shared" si="74"/>
        <v>6.6901122954551723E-3</v>
      </c>
    </row>
    <row r="526" spans="1:15" x14ac:dyDescent="0.35">
      <c r="A526" s="2">
        <v>45699</v>
      </c>
      <c r="B526">
        <v>231.8272705078125</v>
      </c>
      <c r="C526">
        <v>1054.00927734375</v>
      </c>
      <c r="D526">
        <v>151.4927062988281</v>
      </c>
      <c r="E526">
        <v>269.46469116210938</v>
      </c>
      <c r="F526">
        <v>68.202529907226563</v>
      </c>
      <c r="G526">
        <v>166.0754089355469</v>
      </c>
      <c r="H526">
        <v>6068.5</v>
      </c>
      <c r="I526" s="13">
        <f t="shared" si="68"/>
        <v>2.1596930272569727E-2</v>
      </c>
      <c r="J526" s="13">
        <f t="shared" si="69"/>
        <v>-3.3771377002747606E-3</v>
      </c>
      <c r="K526" s="13">
        <f t="shared" si="70"/>
        <v>1.2179150140008982E-2</v>
      </c>
      <c r="L526" s="13">
        <f t="shared" si="71"/>
        <v>1.4468330939145934E-2</v>
      </c>
      <c r="M526" s="13">
        <f t="shared" si="72"/>
        <v>8.9981923853394135E-3</v>
      </c>
      <c r="N526" s="13">
        <f t="shared" si="73"/>
        <v>1.1277420045992435E-2</v>
      </c>
      <c r="O526" s="13">
        <f t="shared" si="74"/>
        <v>3.3952514367385523E-4</v>
      </c>
    </row>
    <row r="527" spans="1:15" x14ac:dyDescent="0.35">
      <c r="A527" s="2">
        <v>45700</v>
      </c>
      <c r="B527">
        <v>236.0627746582031</v>
      </c>
      <c r="C527">
        <v>1060.761596679688</v>
      </c>
      <c r="D527">
        <v>150.64854431152341</v>
      </c>
      <c r="E527">
        <v>269.91549682617188</v>
      </c>
      <c r="F527">
        <v>67.184288024902344</v>
      </c>
      <c r="G527">
        <v>166.22242736816409</v>
      </c>
      <c r="H527">
        <v>6051.97021484375</v>
      </c>
      <c r="I527" s="13">
        <f t="shared" si="68"/>
        <v>1.8105193272120245E-2</v>
      </c>
      <c r="J527" s="13">
        <f t="shared" si="69"/>
        <v>6.3858854547631334E-3</v>
      </c>
      <c r="K527" s="13">
        <f t="shared" si="70"/>
        <v>-5.5878777368817108E-3</v>
      </c>
      <c r="L527" s="13">
        <f t="shared" si="71"/>
        <v>1.6715696240600898E-3</v>
      </c>
      <c r="M527" s="13">
        <f t="shared" si="72"/>
        <v>-1.5042248537034227E-2</v>
      </c>
      <c r="N527" s="13">
        <f t="shared" si="73"/>
        <v>8.8485946129044214E-4</v>
      </c>
      <c r="O527" s="13">
        <f t="shared" si="74"/>
        <v>-2.7275831896475754E-3</v>
      </c>
    </row>
    <row r="528" spans="1:15" x14ac:dyDescent="0.35">
      <c r="A528" s="2">
        <v>45701</v>
      </c>
      <c r="B528">
        <v>240.70689392089841</v>
      </c>
      <c r="C528">
        <v>1072.45361328125</v>
      </c>
      <c r="D528">
        <v>152.5794372558594</v>
      </c>
      <c r="E528">
        <v>270.76797485351563</v>
      </c>
      <c r="F528">
        <v>66.524871826171875</v>
      </c>
      <c r="G528">
        <v>167.6339111328125</v>
      </c>
      <c r="H528">
        <v>6115.06982421875</v>
      </c>
      <c r="I528" s="13">
        <f t="shared" si="68"/>
        <v>1.9482221542832363E-2</v>
      </c>
      <c r="J528" s="13">
        <f t="shared" si="69"/>
        <v>1.0961982295754654E-2</v>
      </c>
      <c r="K528" s="13">
        <f t="shared" si="70"/>
        <v>1.2735757652998017E-2</v>
      </c>
      <c r="L528" s="13">
        <f t="shared" si="71"/>
        <v>3.1533375010802168E-3</v>
      </c>
      <c r="M528" s="13">
        <f t="shared" si="72"/>
        <v>-9.8635208780096986E-3</v>
      </c>
      <c r="N528" s="13">
        <f t="shared" si="73"/>
        <v>8.4556859450687621E-3</v>
      </c>
      <c r="O528" s="13">
        <f t="shared" si="74"/>
        <v>1.0372313214235747E-2</v>
      </c>
    </row>
    <row r="529" spans="1:15" x14ac:dyDescent="0.35">
      <c r="A529" s="2">
        <v>45702</v>
      </c>
      <c r="B529">
        <v>243.7664489746094</v>
      </c>
      <c r="C529">
        <v>1067.464111328125</v>
      </c>
      <c r="D529">
        <v>151.51210021972659</v>
      </c>
      <c r="E529">
        <v>271.03256225585938</v>
      </c>
      <c r="F529">
        <v>66.001197814941406</v>
      </c>
      <c r="G529">
        <v>159.6648864746094</v>
      </c>
      <c r="H529">
        <v>6114.6298828125</v>
      </c>
      <c r="I529" s="13">
        <f t="shared" si="68"/>
        <v>1.2630605061192934E-2</v>
      </c>
      <c r="J529" s="13">
        <f t="shared" si="69"/>
        <v>-4.6632736741241427E-3</v>
      </c>
      <c r="K529" s="13">
        <f t="shared" si="70"/>
        <v>-7.0198692673889536E-3</v>
      </c>
      <c r="L529" s="13">
        <f t="shared" si="71"/>
        <v>9.7669679247157923E-4</v>
      </c>
      <c r="M529" s="13">
        <f t="shared" si="72"/>
        <v>-7.902999587260786E-3</v>
      </c>
      <c r="N529" s="13">
        <f t="shared" si="73"/>
        <v>-4.8705342056956244E-2</v>
      </c>
      <c r="O529" s="13">
        <f t="shared" si="74"/>
        <v>-7.1946395574495501E-5</v>
      </c>
    </row>
    <row r="530" spans="1:15" x14ac:dyDescent="0.35">
      <c r="A530" s="2">
        <v>45706</v>
      </c>
      <c r="B530">
        <v>243.63688659667969</v>
      </c>
      <c r="C530">
        <v>1051.708862304688</v>
      </c>
      <c r="D530">
        <v>151.59034729003909</v>
      </c>
      <c r="E530">
        <v>274.3250732421875</v>
      </c>
      <c r="F530">
        <v>66.427886962890625</v>
      </c>
      <c r="G530">
        <v>162.15458679199219</v>
      </c>
      <c r="H530">
        <v>6129.580078125</v>
      </c>
      <c r="I530" s="13">
        <f t="shared" si="68"/>
        <v>-5.3164339070243323E-4</v>
      </c>
      <c r="J530" s="13">
        <f t="shared" si="69"/>
        <v>-1.4869517035367069E-2</v>
      </c>
      <c r="K530" s="13">
        <f t="shared" si="70"/>
        <v>5.163077546457642E-4</v>
      </c>
      <c r="L530" s="13">
        <f t="shared" si="71"/>
        <v>1.2074832280158808E-2</v>
      </c>
      <c r="M530" s="13">
        <f t="shared" si="72"/>
        <v>6.4440621215433019E-3</v>
      </c>
      <c r="N530" s="13">
        <f t="shared" si="73"/>
        <v>1.5472960439766644E-2</v>
      </c>
      <c r="O530" s="13">
        <f t="shared" si="74"/>
        <v>2.4420036555518089E-3</v>
      </c>
    </row>
    <row r="531" spans="1:15" x14ac:dyDescent="0.35">
      <c r="A531" s="2">
        <v>45707</v>
      </c>
      <c r="B531">
        <v>244.03550720214841</v>
      </c>
      <c r="C531">
        <v>1058.192260742188</v>
      </c>
      <c r="D531">
        <v>154.42674255371091</v>
      </c>
      <c r="E531">
        <v>273.63912963867188</v>
      </c>
      <c r="F531">
        <v>66.970939636230469</v>
      </c>
      <c r="G531">
        <v>163.19361877441409</v>
      </c>
      <c r="H531">
        <v>6144.14990234375</v>
      </c>
      <c r="I531" s="13">
        <f t="shared" si="68"/>
        <v>1.6347888431446824E-3</v>
      </c>
      <c r="J531" s="13">
        <f t="shared" si="69"/>
        <v>6.1457086998259886E-3</v>
      </c>
      <c r="K531" s="13">
        <f t="shared" si="70"/>
        <v>1.8538026709016765E-2</v>
      </c>
      <c r="L531" s="13">
        <f t="shared" si="71"/>
        <v>-2.5036086598495249E-3</v>
      </c>
      <c r="M531" s="13">
        <f t="shared" si="72"/>
        <v>8.1418358327678755E-3</v>
      </c>
      <c r="N531" s="13">
        <f t="shared" si="73"/>
        <v>6.3872214265005894E-3</v>
      </c>
      <c r="O531" s="13">
        <f t="shared" si="74"/>
        <v>2.3741488668242434E-3</v>
      </c>
    </row>
    <row r="532" spans="1:15" x14ac:dyDescent="0.35">
      <c r="A532" s="2">
        <v>45708</v>
      </c>
      <c r="B532">
        <v>244.99224853515619</v>
      </c>
      <c r="C532">
        <v>1030.595581054688</v>
      </c>
      <c r="D532">
        <v>156.1774597167969</v>
      </c>
      <c r="E532">
        <v>261.43927001953119</v>
      </c>
      <c r="F532">
        <v>68.018272399902344</v>
      </c>
      <c r="G532">
        <v>163.89936828613281</v>
      </c>
      <c r="H532">
        <v>6117.52001953125</v>
      </c>
      <c r="I532" s="13">
        <f t="shared" si="68"/>
        <v>3.9128353859173145E-3</v>
      </c>
      <c r="J532" s="13">
        <f t="shared" si="69"/>
        <v>-2.642516869286345E-2</v>
      </c>
      <c r="K532" s="13">
        <f t="shared" si="70"/>
        <v>1.127309734215466E-2</v>
      </c>
      <c r="L532" s="13">
        <f t="shared" si="71"/>
        <v>-4.5608173692761489E-2</v>
      </c>
      <c r="M532" s="13">
        <f t="shared" si="72"/>
        <v>1.5517592315552491E-2</v>
      </c>
      <c r="N532" s="13">
        <f t="shared" si="73"/>
        <v>4.3152903597871517E-3</v>
      </c>
      <c r="O532" s="13">
        <f t="shared" si="74"/>
        <v>-4.3436048842902591E-3</v>
      </c>
    </row>
    <row r="533" spans="1:15" x14ac:dyDescent="0.35">
      <c r="A533" s="2">
        <v>45709</v>
      </c>
      <c r="B533">
        <v>244.71319580078119</v>
      </c>
      <c r="C533">
        <v>1030.794677734375</v>
      </c>
      <c r="D533">
        <v>158.74000549316409</v>
      </c>
      <c r="E533">
        <v>258.93072509765619</v>
      </c>
      <c r="F533">
        <v>69.414726257324219</v>
      </c>
      <c r="G533">
        <v>166.85955810546881</v>
      </c>
      <c r="H533">
        <v>6013.1298828125</v>
      </c>
      <c r="I533" s="13">
        <f t="shared" si="68"/>
        <v>-1.1396759738199111E-3</v>
      </c>
      <c r="J533" s="13">
        <f t="shared" si="69"/>
        <v>1.9316738250535294E-4</v>
      </c>
      <c r="K533" s="13">
        <f t="shared" si="70"/>
        <v>1.627475526453058E-2</v>
      </c>
      <c r="L533" s="13">
        <f t="shared" si="71"/>
        <v>-9.6414642573244645E-3</v>
      </c>
      <c r="M533" s="13">
        <f t="shared" si="72"/>
        <v>2.0322658069549551E-2</v>
      </c>
      <c r="N533" s="13">
        <f t="shared" si="73"/>
        <v>1.7899857696885926E-2</v>
      </c>
      <c r="O533" s="13">
        <f t="shared" si="74"/>
        <v>-1.7211396672539132E-2</v>
      </c>
    </row>
    <row r="534" spans="1:15" x14ac:dyDescent="0.35">
      <c r="A534" s="2">
        <v>45712</v>
      </c>
      <c r="B534">
        <v>246.25791931152341</v>
      </c>
      <c r="C534">
        <v>1031.362426757812</v>
      </c>
      <c r="D534">
        <v>160.14842224121091</v>
      </c>
      <c r="E534">
        <v>256.0889892578125</v>
      </c>
      <c r="F534">
        <v>68.658317565917969</v>
      </c>
      <c r="G534">
        <v>167.1634216308594</v>
      </c>
      <c r="H534">
        <v>5983.25</v>
      </c>
      <c r="I534" s="13">
        <f t="shared" si="68"/>
        <v>6.2925437374129365E-3</v>
      </c>
      <c r="J534" s="13">
        <f t="shared" si="69"/>
        <v>5.5063606603534198E-4</v>
      </c>
      <c r="K534" s="13">
        <f t="shared" si="70"/>
        <v>8.8333459827110057E-3</v>
      </c>
      <c r="L534" s="13">
        <f t="shared" si="71"/>
        <v>-1.103555689341606E-2</v>
      </c>
      <c r="M534" s="13">
        <f t="shared" si="72"/>
        <v>-1.0956755029292707E-2</v>
      </c>
      <c r="N534" s="13">
        <f t="shared" si="73"/>
        <v>1.8194173913018345E-3</v>
      </c>
      <c r="O534" s="13">
        <f t="shared" si="74"/>
        <v>-4.9814935662523506E-3</v>
      </c>
    </row>
    <row r="535" spans="1:15" x14ac:dyDescent="0.35">
      <c r="A535" s="2">
        <v>45713</v>
      </c>
      <c r="B535">
        <v>246.1981201171875</v>
      </c>
      <c r="C535">
        <v>1051.340454101562</v>
      </c>
      <c r="D535">
        <v>162.44688415527341</v>
      </c>
      <c r="E535">
        <v>252.22813415527341</v>
      </c>
      <c r="F535">
        <v>69.123786926269531</v>
      </c>
      <c r="G535">
        <v>169.23164367675781</v>
      </c>
      <c r="H535">
        <v>5955.25</v>
      </c>
      <c r="I535" s="13">
        <f t="shared" si="68"/>
        <v>-2.4286104684272046E-4</v>
      </c>
      <c r="J535" s="13">
        <f t="shared" si="69"/>
        <v>1.9185300322205345E-2</v>
      </c>
      <c r="K535" s="13">
        <f t="shared" si="70"/>
        <v>1.4250057350209485E-2</v>
      </c>
      <c r="L535" s="13">
        <f t="shared" si="71"/>
        <v>-1.5191026117371404E-2</v>
      </c>
      <c r="M535" s="13">
        <f t="shared" si="72"/>
        <v>6.7566268183607064E-3</v>
      </c>
      <c r="N535" s="13">
        <f t="shared" si="73"/>
        <v>1.229654248580341E-2</v>
      </c>
      <c r="O535" s="13">
        <f t="shared" si="74"/>
        <v>-4.690715138395557E-3</v>
      </c>
    </row>
    <row r="536" spans="1:15" x14ac:dyDescent="0.35">
      <c r="A536" s="2">
        <v>45714</v>
      </c>
      <c r="B536">
        <v>239.5408935546875</v>
      </c>
      <c r="C536">
        <v>1027.747314453125</v>
      </c>
      <c r="D536">
        <v>159.5028991699219</v>
      </c>
      <c r="E536">
        <v>253.5902404785156</v>
      </c>
      <c r="F536">
        <v>68.861961364746094</v>
      </c>
      <c r="G536">
        <v>167.90840148925781</v>
      </c>
      <c r="H536">
        <v>5956.06005859375</v>
      </c>
      <c r="I536" s="13">
        <f t="shared" si="68"/>
        <v>-2.741243032228451E-2</v>
      </c>
      <c r="J536" s="13">
        <f t="shared" si="69"/>
        <v>-2.2696639175799241E-2</v>
      </c>
      <c r="K536" s="13">
        <f t="shared" si="70"/>
        <v>-1.8288982926800458E-2</v>
      </c>
      <c r="L536" s="13">
        <f t="shared" si="71"/>
        <v>5.3857656583484667E-3</v>
      </c>
      <c r="M536" s="13">
        <f t="shared" si="72"/>
        <v>-3.7949698283481002E-3</v>
      </c>
      <c r="N536" s="13">
        <f t="shared" si="73"/>
        <v>-7.8498475712183765E-3</v>
      </c>
      <c r="O536" s="13">
        <f t="shared" si="74"/>
        <v>1.3601502958346571E-4</v>
      </c>
    </row>
    <row r="537" spans="1:15" x14ac:dyDescent="0.35">
      <c r="A537" s="2">
        <v>45715</v>
      </c>
      <c r="B537">
        <v>236.49131774902341</v>
      </c>
      <c r="C537">
        <v>1017.529296875</v>
      </c>
      <c r="D537">
        <v>160.13862609863281</v>
      </c>
      <c r="E537">
        <v>253.8450012207031</v>
      </c>
      <c r="F537">
        <v>67.281265258789063</v>
      </c>
      <c r="G537">
        <v>168.56512451171881</v>
      </c>
      <c r="H537">
        <v>5861.56982421875</v>
      </c>
      <c r="I537" s="13">
        <f t="shared" si="68"/>
        <v>-1.2812651969177987E-2</v>
      </c>
      <c r="J537" s="13">
        <f t="shared" si="69"/>
        <v>-9.9919028396415182E-3</v>
      </c>
      <c r="K537" s="13">
        <f t="shared" si="70"/>
        <v>3.9777545574571785E-3</v>
      </c>
      <c r="L537" s="13">
        <f t="shared" si="71"/>
        <v>1.0041114319904458E-3</v>
      </c>
      <c r="M537" s="13">
        <f t="shared" si="72"/>
        <v>-2.3222119517390092E-2</v>
      </c>
      <c r="N537" s="13">
        <f t="shared" si="73"/>
        <v>3.9035692595893582E-3</v>
      </c>
      <c r="O537" s="13">
        <f t="shared" si="74"/>
        <v>-1.5991742678524653E-2</v>
      </c>
    </row>
    <row r="538" spans="1:15" x14ac:dyDescent="0.35">
      <c r="A538" s="2">
        <v>45716</v>
      </c>
      <c r="B538">
        <v>241.0158386230469</v>
      </c>
      <c r="C538">
        <v>1044.3193359375</v>
      </c>
      <c r="D538">
        <v>161.40034484863281</v>
      </c>
      <c r="E538">
        <v>259.33248901367188</v>
      </c>
      <c r="F538">
        <v>68.608062744140625</v>
      </c>
      <c r="G538">
        <v>170.39808654785159</v>
      </c>
      <c r="H538">
        <v>5954.5</v>
      </c>
      <c r="I538" s="13">
        <f t="shared" si="68"/>
        <v>1.8951155921255763E-2</v>
      </c>
      <c r="J538" s="13">
        <f t="shared" si="69"/>
        <v>2.5987889106636783E-2</v>
      </c>
      <c r="K538" s="13">
        <f t="shared" si="70"/>
        <v>7.8480392111012522E-3</v>
      </c>
      <c r="L538" s="13">
        <f t="shared" si="71"/>
        <v>2.1387130436628536E-2</v>
      </c>
      <c r="M538" s="13">
        <f t="shared" si="72"/>
        <v>1.9528239183115328E-2</v>
      </c>
      <c r="N538" s="13">
        <f t="shared" si="73"/>
        <v>1.0815214412159718E-2</v>
      </c>
      <c r="O538" s="13">
        <f t="shared" si="74"/>
        <v>1.5729780420663385E-2</v>
      </c>
    </row>
    <row r="539" spans="1:15" x14ac:dyDescent="0.35">
      <c r="A539" s="2">
        <v>45719</v>
      </c>
      <c r="B539">
        <v>237.21882629394531</v>
      </c>
      <c r="C539">
        <v>1042.56640625</v>
      </c>
      <c r="D539">
        <v>163.61077880859381</v>
      </c>
      <c r="E539">
        <v>255.3834533691406</v>
      </c>
      <c r="F539">
        <v>70.025787353515625</v>
      </c>
      <c r="G539">
        <v>172.1134338378906</v>
      </c>
      <c r="H539">
        <v>5849.72021484375</v>
      </c>
      <c r="I539" s="13">
        <f t="shared" si="68"/>
        <v>-1.587961892322437E-2</v>
      </c>
      <c r="J539" s="13">
        <f t="shared" si="69"/>
        <v>-1.6799483213932303E-3</v>
      </c>
      <c r="K539" s="13">
        <f t="shared" si="70"/>
        <v>1.3602414694224817E-2</v>
      </c>
      <c r="L539" s="13">
        <f t="shared" si="71"/>
        <v>-1.5344825395587749E-2</v>
      </c>
      <c r="M539" s="13">
        <f t="shared" si="72"/>
        <v>2.0453504435819128E-2</v>
      </c>
      <c r="N539" s="13">
        <f t="shared" si="73"/>
        <v>1.0016373344126786E-2</v>
      </c>
      <c r="O539" s="13">
        <f t="shared" si="74"/>
        <v>-1.7753402648308866E-2</v>
      </c>
    </row>
    <row r="540" spans="1:15" x14ac:dyDescent="0.35">
      <c r="A540" s="2">
        <v>45720</v>
      </c>
      <c r="B540">
        <v>235.1259765625</v>
      </c>
      <c r="C540">
        <v>1032.627319335938</v>
      </c>
      <c r="D540">
        <v>161.79158020019531</v>
      </c>
      <c r="E540">
        <v>245.2218017578125</v>
      </c>
      <c r="F540">
        <v>69.272918701171875</v>
      </c>
      <c r="G540">
        <v>169.75115966796881</v>
      </c>
      <c r="H540">
        <v>5778.14990234375</v>
      </c>
      <c r="I540" s="13">
        <f t="shared" si="68"/>
        <v>-8.8615918470853483E-3</v>
      </c>
      <c r="J540" s="13">
        <f t="shared" si="69"/>
        <v>-9.5790217465928293E-3</v>
      </c>
      <c r="K540" s="13">
        <f t="shared" si="70"/>
        <v>-1.1181342183774251E-2</v>
      </c>
      <c r="L540" s="13">
        <f t="shared" si="71"/>
        <v>-4.0603040085052632E-2</v>
      </c>
      <c r="M540" s="13">
        <f t="shared" si="72"/>
        <v>-1.0809518687449476E-2</v>
      </c>
      <c r="N540" s="13">
        <f t="shared" si="73"/>
        <v>-1.3820160458758463E-2</v>
      </c>
      <c r="O540" s="13">
        <f t="shared" si="74"/>
        <v>-1.2310288231505477E-2</v>
      </c>
    </row>
    <row r="541" spans="1:15" x14ac:dyDescent="0.35">
      <c r="A541" s="2">
        <v>45721</v>
      </c>
      <c r="B541">
        <v>234.93663024902341</v>
      </c>
      <c r="C541">
        <v>1043.462768554688</v>
      </c>
      <c r="D541">
        <v>161.49815368652341</v>
      </c>
      <c r="E541">
        <v>246.47608947753909</v>
      </c>
      <c r="F541">
        <v>68.911170959472656</v>
      </c>
      <c r="G541">
        <v>171.15284729003909</v>
      </c>
      <c r="H541">
        <v>5842.6298828125</v>
      </c>
      <c r="I541" s="13">
        <f t="shared" si="68"/>
        <v>-8.0562172346288537E-4</v>
      </c>
      <c r="J541" s="13">
        <f t="shared" si="69"/>
        <v>1.0438417550527396E-2</v>
      </c>
      <c r="K541" s="13">
        <f t="shared" si="70"/>
        <v>-1.8152546368725598E-3</v>
      </c>
      <c r="L541" s="13">
        <f t="shared" si="71"/>
        <v>5.1018743938131845E-3</v>
      </c>
      <c r="M541" s="13">
        <f t="shared" si="72"/>
        <v>-5.2357484710673753E-3</v>
      </c>
      <c r="N541" s="13">
        <f t="shared" si="73"/>
        <v>8.2234030253142219E-3</v>
      </c>
      <c r="O541" s="13">
        <f t="shared" si="74"/>
        <v>1.1097472528735688E-2</v>
      </c>
    </row>
    <row r="542" spans="1:15" x14ac:dyDescent="0.35">
      <c r="A542" s="2">
        <v>45722</v>
      </c>
      <c r="B542">
        <v>234.5280456542969</v>
      </c>
      <c r="C542">
        <v>1022.419189453125</v>
      </c>
      <c r="D542">
        <v>162.19258117675781</v>
      </c>
      <c r="E542">
        <v>241.5863342285156</v>
      </c>
      <c r="F542">
        <v>68.451629638671875</v>
      </c>
      <c r="G542">
        <v>171.20185852050781</v>
      </c>
      <c r="H542">
        <v>5738.52001953125</v>
      </c>
      <c r="I542" s="13">
        <f t="shared" si="68"/>
        <v>-1.7406408569597882E-3</v>
      </c>
      <c r="J542" s="13">
        <f t="shared" si="69"/>
        <v>-2.0373194014904381E-2</v>
      </c>
      <c r="K542" s="13">
        <f t="shared" si="70"/>
        <v>4.290691581869714E-3</v>
      </c>
      <c r="L542" s="13">
        <f t="shared" si="71"/>
        <v>-2.0038087849628301E-2</v>
      </c>
      <c r="M542" s="13">
        <f t="shared" si="72"/>
        <v>-6.6909386416000114E-3</v>
      </c>
      <c r="N542" s="13">
        <f t="shared" si="73"/>
        <v>2.8631842922979708E-4</v>
      </c>
      <c r="O542" s="13">
        <f t="shared" si="74"/>
        <v>-1.7979677107455568E-2</v>
      </c>
    </row>
    <row r="543" spans="1:15" x14ac:dyDescent="0.35">
      <c r="A543" s="2">
        <v>45723</v>
      </c>
      <c r="B543">
        <v>238.25529479980469</v>
      </c>
      <c r="C543">
        <v>960.3641357421875</v>
      </c>
      <c r="D543">
        <v>163.0337219238281</v>
      </c>
      <c r="E543">
        <v>237.41192626953119</v>
      </c>
      <c r="F543">
        <v>71.208847045898438</v>
      </c>
      <c r="G543">
        <v>172.46632385253909</v>
      </c>
      <c r="H543">
        <v>5770.2001953125</v>
      </c>
      <c r="I543" s="13">
        <f t="shared" si="68"/>
        <v>1.5767587593123793E-2</v>
      </c>
      <c r="J543" s="13">
        <f t="shared" si="69"/>
        <v>-6.2614331866514022E-2</v>
      </c>
      <c r="K543" s="13">
        <f t="shared" si="70"/>
        <v>5.172660480059558E-3</v>
      </c>
      <c r="L543" s="13">
        <f t="shared" si="71"/>
        <v>-1.7430182899311919E-2</v>
      </c>
      <c r="M543" s="13">
        <f t="shared" si="72"/>
        <v>3.9489707786844817E-2</v>
      </c>
      <c r="N543" s="13">
        <f t="shared" si="73"/>
        <v>7.3586738766635226E-3</v>
      </c>
      <c r="O543" s="13">
        <f t="shared" si="74"/>
        <v>5.5054350454544669E-3</v>
      </c>
    </row>
    <row r="544" spans="1:15" x14ac:dyDescent="0.35">
      <c r="A544" s="2">
        <v>45726</v>
      </c>
      <c r="B544">
        <v>226.70477294921881</v>
      </c>
      <c r="C544">
        <v>930.5865478515625</v>
      </c>
      <c r="D544">
        <v>164.02156066894531</v>
      </c>
      <c r="E544">
        <v>227.55409240722659</v>
      </c>
      <c r="F544">
        <v>74.464729309082031</v>
      </c>
      <c r="G544">
        <v>172.77018737792969</v>
      </c>
      <c r="H544">
        <v>5614.56005859375</v>
      </c>
      <c r="I544" s="13">
        <f t="shared" si="68"/>
        <v>-4.969415467655864E-2</v>
      </c>
      <c r="J544" s="13">
        <f t="shared" si="69"/>
        <v>-3.1497436651180911E-2</v>
      </c>
      <c r="K544" s="13">
        <f t="shared" si="70"/>
        <v>6.0408242989710382E-3</v>
      </c>
      <c r="L544" s="13">
        <f t="shared" si="71"/>
        <v>-4.2408738986419725E-2</v>
      </c>
      <c r="M544" s="13">
        <f t="shared" si="72"/>
        <v>4.4708514226919335E-2</v>
      </c>
      <c r="N544" s="13">
        <f t="shared" si="73"/>
        <v>1.7603213679429684E-3</v>
      </c>
      <c r="O544" s="13">
        <f t="shared" si="74"/>
        <v>-2.7343541788428148E-2</v>
      </c>
    </row>
    <row r="545" spans="1:15" x14ac:dyDescent="0.35">
      <c r="A545" s="2">
        <v>45727</v>
      </c>
      <c r="B545">
        <v>220.08740234375</v>
      </c>
      <c r="C545">
        <v>926.68255615234375</v>
      </c>
      <c r="D545">
        <v>162.221923828125</v>
      </c>
      <c r="E545">
        <v>224.53596496582031</v>
      </c>
      <c r="F545">
        <v>72.38214111328125</v>
      </c>
      <c r="G545">
        <v>169.6923522949219</v>
      </c>
      <c r="H545">
        <v>5572.06982421875</v>
      </c>
      <c r="I545" s="13">
        <f t="shared" si="68"/>
        <v>-2.9623860487679066E-2</v>
      </c>
      <c r="J545" s="13">
        <f t="shared" si="69"/>
        <v>-4.2040191598055913E-3</v>
      </c>
      <c r="K545" s="13">
        <f t="shared" si="70"/>
        <v>-1.103258872787061E-2</v>
      </c>
      <c r="L545" s="13">
        <f t="shared" si="71"/>
        <v>-1.3352084306653834E-2</v>
      </c>
      <c r="M545" s="13">
        <f t="shared" si="72"/>
        <v>-2.8365981930663191E-2</v>
      </c>
      <c r="N545" s="13">
        <f t="shared" si="73"/>
        <v>-1.7975209541480536E-2</v>
      </c>
      <c r="O545" s="13">
        <f t="shared" si="74"/>
        <v>-7.5966469185365778E-3</v>
      </c>
    </row>
    <row r="546" spans="1:15" x14ac:dyDescent="0.35">
      <c r="A546" s="2">
        <v>45728</v>
      </c>
      <c r="B546">
        <v>216.24055480957031</v>
      </c>
      <c r="C546">
        <v>923.28656005859375</v>
      </c>
      <c r="D546">
        <v>159.27793884277341</v>
      </c>
      <c r="E546">
        <v>223.32087707519531</v>
      </c>
      <c r="F546">
        <v>71.296852111816406</v>
      </c>
      <c r="G546">
        <v>165.03639221191409</v>
      </c>
      <c r="H546">
        <v>5599.2998046875</v>
      </c>
      <c r="I546" s="13">
        <f t="shared" si="68"/>
        <v>-1.763328315996136E-2</v>
      </c>
      <c r="J546" s="13">
        <f t="shared" si="69"/>
        <v>-3.6714125426415803E-3</v>
      </c>
      <c r="K546" s="13">
        <f t="shared" si="70"/>
        <v>-1.8314578741348508E-2</v>
      </c>
      <c r="L546" s="13">
        <f t="shared" si="71"/>
        <v>-5.4262467735102854E-3</v>
      </c>
      <c r="M546" s="13">
        <f t="shared" si="72"/>
        <v>-1.5107422716418501E-2</v>
      </c>
      <c r="N546" s="13">
        <f t="shared" si="73"/>
        <v>-2.7821096754794716E-2</v>
      </c>
      <c r="O546" s="13">
        <f t="shared" si="74"/>
        <v>4.8749679404907773E-3</v>
      </c>
    </row>
    <row r="547" spans="1:15" x14ac:dyDescent="0.35">
      <c r="A547" s="2">
        <v>45729</v>
      </c>
      <c r="B547">
        <v>208.9654235839844</v>
      </c>
      <c r="C547">
        <v>886.9757080078125</v>
      </c>
      <c r="D547">
        <v>159.41487121582031</v>
      </c>
      <c r="E547">
        <v>220.66534423828119</v>
      </c>
      <c r="F547">
        <v>71.111076354980469</v>
      </c>
      <c r="G547">
        <v>165.25202941894531</v>
      </c>
      <c r="H547">
        <v>5521.52001953125</v>
      </c>
      <c r="I547" s="13">
        <f t="shared" si="68"/>
        <v>-3.4222666795603568E-2</v>
      </c>
      <c r="J547" s="13">
        <f t="shared" si="69"/>
        <v>-4.0122057007279742E-2</v>
      </c>
      <c r="K547" s="13">
        <f t="shared" si="70"/>
        <v>8.5933775191428155E-4</v>
      </c>
      <c r="L547" s="13">
        <f t="shared" si="71"/>
        <v>-1.1962373498226844E-2</v>
      </c>
      <c r="M547" s="13">
        <f t="shared" si="72"/>
        <v>-2.6090662819248057E-3</v>
      </c>
      <c r="N547" s="13">
        <f t="shared" si="73"/>
        <v>1.3057511165827306E-3</v>
      </c>
      <c r="O547" s="13">
        <f t="shared" si="74"/>
        <v>-1.3988366806464148E-2</v>
      </c>
    </row>
    <row r="548" spans="1:15" x14ac:dyDescent="0.35">
      <c r="A548" s="2">
        <v>45730</v>
      </c>
      <c r="B548">
        <v>212.762451171875</v>
      </c>
      <c r="C548">
        <v>900.2213134765625</v>
      </c>
      <c r="D548">
        <v>159.23881530761719</v>
      </c>
      <c r="E548">
        <v>227.7696533203125</v>
      </c>
      <c r="F548">
        <v>71.912834167480469</v>
      </c>
      <c r="G548">
        <v>164.64430236816409</v>
      </c>
      <c r="H548">
        <v>5638.93994140625</v>
      </c>
      <c r="I548" s="13">
        <f t="shared" si="68"/>
        <v>1.8007489756816781E-2</v>
      </c>
      <c r="J548" s="13">
        <f t="shared" si="69"/>
        <v>1.4823041711124167E-2</v>
      </c>
      <c r="K548" s="13">
        <f t="shared" si="70"/>
        <v>-1.1049985207321619E-3</v>
      </c>
      <c r="L548" s="13">
        <f t="shared" si="71"/>
        <v>3.1687551437194761E-2</v>
      </c>
      <c r="M548" s="13">
        <f t="shared" si="72"/>
        <v>1.1211638781558651E-2</v>
      </c>
      <c r="N548" s="13">
        <f t="shared" si="73"/>
        <v>-3.6843558396281E-3</v>
      </c>
      <c r="O548" s="13">
        <f t="shared" si="74"/>
        <v>2.1042905953196939E-2</v>
      </c>
    </row>
    <row r="549" spans="1:15" x14ac:dyDescent="0.35">
      <c r="A549" s="2">
        <v>45733</v>
      </c>
      <c r="B549">
        <v>213.27070617675781</v>
      </c>
      <c r="C549">
        <v>912.859375</v>
      </c>
      <c r="D549">
        <v>159.2681579589844</v>
      </c>
      <c r="E549">
        <v>229.2297058105469</v>
      </c>
      <c r="F549">
        <v>70.5048828125</v>
      </c>
      <c r="G549">
        <v>166.39886474609381</v>
      </c>
      <c r="H549">
        <v>5675.1201171875</v>
      </c>
      <c r="I549" s="13">
        <f t="shared" si="68"/>
        <v>2.3859891524318291E-3</v>
      </c>
      <c r="J549" s="13">
        <f t="shared" si="69"/>
        <v>1.3941206582436052E-2</v>
      </c>
      <c r="K549" s="13">
        <f t="shared" si="70"/>
        <v>1.842512341207723E-4</v>
      </c>
      <c r="L549" s="13">
        <f t="shared" si="71"/>
        <v>6.3897571353897249E-3</v>
      </c>
      <c r="M549" s="13">
        <f t="shared" si="72"/>
        <v>-1.9772781869200021E-2</v>
      </c>
      <c r="N549" s="13">
        <f t="shared" si="73"/>
        <v>1.0600302206403959E-2</v>
      </c>
      <c r="O549" s="13">
        <f t="shared" si="74"/>
        <v>6.3956349746060355E-3</v>
      </c>
    </row>
    <row r="550" spans="1:15" x14ac:dyDescent="0.35">
      <c r="A550" s="2">
        <v>45734</v>
      </c>
      <c r="B550">
        <v>211.96519470214841</v>
      </c>
      <c r="C550">
        <v>894.37530517578125</v>
      </c>
      <c r="D550">
        <v>160.64723205566409</v>
      </c>
      <c r="E550">
        <v>230.24882507324219</v>
      </c>
      <c r="F550">
        <v>69.126258850097656</v>
      </c>
      <c r="G550">
        <v>164.38946533203119</v>
      </c>
      <c r="H550">
        <v>5614.66015625</v>
      </c>
      <c r="I550" s="13">
        <f t="shared" si="68"/>
        <v>-6.1401945301737407E-3</v>
      </c>
      <c r="J550" s="13">
        <f t="shared" si="69"/>
        <v>-2.0456352012731074E-2</v>
      </c>
      <c r="K550" s="13">
        <f t="shared" si="70"/>
        <v>8.6215460840580981E-3</v>
      </c>
      <c r="L550" s="13">
        <f t="shared" si="71"/>
        <v>4.435989346097997E-3</v>
      </c>
      <c r="M550" s="13">
        <f t="shared" si="72"/>
        <v>-1.9747296281987396E-2</v>
      </c>
      <c r="N550" s="13">
        <f t="shared" si="73"/>
        <v>-1.2149304844455087E-2</v>
      </c>
      <c r="O550" s="13">
        <f t="shared" si="74"/>
        <v>-1.0710667074319702E-2</v>
      </c>
    </row>
    <row r="551" spans="1:15" x14ac:dyDescent="0.35">
      <c r="A551" s="2">
        <v>45735</v>
      </c>
      <c r="B551">
        <v>214.50648498535159</v>
      </c>
      <c r="C551">
        <v>900.35076904296875</v>
      </c>
      <c r="D551">
        <v>159.41487121582031</v>
      </c>
      <c r="E551">
        <v>234.3056335449219</v>
      </c>
      <c r="F551">
        <v>68.930717468261719</v>
      </c>
      <c r="G551">
        <v>165.23243713378909</v>
      </c>
      <c r="H551">
        <v>5675.2900390625</v>
      </c>
      <c r="I551" s="13">
        <f t="shared" si="68"/>
        <v>1.1917885682598337E-2</v>
      </c>
      <c r="J551" s="13">
        <f t="shared" si="69"/>
        <v>6.6589392477001547E-3</v>
      </c>
      <c r="K551" s="13">
        <f t="shared" si="70"/>
        <v>-7.7007987974467276E-3</v>
      </c>
      <c r="L551" s="13">
        <f t="shared" si="71"/>
        <v>1.7465817085412328E-2</v>
      </c>
      <c r="M551" s="13">
        <f t="shared" si="72"/>
        <v>-2.8327653960220829E-3</v>
      </c>
      <c r="N551" s="13">
        <f t="shared" si="73"/>
        <v>5.1147914213601625E-3</v>
      </c>
      <c r="O551" s="13">
        <f t="shared" si="74"/>
        <v>1.0740608172953766E-2</v>
      </c>
    </row>
    <row r="552" spans="1:15" x14ac:dyDescent="0.35">
      <c r="A552" s="2">
        <v>45736</v>
      </c>
      <c r="B552">
        <v>213.3703918457031</v>
      </c>
      <c r="C552">
        <v>891.73614501953125</v>
      </c>
      <c r="D552">
        <v>159.4442138671875</v>
      </c>
      <c r="E552">
        <v>234.2076416015625</v>
      </c>
      <c r="F552">
        <v>69.566253662109375</v>
      </c>
      <c r="G552">
        <v>164.2326354980469</v>
      </c>
      <c r="H552">
        <v>5662.89013671875</v>
      </c>
      <c r="I552" s="13">
        <f t="shared" si="68"/>
        <v>-5.3103865668073895E-3</v>
      </c>
      <c r="J552" s="13">
        <f t="shared" si="69"/>
        <v>-9.6141435006723043E-3</v>
      </c>
      <c r="K552" s="13">
        <f t="shared" si="70"/>
        <v>1.8404776794981223E-4</v>
      </c>
      <c r="L552" s="13">
        <f t="shared" si="71"/>
        <v>-4.1831021653620593E-4</v>
      </c>
      <c r="M552" s="13">
        <f t="shared" si="72"/>
        <v>9.1776830869543628E-3</v>
      </c>
      <c r="N552" s="13">
        <f t="shared" si="73"/>
        <v>-6.069260676436301E-3</v>
      </c>
      <c r="O552" s="13">
        <f t="shared" si="74"/>
        <v>-2.1872835137829848E-3</v>
      </c>
    </row>
    <row r="553" spans="1:15" x14ac:dyDescent="0.35">
      <c r="A553" s="2">
        <v>45737</v>
      </c>
      <c r="B553">
        <v>217.52616882324219</v>
      </c>
      <c r="C553">
        <v>905.5394287109375</v>
      </c>
      <c r="D553">
        <v>160.04084777832031</v>
      </c>
      <c r="E553">
        <v>236.7749938964844</v>
      </c>
      <c r="F553">
        <v>69.302261352539063</v>
      </c>
      <c r="G553">
        <v>163.3896484375</v>
      </c>
      <c r="H553">
        <v>5667.56005859375</v>
      </c>
      <c r="I553" s="13">
        <f t="shared" si="68"/>
        <v>1.9289575343800072E-2</v>
      </c>
      <c r="J553" s="13">
        <f t="shared" si="69"/>
        <v>1.5360532680151319E-2</v>
      </c>
      <c r="K553" s="13">
        <f t="shared" si="70"/>
        <v>3.7349765378643608E-3</v>
      </c>
      <c r="L553" s="13">
        <f t="shared" si="71"/>
        <v>1.0902218173841904E-2</v>
      </c>
      <c r="M553" s="13">
        <f t="shared" si="72"/>
        <v>-3.8020515673583399E-3</v>
      </c>
      <c r="N553" s="13">
        <f t="shared" si="73"/>
        <v>-5.1461024615157324E-3</v>
      </c>
      <c r="O553" s="13">
        <f t="shared" si="74"/>
        <v>8.2431360783232106E-4</v>
      </c>
    </row>
    <row r="554" spans="1:15" x14ac:dyDescent="0.35">
      <c r="A554" s="2">
        <v>45740</v>
      </c>
      <c r="B554">
        <v>219.97776794433591</v>
      </c>
      <c r="C554">
        <v>922.250732421875</v>
      </c>
      <c r="D554">
        <v>159.70826721191409</v>
      </c>
      <c r="E554">
        <v>243.07582092285159</v>
      </c>
      <c r="F554">
        <v>68.510284423828125</v>
      </c>
      <c r="G554">
        <v>162.37025451660159</v>
      </c>
      <c r="H554">
        <v>5767.56982421875</v>
      </c>
      <c r="I554" s="13">
        <f t="shared" si="68"/>
        <v>1.1207326727510725E-2</v>
      </c>
      <c r="J554" s="13">
        <f t="shared" si="69"/>
        <v>1.8286310690300605E-2</v>
      </c>
      <c r="K554" s="13">
        <f t="shared" si="70"/>
        <v>-2.0802602462418585E-3</v>
      </c>
      <c r="L554" s="13">
        <f t="shared" si="71"/>
        <v>2.6263117596537624E-2</v>
      </c>
      <c r="M554" s="13">
        <f t="shared" si="72"/>
        <v>-1.1493665440441414E-2</v>
      </c>
      <c r="N554" s="13">
        <f t="shared" si="73"/>
        <v>-6.2585802556358143E-3</v>
      </c>
      <c r="O554" s="13">
        <f t="shared" si="74"/>
        <v>1.749211712863917E-2</v>
      </c>
    </row>
    <row r="555" spans="1:15" x14ac:dyDescent="0.35">
      <c r="A555" s="2">
        <v>45741</v>
      </c>
      <c r="B555">
        <v>222.98748779296881</v>
      </c>
      <c r="C555">
        <v>926.45355224609375</v>
      </c>
      <c r="D555">
        <v>157.48808288574219</v>
      </c>
      <c r="E555">
        <v>246.0841369628906</v>
      </c>
      <c r="F555">
        <v>67.063224792480469</v>
      </c>
      <c r="G555">
        <v>159.62568664550781</v>
      </c>
      <c r="H555">
        <v>5776.64990234375</v>
      </c>
      <c r="I555" s="13">
        <f t="shared" si="68"/>
        <v>1.3589174886757415E-2</v>
      </c>
      <c r="J555" s="13">
        <f t="shared" si="69"/>
        <v>4.5467813317219717E-3</v>
      </c>
      <c r="K555" s="13">
        <f t="shared" si="70"/>
        <v>-1.3999029833444726E-2</v>
      </c>
      <c r="L555" s="13">
        <f t="shared" si="71"/>
        <v>1.2300082700148443E-2</v>
      </c>
      <c r="M555" s="13">
        <f t="shared" si="72"/>
        <v>-2.1348043523889908E-2</v>
      </c>
      <c r="N555" s="13">
        <f t="shared" si="73"/>
        <v>-1.7047633148023784E-2</v>
      </c>
      <c r="O555" s="13">
        <f t="shared" si="74"/>
        <v>1.5730954906538206E-3</v>
      </c>
    </row>
    <row r="556" spans="1:15" x14ac:dyDescent="0.35">
      <c r="A556" s="2">
        <v>45742</v>
      </c>
      <c r="B556">
        <v>220.7750549316406</v>
      </c>
      <c r="C556">
        <v>925.945556640625</v>
      </c>
      <c r="D556">
        <v>158.1727294921875</v>
      </c>
      <c r="E556">
        <v>245.98612976074219</v>
      </c>
      <c r="F556">
        <v>68.1778564453125</v>
      </c>
      <c r="G556">
        <v>163.28184509277341</v>
      </c>
      <c r="H556">
        <v>5712.2001953125</v>
      </c>
      <c r="I556" s="13">
        <f t="shared" si="68"/>
        <v>-9.9713291666548211E-3</v>
      </c>
      <c r="J556" s="13">
        <f t="shared" si="69"/>
        <v>-5.4847318352334632E-4</v>
      </c>
      <c r="K556" s="13">
        <f t="shared" si="70"/>
        <v>4.3378693406802447E-3</v>
      </c>
      <c r="L556" s="13">
        <f t="shared" si="71"/>
        <v>-3.983463747848575E-4</v>
      </c>
      <c r="M556" s="13">
        <f t="shared" si="72"/>
        <v>1.6483998526142248E-2</v>
      </c>
      <c r="N556" s="13">
        <f t="shared" si="73"/>
        <v>2.2646202654175596E-2</v>
      </c>
      <c r="O556" s="13">
        <f t="shared" si="74"/>
        <v>-1.1219640357598032E-2</v>
      </c>
    </row>
    <row r="557" spans="1:15" x14ac:dyDescent="0.35">
      <c r="A557" s="2">
        <v>45743</v>
      </c>
      <c r="B557">
        <v>223.08717346191409</v>
      </c>
      <c r="C557">
        <v>934.90875244140625</v>
      </c>
      <c r="D557">
        <v>159.55180358886719</v>
      </c>
      <c r="E557">
        <v>243.13458251953119</v>
      </c>
      <c r="F557">
        <v>68.471176147460938</v>
      </c>
      <c r="G557">
        <v>165.36967468261719</v>
      </c>
      <c r="H557">
        <v>5693.31005859375</v>
      </c>
      <c r="I557" s="13">
        <f t="shared" si="68"/>
        <v>1.0418275291432688E-2</v>
      </c>
      <c r="J557" s="13">
        <f t="shared" si="69"/>
        <v>9.633494761478097E-3</v>
      </c>
      <c r="K557" s="13">
        <f t="shared" si="70"/>
        <v>8.6809963577321111E-3</v>
      </c>
      <c r="L557" s="13">
        <f t="shared" si="71"/>
        <v>-1.1660023698280033E-2</v>
      </c>
      <c r="M557" s="13">
        <f t="shared" si="72"/>
        <v>4.2930439693362509E-3</v>
      </c>
      <c r="N557" s="13">
        <f t="shared" si="73"/>
        <v>1.2705601837021579E-2</v>
      </c>
      <c r="O557" s="13">
        <f t="shared" si="74"/>
        <v>-3.3124610071321114E-3</v>
      </c>
    </row>
    <row r="558" spans="1:15" x14ac:dyDescent="0.35">
      <c r="A558" s="2">
        <v>45744</v>
      </c>
      <c r="B558">
        <v>217.15742492675781</v>
      </c>
      <c r="C558">
        <v>925.85589599609375</v>
      </c>
      <c r="D558">
        <v>160.11909484863281</v>
      </c>
      <c r="E558">
        <v>237.97050476074219</v>
      </c>
      <c r="F558">
        <v>68.881828308105469</v>
      </c>
      <c r="G558">
        <v>164.703125</v>
      </c>
      <c r="H558">
        <v>5580.93994140625</v>
      </c>
      <c r="I558" s="13">
        <f t="shared" si="68"/>
        <v>-2.6940056445876152E-2</v>
      </c>
      <c r="J558" s="13">
        <f t="shared" si="69"/>
        <v>-9.7303308930987518E-3</v>
      </c>
      <c r="K558" s="13">
        <f t="shared" si="70"/>
        <v>3.5492242681583117E-3</v>
      </c>
      <c r="L558" s="13">
        <f t="shared" si="71"/>
        <v>-2.146839114322632E-2</v>
      </c>
      <c r="M558" s="13">
        <f t="shared" si="72"/>
        <v>5.9795326041446016E-3</v>
      </c>
      <c r="N558" s="13">
        <f t="shared" si="73"/>
        <v>-4.0388095554683943E-3</v>
      </c>
      <c r="O558" s="13">
        <f t="shared" si="74"/>
        <v>-1.9934601126853548E-2</v>
      </c>
    </row>
    <row r="559" spans="1:15" x14ac:dyDescent="0.35">
      <c r="A559" s="2">
        <v>45747</v>
      </c>
      <c r="B559">
        <v>221.3730163574219</v>
      </c>
      <c r="C559">
        <v>941.90997314453125</v>
      </c>
      <c r="D559">
        <v>162.20234680175781</v>
      </c>
      <c r="E559">
        <v>240.37127685546881</v>
      </c>
      <c r="F559">
        <v>69.312034606933594</v>
      </c>
      <c r="G559">
        <v>167.04579162597659</v>
      </c>
      <c r="H559">
        <v>5611.85009765625</v>
      </c>
      <c r="I559" s="13">
        <f t="shared" si="68"/>
        <v>1.9226584495971834E-2</v>
      </c>
      <c r="J559" s="13">
        <f t="shared" si="69"/>
        <v>1.7191097437482528E-2</v>
      </c>
      <c r="K559" s="13">
        <f t="shared" si="70"/>
        <v>1.2926728992750559E-2</v>
      </c>
      <c r="L559" s="13">
        <f t="shared" si="71"/>
        <v>1.003797847332703E-2</v>
      </c>
      <c r="M559" s="13">
        <f t="shared" si="72"/>
        <v>6.2261475219662398E-3</v>
      </c>
      <c r="N559" s="13">
        <f t="shared" si="73"/>
        <v>1.4123365288070573E-2</v>
      </c>
      <c r="O559" s="13">
        <f t="shared" si="74"/>
        <v>5.5232403576457216E-3</v>
      </c>
    </row>
    <row r="560" spans="1:15" x14ac:dyDescent="0.35">
      <c r="A560" s="2">
        <v>45748</v>
      </c>
      <c r="B560">
        <v>222.42939758300781</v>
      </c>
      <c r="C560">
        <v>950.4947509765625</v>
      </c>
      <c r="D560">
        <v>149.8885192871094</v>
      </c>
      <c r="E560">
        <v>238.76422119140619</v>
      </c>
      <c r="F560">
        <v>69.34136962890625</v>
      </c>
      <c r="G560">
        <v>167.18302917480469</v>
      </c>
      <c r="H560">
        <v>5633.06982421875</v>
      </c>
      <c r="I560" s="13">
        <f t="shared" si="68"/>
        <v>4.760601508669045E-3</v>
      </c>
      <c r="J560" s="13">
        <f t="shared" si="69"/>
        <v>9.0729394329189094E-3</v>
      </c>
      <c r="K560" s="13">
        <f t="shared" si="70"/>
        <v>-7.8952797114731688E-2</v>
      </c>
      <c r="L560" s="13">
        <f t="shared" si="71"/>
        <v>-6.7081721016731145E-3</v>
      </c>
      <c r="M560" s="13">
        <f t="shared" si="72"/>
        <v>4.2314175511268948E-4</v>
      </c>
      <c r="N560" s="13">
        <f t="shared" si="73"/>
        <v>8.2121916483481907E-4</v>
      </c>
      <c r="O560" s="13">
        <f t="shared" si="74"/>
        <v>3.7741045552120668E-3</v>
      </c>
    </row>
    <row r="561" spans="1:15" x14ac:dyDescent="0.35">
      <c r="A561" s="2">
        <v>45749</v>
      </c>
      <c r="B561">
        <v>223.12701416015619</v>
      </c>
      <c r="C561">
        <v>961.131103515625</v>
      </c>
      <c r="D561">
        <v>151.95222473144531</v>
      </c>
      <c r="E561">
        <v>240.8808288574219</v>
      </c>
      <c r="F561">
        <v>68.911170959472656</v>
      </c>
      <c r="G561">
        <v>166.1440124511719</v>
      </c>
      <c r="H561">
        <v>5670.97021484375</v>
      </c>
      <c r="I561" s="13">
        <f t="shared" si="68"/>
        <v>3.1314425236707837E-3</v>
      </c>
      <c r="J561" s="13">
        <f t="shared" si="69"/>
        <v>1.1128184187174681E-2</v>
      </c>
      <c r="K561" s="13">
        <f t="shared" si="70"/>
        <v>1.367434743280883E-2</v>
      </c>
      <c r="L561" s="13">
        <f t="shared" si="71"/>
        <v>8.8257823368011641E-3</v>
      </c>
      <c r="M561" s="13">
        <f t="shared" si="72"/>
        <v>-6.2233946094734588E-3</v>
      </c>
      <c r="N561" s="13">
        <f t="shared" si="73"/>
        <v>-6.2342382048603566E-3</v>
      </c>
      <c r="O561" s="13">
        <f t="shared" si="74"/>
        <v>6.7056614294841088E-3</v>
      </c>
    </row>
    <row r="562" spans="1:15" x14ac:dyDescent="0.35">
      <c r="A562" s="2">
        <v>45750</v>
      </c>
      <c r="B562">
        <v>202.49754333496091</v>
      </c>
      <c r="C562">
        <v>963.12286376953125</v>
      </c>
      <c r="D562">
        <v>156.31440734863281</v>
      </c>
      <c r="E562">
        <v>224.09501647949219</v>
      </c>
      <c r="F562">
        <v>70.534210205078125</v>
      </c>
      <c r="G562">
        <v>168.976806640625</v>
      </c>
      <c r="H562">
        <v>5396.52001953125</v>
      </c>
      <c r="I562" s="13">
        <f t="shared" si="68"/>
        <v>-9.7013424747679947E-2</v>
      </c>
      <c r="J562" s="13">
        <f t="shared" si="69"/>
        <v>2.0701643328682761E-3</v>
      </c>
      <c r="K562" s="13">
        <f t="shared" si="70"/>
        <v>2.8303250250887174E-2</v>
      </c>
      <c r="L562" s="13">
        <f t="shared" si="71"/>
        <v>-7.2232182495458708E-2</v>
      </c>
      <c r="M562" s="13">
        <f t="shared" si="72"/>
        <v>2.3279545441690076E-2</v>
      </c>
      <c r="N562" s="13">
        <f t="shared" si="73"/>
        <v>1.6906509548533746E-2</v>
      </c>
      <c r="O562" s="13">
        <f t="shared" si="74"/>
        <v>-4.9605911828996631E-2</v>
      </c>
    </row>
    <row r="563" spans="1:15" x14ac:dyDescent="0.35">
      <c r="A563" s="2">
        <v>45751</v>
      </c>
      <c r="B563">
        <v>187.738037109375</v>
      </c>
      <c r="C563">
        <v>912.7298583984375</v>
      </c>
      <c r="D563">
        <v>149.87873840332031</v>
      </c>
      <c r="E563">
        <v>207.32411193847659</v>
      </c>
      <c r="F563">
        <v>65.420631408691406</v>
      </c>
      <c r="G563">
        <v>160.50787353515619</v>
      </c>
      <c r="H563">
        <v>5074.080078125</v>
      </c>
      <c r="I563" s="13">
        <f t="shared" si="68"/>
        <v>-7.5680183306741061E-2</v>
      </c>
      <c r="J563" s="13">
        <f t="shared" si="69"/>
        <v>-5.374103470197418E-2</v>
      </c>
      <c r="K563" s="13">
        <f t="shared" si="70"/>
        <v>-4.2042854202155679E-2</v>
      </c>
      <c r="L563" s="13">
        <f t="shared" si="71"/>
        <v>-7.778681572685904E-2</v>
      </c>
      <c r="M563" s="13">
        <f t="shared" si="72"/>
        <v>-7.526016957857995E-2</v>
      </c>
      <c r="N563" s="13">
        <f t="shared" si="73"/>
        <v>-5.1418469031438103E-2</v>
      </c>
      <c r="O563" s="13">
        <f t="shared" si="74"/>
        <v>-6.1609061898230934E-2</v>
      </c>
    </row>
    <row r="564" spans="1:15" x14ac:dyDescent="0.35">
      <c r="A564" s="2">
        <v>45754</v>
      </c>
      <c r="B564">
        <v>180.84161376953119</v>
      </c>
      <c r="C564">
        <v>904.41400146484375</v>
      </c>
      <c r="D564">
        <v>147.3161926269531</v>
      </c>
      <c r="E564">
        <v>211.42564392089841</v>
      </c>
      <c r="F564">
        <v>63.611801147460938</v>
      </c>
      <c r="G564">
        <v>157.05754089355469</v>
      </c>
      <c r="H564">
        <v>5062.25</v>
      </c>
      <c r="I564" s="13">
        <f t="shared" si="68"/>
        <v>-3.742598535831558E-2</v>
      </c>
      <c r="J564" s="13">
        <f t="shared" si="69"/>
        <v>-9.1527315701672423E-3</v>
      </c>
      <c r="K564" s="13">
        <f t="shared" si="70"/>
        <v>-1.724530950608321E-2</v>
      </c>
      <c r="L564" s="13">
        <f t="shared" si="71"/>
        <v>1.9590044385917247E-2</v>
      </c>
      <c r="M564" s="13">
        <f t="shared" si="72"/>
        <v>-2.8038667912894367E-2</v>
      </c>
      <c r="N564" s="13">
        <f t="shared" si="73"/>
        <v>-2.1730756951270393E-2</v>
      </c>
      <c r="O564" s="13">
        <f t="shared" si="74"/>
        <v>-2.3341946059635883E-3</v>
      </c>
    </row>
    <row r="565" spans="1:15" x14ac:dyDescent="0.35">
      <c r="A565" s="2">
        <v>45755</v>
      </c>
      <c r="B565">
        <v>171.83241271972659</v>
      </c>
      <c r="C565">
        <v>905.031494140625</v>
      </c>
      <c r="D565">
        <v>146.7098083496094</v>
      </c>
      <c r="E565">
        <v>213.82147216796881</v>
      </c>
      <c r="F565">
        <v>62.682952880859382</v>
      </c>
      <c r="G565">
        <v>155.25398254394531</v>
      </c>
      <c r="H565">
        <v>4982.77001953125</v>
      </c>
      <c r="I565" s="13">
        <f t="shared" si="68"/>
        <v>-5.1101928950348978E-2</v>
      </c>
      <c r="J565" s="13">
        <f t="shared" si="69"/>
        <v>6.825214699770569E-4</v>
      </c>
      <c r="K565" s="13">
        <f t="shared" si="70"/>
        <v>-4.1247041760937818E-3</v>
      </c>
      <c r="L565" s="13">
        <f t="shared" si="71"/>
        <v>1.1268053355503784E-2</v>
      </c>
      <c r="M565" s="13">
        <f t="shared" si="72"/>
        <v>-1.4709478972437471E-2</v>
      </c>
      <c r="N565" s="13">
        <f t="shared" si="73"/>
        <v>-1.1549867767843522E-2</v>
      </c>
      <c r="O565" s="13">
        <f t="shared" si="74"/>
        <v>-1.5825083277054855E-2</v>
      </c>
    </row>
    <row r="566" spans="1:15" x14ac:dyDescent="0.35">
      <c r="A566" s="2">
        <v>45756</v>
      </c>
      <c r="B566">
        <v>198.17236328125</v>
      </c>
      <c r="C566">
        <v>961.24053955078125</v>
      </c>
      <c r="D566">
        <v>147.65850830078119</v>
      </c>
      <c r="E566">
        <v>231.0458984375</v>
      </c>
      <c r="F566">
        <v>66.075721740722656</v>
      </c>
      <c r="G566">
        <v>159.10618591308591</v>
      </c>
      <c r="H566">
        <v>5456.89990234375</v>
      </c>
      <c r="I566" s="13">
        <f t="shared" si="68"/>
        <v>0.14261751645442156</v>
      </c>
      <c r="J566" s="13">
        <f t="shared" si="69"/>
        <v>6.0254935701887849E-2</v>
      </c>
      <c r="K566" s="13">
        <f t="shared" si="70"/>
        <v>6.4456884938793885E-3</v>
      </c>
      <c r="L566" s="13">
        <f t="shared" si="71"/>
        <v>7.7474960676865864E-2</v>
      </c>
      <c r="M566" s="13">
        <f t="shared" si="72"/>
        <v>5.2711856689719373E-2</v>
      </c>
      <c r="N566" s="13">
        <f t="shared" si="73"/>
        <v>2.4509442306865935E-2</v>
      </c>
      <c r="O566" s="13">
        <f t="shared" si="74"/>
        <v>9.0894879833036457E-2</v>
      </c>
    </row>
    <row r="567" spans="1:15" x14ac:dyDescent="0.35">
      <c r="A567" s="2">
        <v>45757</v>
      </c>
      <c r="B567">
        <v>189.77107238769531</v>
      </c>
      <c r="C567">
        <v>960.3641357421875</v>
      </c>
      <c r="D567">
        <v>145.42852783203119</v>
      </c>
      <c r="E567">
        <v>223.91754150390619</v>
      </c>
      <c r="F567">
        <v>65.234855651855469</v>
      </c>
      <c r="G567">
        <v>160.3216247558594</v>
      </c>
      <c r="H567">
        <v>5268.0498046875</v>
      </c>
      <c r="I567" s="13">
        <f t="shared" si="68"/>
        <v>-4.3318710096461648E-2</v>
      </c>
      <c r="J567" s="13">
        <f t="shared" si="69"/>
        <v>-9.1215834414696921E-4</v>
      </c>
      <c r="K567" s="13">
        <f t="shared" si="70"/>
        <v>-1.5217483047965137E-2</v>
      </c>
      <c r="L567" s="13">
        <f t="shared" si="71"/>
        <v>-3.1338519522543046E-2</v>
      </c>
      <c r="M567" s="13">
        <f t="shared" si="72"/>
        <v>-1.2807461509144224E-2</v>
      </c>
      <c r="N567" s="13">
        <f t="shared" si="73"/>
        <v>7.6101370519473313E-3</v>
      </c>
      <c r="O567" s="13">
        <f t="shared" si="74"/>
        <v>-3.5220607024111679E-2</v>
      </c>
    </row>
    <row r="568" spans="1:15" x14ac:dyDescent="0.35">
      <c r="A568" s="2">
        <v>45758</v>
      </c>
      <c r="B568">
        <v>197.4747314453125</v>
      </c>
      <c r="C568">
        <v>959.4677734375</v>
      </c>
      <c r="D568">
        <v>148.40185546875</v>
      </c>
      <c r="E568">
        <v>232.87974548339841</v>
      </c>
      <c r="F568">
        <v>64.345115661621094</v>
      </c>
      <c r="G568">
        <v>163.6053161621094</v>
      </c>
      <c r="H568">
        <v>5363.35986328125</v>
      </c>
      <c r="I568" s="13">
        <f t="shared" si="68"/>
        <v>3.9792170570490448E-2</v>
      </c>
      <c r="J568" s="13">
        <f t="shared" si="69"/>
        <v>-9.3379255291558974E-4</v>
      </c>
      <c r="K568" s="13">
        <f t="shared" si="70"/>
        <v>2.0239085538445317E-2</v>
      </c>
      <c r="L568" s="13">
        <f t="shared" si="71"/>
        <v>3.9244340731231606E-2</v>
      </c>
      <c r="M568" s="13">
        <f t="shared" si="72"/>
        <v>-1.3732893507417692E-2</v>
      </c>
      <c r="N568" s="13">
        <f t="shared" si="73"/>
        <v>2.0274966218761278E-2</v>
      </c>
      <c r="O568" s="13">
        <f t="shared" si="74"/>
        <v>1.7930380835778071E-2</v>
      </c>
    </row>
    <row r="569" spans="1:15" x14ac:dyDescent="0.35">
      <c r="A569" s="2">
        <v>45761</v>
      </c>
      <c r="B569">
        <v>201.82984924316409</v>
      </c>
      <c r="C569">
        <v>975.312744140625</v>
      </c>
      <c r="D569">
        <v>150.97418212890619</v>
      </c>
      <c r="E569">
        <v>231.4205627441406</v>
      </c>
      <c r="F569">
        <v>66.183265686035156</v>
      </c>
      <c r="G569">
        <v>165.78135681152341</v>
      </c>
      <c r="H569">
        <v>5405.97021484375</v>
      </c>
      <c r="I569" s="13">
        <f t="shared" si="68"/>
        <v>2.1814377855314052E-2</v>
      </c>
      <c r="J569" s="13">
        <f t="shared" si="69"/>
        <v>1.6379454730850649E-2</v>
      </c>
      <c r="K569" s="13">
        <f t="shared" si="70"/>
        <v>1.7185009103725252E-2</v>
      </c>
      <c r="L569" s="13">
        <f t="shared" si="71"/>
        <v>-6.285533382187642E-3</v>
      </c>
      <c r="M569" s="13">
        <f t="shared" si="72"/>
        <v>2.8166618321717317E-2</v>
      </c>
      <c r="N569" s="13">
        <f t="shared" si="73"/>
        <v>1.3212874020971847E-2</v>
      </c>
      <c r="O569" s="13">
        <f t="shared" si="74"/>
        <v>7.9133193263429911E-3</v>
      </c>
    </row>
    <row r="570" spans="1:15" x14ac:dyDescent="0.35">
      <c r="A570" s="2">
        <v>45762</v>
      </c>
      <c r="B570">
        <v>201.45112609863281</v>
      </c>
      <c r="C570">
        <v>972.92254638671875</v>
      </c>
      <c r="D570">
        <v>150.2503967285156</v>
      </c>
      <c r="E570">
        <v>229.85292053222659</v>
      </c>
      <c r="F570">
        <v>66.153938293457031</v>
      </c>
      <c r="G570">
        <v>165.13441467285159</v>
      </c>
      <c r="H570">
        <v>5396.6298828125</v>
      </c>
      <c r="I570" s="13">
        <f t="shared" si="68"/>
        <v>-1.8782103745143019E-3</v>
      </c>
      <c r="J570" s="13">
        <f t="shared" si="69"/>
        <v>-2.4537066592982323E-3</v>
      </c>
      <c r="K570" s="13">
        <f t="shared" si="70"/>
        <v>-4.8056290496925379E-3</v>
      </c>
      <c r="L570" s="13">
        <f t="shared" si="71"/>
        <v>-6.7970447213794557E-3</v>
      </c>
      <c r="M570" s="13">
        <f t="shared" si="72"/>
        <v>-4.4322219566879286E-4</v>
      </c>
      <c r="N570" s="13">
        <f t="shared" si="73"/>
        <v>-3.9100158930837582E-3</v>
      </c>
      <c r="O570" s="13">
        <f t="shared" si="74"/>
        <v>-1.729275225300909E-3</v>
      </c>
    </row>
    <row r="571" spans="1:15" x14ac:dyDescent="0.35">
      <c r="A571" s="2">
        <v>45763</v>
      </c>
      <c r="B571">
        <v>193.60795593261719</v>
      </c>
      <c r="C571">
        <v>963.79010009765625</v>
      </c>
      <c r="D571">
        <v>150.53404235839841</v>
      </c>
      <c r="E571">
        <v>226.38240051269531</v>
      </c>
      <c r="F571">
        <v>64.17889404296875</v>
      </c>
      <c r="G571">
        <v>163.0955810546875</v>
      </c>
      <c r="H571">
        <v>5275.7001953125</v>
      </c>
      <c r="I571" s="13">
        <f t="shared" si="68"/>
        <v>-3.9711532896260268E-2</v>
      </c>
      <c r="J571" s="13">
        <f t="shared" si="69"/>
        <v>-9.4309437120081094E-3</v>
      </c>
      <c r="K571" s="13">
        <f t="shared" si="70"/>
        <v>1.8860398152552047E-3</v>
      </c>
      <c r="L571" s="13">
        <f t="shared" si="71"/>
        <v>-1.5214021368339421E-2</v>
      </c>
      <c r="M571" s="13">
        <f t="shared" si="72"/>
        <v>-3.0310021173176476E-2</v>
      </c>
      <c r="N571" s="13">
        <f t="shared" si="73"/>
        <v>-1.2423360859253238E-2</v>
      </c>
      <c r="O571" s="13">
        <f t="shared" si="74"/>
        <v>-2.2663253964902527E-2</v>
      </c>
    </row>
    <row r="572" spans="1:15" x14ac:dyDescent="0.35">
      <c r="A572" s="2">
        <v>45764</v>
      </c>
      <c r="B572">
        <v>196.3087158203125</v>
      </c>
      <c r="C572">
        <v>990.4306640625</v>
      </c>
      <c r="D572">
        <v>154.0159606933594</v>
      </c>
      <c r="E572">
        <v>228.6993713378906</v>
      </c>
      <c r="F572">
        <v>64.833976745605469</v>
      </c>
      <c r="G572">
        <v>167.25166320800781</v>
      </c>
      <c r="H572">
        <v>5282.7001953125</v>
      </c>
      <c r="I572" s="13">
        <f t="shared" si="68"/>
        <v>1.3853232116374709E-2</v>
      </c>
      <c r="J572" s="13">
        <f t="shared" si="69"/>
        <v>2.7266330327762343E-2</v>
      </c>
      <c r="K572" s="13">
        <f t="shared" si="70"/>
        <v>2.286698422615915E-2</v>
      </c>
      <c r="L572" s="13">
        <f t="shared" si="71"/>
        <v>1.0182745118393986E-2</v>
      </c>
      <c r="M572" s="13">
        <f t="shared" si="72"/>
        <v>1.0155395017948541E-2</v>
      </c>
      <c r="N572" s="13">
        <f t="shared" si="73"/>
        <v>2.5163227613636603E-2</v>
      </c>
      <c r="O572" s="13">
        <f t="shared" si="74"/>
        <v>1.3259586237727749E-3</v>
      </c>
    </row>
    <row r="573" spans="1:15" x14ac:dyDescent="0.35">
      <c r="A573" s="2">
        <v>45768</v>
      </c>
      <c r="B573">
        <v>192.5017395019531</v>
      </c>
      <c r="C573">
        <v>953.85089111328125</v>
      </c>
      <c r="D573">
        <v>153.47801208496091</v>
      </c>
      <c r="E573">
        <v>225.7711181640625</v>
      </c>
      <c r="F573">
        <v>63.240268707275391</v>
      </c>
      <c r="G573">
        <v>163.4809875488281</v>
      </c>
      <c r="H573">
        <v>5158.2001953125</v>
      </c>
      <c r="I573" s="13">
        <f t="shared" si="68"/>
        <v>-1.9583310746964674E-2</v>
      </c>
      <c r="J573" s="13">
        <f t="shared" si="69"/>
        <v>-3.7632502132944508E-2</v>
      </c>
      <c r="K573" s="13">
        <f t="shared" si="70"/>
        <v>-3.4989248885522141E-3</v>
      </c>
      <c r="L573" s="13">
        <f t="shared" si="71"/>
        <v>-1.2886617567918333E-2</v>
      </c>
      <c r="M573" s="13">
        <f t="shared" si="72"/>
        <v>-2.4888537097496249E-2</v>
      </c>
      <c r="N573" s="13">
        <f t="shared" si="73"/>
        <v>-2.2802943930629864E-2</v>
      </c>
      <c r="O573" s="13">
        <f t="shared" si="74"/>
        <v>-2.3849648334018009E-2</v>
      </c>
    </row>
    <row r="574" spans="1:15" x14ac:dyDescent="0.35">
      <c r="A574" s="2">
        <v>45769</v>
      </c>
      <c r="B574">
        <v>199.059326171875</v>
      </c>
      <c r="C574">
        <v>975.22308349609375</v>
      </c>
      <c r="D574">
        <v>154.28981018066409</v>
      </c>
      <c r="E574">
        <v>232.2783203125</v>
      </c>
      <c r="F574">
        <v>65.156639099121094</v>
      </c>
      <c r="G574">
        <v>165.58183288574219</v>
      </c>
      <c r="H574">
        <v>5287.759765625</v>
      </c>
      <c r="I574" s="13">
        <f t="shared" si="68"/>
        <v>3.3497711701033134E-2</v>
      </c>
      <c r="J574" s="13">
        <f t="shared" si="69"/>
        <v>2.2158887803047131E-2</v>
      </c>
      <c r="K574" s="13">
        <f t="shared" si="70"/>
        <v>5.2754051571379584E-3</v>
      </c>
      <c r="L574" s="13">
        <f t="shared" si="71"/>
        <v>2.8414574566273765E-2</v>
      </c>
      <c r="M574" s="13">
        <f t="shared" si="72"/>
        <v>2.98529418600221E-2</v>
      </c>
      <c r="N574" s="13">
        <f t="shared" si="73"/>
        <v>1.2768831666144689E-2</v>
      </c>
      <c r="O574" s="13">
        <f t="shared" si="74"/>
        <v>2.4806952125450619E-2</v>
      </c>
    </row>
    <row r="575" spans="1:15" x14ac:dyDescent="0.35">
      <c r="A575" s="2">
        <v>45770</v>
      </c>
      <c r="B575">
        <v>203.90275573730469</v>
      </c>
      <c r="C575">
        <v>971.8470458984375</v>
      </c>
      <c r="D575">
        <v>151.9718017578125</v>
      </c>
      <c r="E575">
        <v>237.49397277832031</v>
      </c>
      <c r="F575">
        <v>65.772613525390625</v>
      </c>
      <c r="G575">
        <v>163.46125793457031</v>
      </c>
      <c r="H575">
        <v>5375.85986328125</v>
      </c>
      <c r="I575" s="13">
        <f t="shared" si="68"/>
        <v>2.4040290868522936E-2</v>
      </c>
      <c r="J575" s="13">
        <f t="shared" si="69"/>
        <v>-3.4678165208028361E-3</v>
      </c>
      <c r="K575" s="13">
        <f t="shared" si="70"/>
        <v>-1.5137729292788699E-2</v>
      </c>
      <c r="L575" s="13">
        <f t="shared" si="71"/>
        <v>2.2205936204368833E-2</v>
      </c>
      <c r="M575" s="13">
        <f t="shared" si="72"/>
        <v>9.4093406715285172E-3</v>
      </c>
      <c r="N575" s="13">
        <f t="shared" si="73"/>
        <v>-1.2889523406378974E-2</v>
      </c>
      <c r="O575" s="13">
        <f t="shared" si="74"/>
        <v>1.6523864366879457E-2</v>
      </c>
    </row>
    <row r="576" spans="1:15" x14ac:dyDescent="0.35">
      <c r="A576" s="2">
        <v>45771</v>
      </c>
      <c r="B576">
        <v>207.659912109375</v>
      </c>
      <c r="C576">
        <v>971.48846435546875</v>
      </c>
      <c r="D576">
        <v>151.5316467285156</v>
      </c>
      <c r="E576">
        <v>241.20111083984381</v>
      </c>
      <c r="F576">
        <v>64.873092651367188</v>
      </c>
      <c r="G576">
        <v>157.34613037109381</v>
      </c>
      <c r="H576">
        <v>5484.77001953125</v>
      </c>
      <c r="I576" s="13">
        <f t="shared" si="68"/>
        <v>1.8258511001947798E-2</v>
      </c>
      <c r="J576" s="13">
        <f t="shared" si="69"/>
        <v>-3.6903719933719233E-4</v>
      </c>
      <c r="K576" s="13">
        <f t="shared" si="70"/>
        <v>-2.9004964528278158E-3</v>
      </c>
      <c r="L576" s="13">
        <f t="shared" si="71"/>
        <v>1.5488824937233201E-2</v>
      </c>
      <c r="M576" s="13">
        <f t="shared" si="72"/>
        <v>-1.37706031823734E-2</v>
      </c>
      <c r="N576" s="13">
        <f t="shared" si="73"/>
        <v>-3.8127977016353704E-2</v>
      </c>
      <c r="O576" s="13">
        <f t="shared" si="74"/>
        <v>2.0056628082583162E-2</v>
      </c>
    </row>
    <row r="577" spans="1:15" x14ac:dyDescent="0.35">
      <c r="A577" s="2">
        <v>45772</v>
      </c>
      <c r="B577">
        <v>208.5668029785156</v>
      </c>
      <c r="C577">
        <v>973.16156005859375</v>
      </c>
      <c r="D577">
        <v>151.18934631347659</v>
      </c>
      <c r="E577">
        <v>240.1264343261719</v>
      </c>
      <c r="F577">
        <v>64.618873596191406</v>
      </c>
      <c r="G577">
        <v>158.81575012207031</v>
      </c>
      <c r="H577">
        <v>5525.2099609375</v>
      </c>
      <c r="I577" s="13">
        <f t="shared" si="68"/>
        <v>4.3576842685794422E-3</v>
      </c>
      <c r="J577" s="13">
        <f t="shared" si="69"/>
        <v>1.7207169361456785E-3</v>
      </c>
      <c r="K577" s="13">
        <f t="shared" si="70"/>
        <v>-2.261492058982593E-3</v>
      </c>
      <c r="L577" s="13">
        <f t="shared" si="71"/>
        <v>-4.4654759955506012E-3</v>
      </c>
      <c r="M577" s="13">
        <f t="shared" si="72"/>
        <v>-3.9264116399537032E-3</v>
      </c>
      <c r="N577" s="13">
        <f t="shared" si="73"/>
        <v>9.2966953095468905E-3</v>
      </c>
      <c r="O577" s="13">
        <f t="shared" si="74"/>
        <v>7.3460847957005125E-3</v>
      </c>
    </row>
    <row r="578" spans="1:15" x14ac:dyDescent="0.35">
      <c r="A578" s="2">
        <v>45775</v>
      </c>
      <c r="B578">
        <v>209.42387390136719</v>
      </c>
      <c r="C578">
        <v>974.535888671875</v>
      </c>
      <c r="D578">
        <v>151.94245910644531</v>
      </c>
      <c r="E578">
        <v>239.80108642578119</v>
      </c>
      <c r="F578">
        <v>64.716651916503906</v>
      </c>
      <c r="G578">
        <v>159.6343688964844</v>
      </c>
      <c r="H578">
        <v>5528.75</v>
      </c>
      <c r="I578" s="13">
        <f t="shared" si="68"/>
        <v>4.1009150270929001E-3</v>
      </c>
      <c r="J578" s="13">
        <f t="shared" si="69"/>
        <v>1.4112344217196255E-3</v>
      </c>
      <c r="K578" s="13">
        <f t="shared" si="70"/>
        <v>4.9688902914444772E-3</v>
      </c>
      <c r="L578" s="13">
        <f t="shared" si="71"/>
        <v>-1.3558211861666722E-3</v>
      </c>
      <c r="M578" s="13">
        <f t="shared" si="72"/>
        <v>1.5120105408487703E-3</v>
      </c>
      <c r="N578" s="13">
        <f t="shared" si="73"/>
        <v>5.1412797717407237E-3</v>
      </c>
      <c r="O578" s="13">
        <f t="shared" si="74"/>
        <v>6.4050153900193328E-4</v>
      </c>
    </row>
    <row r="579" spans="1:15" x14ac:dyDescent="0.35">
      <c r="A579" s="2">
        <v>45776</v>
      </c>
      <c r="B579">
        <v>210.490234375</v>
      </c>
      <c r="C579">
        <v>987.64208984375</v>
      </c>
      <c r="D579">
        <v>152.49017333984381</v>
      </c>
      <c r="E579">
        <v>241.181396484375</v>
      </c>
      <c r="F579">
        <v>65.753059387207031</v>
      </c>
      <c r="G579">
        <v>160.03875732421881</v>
      </c>
      <c r="H579">
        <v>5560.830078125</v>
      </c>
      <c r="I579" s="13">
        <f t="shared" si="68"/>
        <v>5.0789566004854573E-3</v>
      </c>
      <c r="J579" s="13">
        <f t="shared" si="69"/>
        <v>1.3359028823932632E-2</v>
      </c>
      <c r="K579" s="13">
        <f t="shared" si="70"/>
        <v>3.5982661908409187E-3</v>
      </c>
      <c r="L579" s="13">
        <f t="shared" si="71"/>
        <v>5.7395597423181661E-3</v>
      </c>
      <c r="M579" s="13">
        <f t="shared" si="72"/>
        <v>1.5887660988801951E-2</v>
      </c>
      <c r="N579" s="13">
        <f t="shared" si="73"/>
        <v>2.5300133809911681E-3</v>
      </c>
      <c r="O579" s="13">
        <f t="shared" si="74"/>
        <v>5.7856415455563989E-3</v>
      </c>
    </row>
    <row r="580" spans="1:15" x14ac:dyDescent="0.35">
      <c r="A580" s="2">
        <v>45777</v>
      </c>
      <c r="B580">
        <v>211.77583312988281</v>
      </c>
      <c r="C580">
        <v>990.4306640625</v>
      </c>
      <c r="D580">
        <v>152.8813781738281</v>
      </c>
      <c r="E580">
        <v>241.181396484375</v>
      </c>
      <c r="F580">
        <v>65.39129638671875</v>
      </c>
      <c r="G580">
        <v>160.34452819824219</v>
      </c>
      <c r="H580">
        <v>5569.06005859375</v>
      </c>
      <c r="I580" s="13">
        <f t="shared" si="68"/>
        <v>6.0890648146299841E-3</v>
      </c>
      <c r="J580" s="13">
        <f t="shared" si="69"/>
        <v>2.8194878682394125E-3</v>
      </c>
      <c r="K580" s="13">
        <f t="shared" si="70"/>
        <v>2.5621577783223946E-3</v>
      </c>
      <c r="L580" s="13">
        <f t="shared" si="71"/>
        <v>0</v>
      </c>
      <c r="M580" s="13">
        <f t="shared" si="72"/>
        <v>-5.5170337442975153E-3</v>
      </c>
      <c r="N580" s="13">
        <f t="shared" si="73"/>
        <v>1.9087822659858398E-3</v>
      </c>
      <c r="O580" s="13">
        <f t="shared" si="74"/>
        <v>1.4788972519335208E-3</v>
      </c>
    </row>
    <row r="581" spans="1:15" x14ac:dyDescent="0.35">
      <c r="A581" s="2">
        <v>45778</v>
      </c>
      <c r="B581">
        <v>212.5930480957031</v>
      </c>
      <c r="C581">
        <v>994.95208740234375</v>
      </c>
      <c r="D581">
        <v>151.07197570800781</v>
      </c>
      <c r="E581">
        <v>243.41949462890619</v>
      </c>
      <c r="F581">
        <v>64.57977294921875</v>
      </c>
      <c r="G581">
        <v>157.78997802734381</v>
      </c>
      <c r="H581">
        <v>5604.14013671875</v>
      </c>
      <c r="I581" s="13">
        <f t="shared" ref="I581:I644" si="75">LN(B581/B580)</f>
        <v>3.8514415743526203E-3</v>
      </c>
      <c r="J581" s="13">
        <f t="shared" ref="J581:J644" si="76">LN(C581/C580)</f>
        <v>4.5547198927702887E-3</v>
      </c>
      <c r="K581" s="13">
        <f t="shared" ref="K581:K644" si="77">LN(D581/D580)</f>
        <v>-1.1905931067435817E-2</v>
      </c>
      <c r="L581" s="13">
        <f t="shared" ref="L581:L644" si="78">LN(E581/E580)</f>
        <v>9.2369374411743095E-3</v>
      </c>
      <c r="M581" s="13">
        <f t="shared" ref="M581:M644" si="79">LN(F581/F580)</f>
        <v>-1.2487917317482888E-2</v>
      </c>
      <c r="N581" s="13">
        <f t="shared" ref="N581:N644" si="80">LN(G581/G580)</f>
        <v>-1.6059905647395949E-2</v>
      </c>
      <c r="O581" s="13">
        <f t="shared" ref="O581:O644" si="81">LN(H581/H580)</f>
        <v>6.2793457164519737E-3</v>
      </c>
    </row>
    <row r="582" spans="1:15" x14ac:dyDescent="0.35">
      <c r="A582" s="2">
        <v>45779</v>
      </c>
      <c r="B582">
        <v>204.65019226074219</v>
      </c>
      <c r="C582">
        <v>1005.482543945312</v>
      </c>
      <c r="D582">
        <v>152.695556640625</v>
      </c>
      <c r="E582">
        <v>248.9604797363281</v>
      </c>
      <c r="F582">
        <v>65.596611022949219</v>
      </c>
      <c r="G582">
        <v>158.32258605957031</v>
      </c>
      <c r="H582">
        <v>5686.669921875</v>
      </c>
      <c r="I582" s="13">
        <f t="shared" si="75"/>
        <v>-3.8077623518229901E-2</v>
      </c>
      <c r="J582" s="13">
        <f t="shared" si="76"/>
        <v>1.0528265855762213E-2</v>
      </c>
      <c r="K582" s="13">
        <f t="shared" si="77"/>
        <v>1.0689729614137689E-2</v>
      </c>
      <c r="L582" s="13">
        <f t="shared" si="78"/>
        <v>2.2507897633452435E-2</v>
      </c>
      <c r="M582" s="13">
        <f t="shared" si="79"/>
        <v>1.5622783862537907E-2</v>
      </c>
      <c r="N582" s="13">
        <f t="shared" si="80"/>
        <v>3.3697397492040691E-3</v>
      </c>
      <c r="O582" s="13">
        <f t="shared" si="81"/>
        <v>1.4619191109112719E-2</v>
      </c>
    </row>
    <row r="583" spans="1:15" x14ac:dyDescent="0.35">
      <c r="A583" s="2">
        <v>45782</v>
      </c>
      <c r="B583">
        <v>198.21221923828119</v>
      </c>
      <c r="C583">
        <v>1012.054077148438</v>
      </c>
      <c r="D583">
        <v>151.6001281738281</v>
      </c>
      <c r="E583">
        <v>249.009765625</v>
      </c>
      <c r="F583">
        <v>64.628662109375</v>
      </c>
      <c r="G583">
        <v>156.6557312011719</v>
      </c>
      <c r="H583">
        <v>5650.3798828125</v>
      </c>
      <c r="I583" s="13">
        <f t="shared" si="75"/>
        <v>-3.1963871352804409E-2</v>
      </c>
      <c r="J583" s="13">
        <f t="shared" si="76"/>
        <v>6.5144358467259947E-3</v>
      </c>
      <c r="K583" s="13">
        <f t="shared" si="77"/>
        <v>-7.1997944988382249E-3</v>
      </c>
      <c r="L583" s="13">
        <f t="shared" si="78"/>
        <v>1.9794712351570043E-4</v>
      </c>
      <c r="M583" s="13">
        <f t="shared" si="79"/>
        <v>-1.4866035087317549E-2</v>
      </c>
      <c r="N583" s="13">
        <f t="shared" si="80"/>
        <v>-1.0584032788026448E-2</v>
      </c>
      <c r="O583" s="13">
        <f t="shared" si="81"/>
        <v>-6.4020470293184471E-3</v>
      </c>
    </row>
    <row r="584" spans="1:15" x14ac:dyDescent="0.35">
      <c r="A584" s="2">
        <v>45783</v>
      </c>
      <c r="B584">
        <v>197.83349609375</v>
      </c>
      <c r="C584">
        <v>1007.676391601562</v>
      </c>
      <c r="D584">
        <v>151.0817565917969</v>
      </c>
      <c r="E584">
        <v>245.7463073730469</v>
      </c>
      <c r="F584">
        <v>65.058860778808594</v>
      </c>
      <c r="G584">
        <v>157.0699768066406</v>
      </c>
      <c r="H584">
        <v>5606.91015625</v>
      </c>
      <c r="I584" s="13">
        <f t="shared" si="75"/>
        <v>-1.9125229503015714E-3</v>
      </c>
      <c r="J584" s="13">
        <f t="shared" si="76"/>
        <v>-4.3349273280913281E-3</v>
      </c>
      <c r="K584" s="13">
        <f t="shared" si="77"/>
        <v>-3.4251940067381768E-3</v>
      </c>
      <c r="L584" s="13">
        <f t="shared" si="78"/>
        <v>-1.3192382107717187E-2</v>
      </c>
      <c r="M584" s="13">
        <f t="shared" si="79"/>
        <v>6.634412282691354E-3</v>
      </c>
      <c r="N584" s="13">
        <f t="shared" si="80"/>
        <v>2.6408154361441979E-3</v>
      </c>
      <c r="O584" s="13">
        <f t="shared" si="81"/>
        <v>-7.7229852783917974E-3</v>
      </c>
    </row>
    <row r="585" spans="1:15" x14ac:dyDescent="0.35">
      <c r="A585" s="2">
        <v>45784</v>
      </c>
      <c r="B585">
        <v>195.5812072753906</v>
      </c>
      <c r="C585">
        <v>1004.335754394531</v>
      </c>
      <c r="D585">
        <v>153.84968566894531</v>
      </c>
      <c r="E585">
        <v>245.88433837890619</v>
      </c>
      <c r="F585">
        <v>65.860610961914063</v>
      </c>
      <c r="G585">
        <v>157.10942077636719</v>
      </c>
      <c r="H585">
        <v>5631.27978515625</v>
      </c>
      <c r="I585" s="13">
        <f t="shared" si="75"/>
        <v>-1.1450072435285692E-2</v>
      </c>
      <c r="J585" s="13">
        <f t="shared" si="76"/>
        <v>-3.320695934616045E-3</v>
      </c>
      <c r="K585" s="13">
        <f t="shared" si="77"/>
        <v>1.8154933990210013E-2</v>
      </c>
      <c r="L585" s="13">
        <f t="shared" si="78"/>
        <v>5.6152321129218055E-4</v>
      </c>
      <c r="M585" s="13">
        <f t="shared" si="79"/>
        <v>1.2248143006287465E-2</v>
      </c>
      <c r="N585" s="13">
        <f t="shared" si="80"/>
        <v>2.5109202091086561E-4</v>
      </c>
      <c r="O585" s="13">
        <f t="shared" si="81"/>
        <v>4.3369381067101323E-3</v>
      </c>
    </row>
    <row r="586" spans="1:15" x14ac:dyDescent="0.35">
      <c r="A586" s="2">
        <v>45785</v>
      </c>
      <c r="B586">
        <v>196.8169860839844</v>
      </c>
      <c r="C586">
        <v>1004.894165039062</v>
      </c>
      <c r="D586">
        <v>152.24565124511719</v>
      </c>
      <c r="E586">
        <v>249.90699768066409</v>
      </c>
      <c r="F586">
        <v>66.799240112304688</v>
      </c>
      <c r="G586">
        <v>156.4781799316406</v>
      </c>
      <c r="H586">
        <v>5663.93994140625</v>
      </c>
      <c r="I586" s="13">
        <f t="shared" si="75"/>
        <v>6.2986166350818516E-3</v>
      </c>
      <c r="J586" s="13">
        <f t="shared" si="76"/>
        <v>5.5584545452711529E-4</v>
      </c>
      <c r="K586" s="13">
        <f t="shared" si="77"/>
        <v>-1.0480715733578597E-2</v>
      </c>
      <c r="L586" s="13">
        <f t="shared" si="78"/>
        <v>1.6227583195552817E-2</v>
      </c>
      <c r="M586" s="13">
        <f t="shared" si="79"/>
        <v>1.415115133191007E-2</v>
      </c>
      <c r="N586" s="13">
        <f t="shared" si="80"/>
        <v>-4.0259353106136229E-3</v>
      </c>
      <c r="O586" s="13">
        <f t="shared" si="81"/>
        <v>5.7830211474656414E-3</v>
      </c>
    </row>
    <row r="587" spans="1:15" x14ac:dyDescent="0.35">
      <c r="A587" s="2">
        <v>45786</v>
      </c>
      <c r="B587">
        <v>197.85343933105469</v>
      </c>
      <c r="C587">
        <v>1005.273193359375</v>
      </c>
      <c r="D587">
        <v>150.83723449707031</v>
      </c>
      <c r="E587">
        <v>249.52247619628909</v>
      </c>
      <c r="F587">
        <v>68.74493408203125</v>
      </c>
      <c r="G587">
        <v>155.50172424316409</v>
      </c>
      <c r="H587">
        <v>5659.91015625</v>
      </c>
      <c r="I587" s="13">
        <f t="shared" si="75"/>
        <v>5.2522589126451722E-3</v>
      </c>
      <c r="J587" s="13">
        <f t="shared" si="76"/>
        <v>3.7711121237875295E-4</v>
      </c>
      <c r="K587" s="13">
        <f t="shared" si="77"/>
        <v>-9.2940047252308856E-3</v>
      </c>
      <c r="L587" s="13">
        <f t="shared" si="78"/>
        <v>-1.5398432830519297E-3</v>
      </c>
      <c r="M587" s="13">
        <f t="shared" si="79"/>
        <v>2.8711342838586017E-2</v>
      </c>
      <c r="N587" s="13">
        <f t="shared" si="80"/>
        <v>-6.2597549643705255E-3</v>
      </c>
      <c r="O587" s="13">
        <f t="shared" si="81"/>
        <v>-7.1173413487636322E-4</v>
      </c>
    </row>
    <row r="588" spans="1:15" x14ac:dyDescent="0.35">
      <c r="A588" s="2">
        <v>45789</v>
      </c>
      <c r="B588">
        <v>210.3471374511719</v>
      </c>
      <c r="C588">
        <v>1013.310607910156</v>
      </c>
      <c r="D588">
        <v>150.75898742675781</v>
      </c>
      <c r="E588">
        <v>256.39447021484381</v>
      </c>
      <c r="F588">
        <v>68.138748168945313</v>
      </c>
      <c r="G588">
        <v>158.69737243652341</v>
      </c>
      <c r="H588">
        <v>5844.18994140625</v>
      </c>
      <c r="I588" s="13">
        <f t="shared" si="75"/>
        <v>6.1232650231334652E-2</v>
      </c>
      <c r="J588" s="13">
        <f t="shared" si="76"/>
        <v>7.9634613348406585E-3</v>
      </c>
      <c r="K588" s="13">
        <f t="shared" si="77"/>
        <v>-5.1888628822335423E-4</v>
      </c>
      <c r="L588" s="13">
        <f t="shared" si="78"/>
        <v>2.7168161699919289E-2</v>
      </c>
      <c r="M588" s="13">
        <f t="shared" si="79"/>
        <v>-8.8570071447482499E-3</v>
      </c>
      <c r="N588" s="13">
        <f t="shared" si="80"/>
        <v>2.0342250661314773E-2</v>
      </c>
      <c r="O588" s="13">
        <f t="shared" si="81"/>
        <v>3.2039976677020812E-2</v>
      </c>
    </row>
    <row r="589" spans="1:15" x14ac:dyDescent="0.35">
      <c r="A589" s="2">
        <v>45790</v>
      </c>
      <c r="B589">
        <v>212.4826354980469</v>
      </c>
      <c r="C589">
        <v>996.23846435546875</v>
      </c>
      <c r="D589">
        <v>145.18403625488281</v>
      </c>
      <c r="E589">
        <v>259.31292724609381</v>
      </c>
      <c r="F589">
        <v>70.5048828125</v>
      </c>
      <c r="G589">
        <v>156.55708312988281</v>
      </c>
      <c r="H589">
        <v>5886.5498046875</v>
      </c>
      <c r="I589" s="13">
        <f t="shared" si="75"/>
        <v>1.0101068282407802E-2</v>
      </c>
      <c r="J589" s="13">
        <f t="shared" si="76"/>
        <v>-1.6991428104872777E-2</v>
      </c>
      <c r="K589" s="13">
        <f t="shared" si="77"/>
        <v>-3.7680298719838141E-2</v>
      </c>
      <c r="L589" s="13">
        <f t="shared" si="78"/>
        <v>1.1318387913446516E-2</v>
      </c>
      <c r="M589" s="13">
        <f t="shared" si="79"/>
        <v>3.4135926564215636E-2</v>
      </c>
      <c r="N589" s="13">
        <f t="shared" si="80"/>
        <v>-1.3578378690179315E-2</v>
      </c>
      <c r="O589" s="13">
        <f t="shared" si="81"/>
        <v>7.2220590202459771E-3</v>
      </c>
    </row>
    <row r="590" spans="1:15" x14ac:dyDescent="0.35">
      <c r="A590" s="2">
        <v>45791</v>
      </c>
      <c r="B590">
        <v>211.88389587402341</v>
      </c>
      <c r="C590">
        <v>988.76934814453125</v>
      </c>
      <c r="D590">
        <v>143.149658203125</v>
      </c>
      <c r="E590">
        <v>261.90594482421881</v>
      </c>
      <c r="F590">
        <v>70.583099365234375</v>
      </c>
      <c r="G590">
        <v>155.8568115234375</v>
      </c>
      <c r="H590">
        <v>5892.580078125</v>
      </c>
      <c r="I590" s="13">
        <f t="shared" si="75"/>
        <v>-2.8218060429069688E-3</v>
      </c>
      <c r="J590" s="13">
        <f t="shared" si="76"/>
        <v>-7.5255637931821578E-3</v>
      </c>
      <c r="K590" s="13">
        <f t="shared" si="77"/>
        <v>-1.4111509340415326E-2</v>
      </c>
      <c r="L590" s="13">
        <f t="shared" si="78"/>
        <v>9.9499043859024878E-3</v>
      </c>
      <c r="M590" s="13">
        <f t="shared" si="79"/>
        <v>1.1087629086485044E-3</v>
      </c>
      <c r="N590" s="13">
        <f t="shared" si="80"/>
        <v>-4.482981014713232E-3</v>
      </c>
      <c r="O590" s="13">
        <f t="shared" si="81"/>
        <v>1.0238912422760539E-3</v>
      </c>
    </row>
    <row r="591" spans="1:15" x14ac:dyDescent="0.35">
      <c r="A591" s="2">
        <v>45792</v>
      </c>
      <c r="B591">
        <v>211.00575256347659</v>
      </c>
      <c r="C591">
        <v>1007.646484375</v>
      </c>
      <c r="D591">
        <v>146.328369140625</v>
      </c>
      <c r="E591">
        <v>263.72988891601563</v>
      </c>
      <c r="F591">
        <v>72.890571594238281</v>
      </c>
      <c r="G591">
        <v>160.18670654296881</v>
      </c>
      <c r="H591">
        <v>5916.93017578125</v>
      </c>
      <c r="I591" s="13">
        <f t="shared" si="75"/>
        <v>-4.1530672409377028E-3</v>
      </c>
      <c r="J591" s="13">
        <f t="shared" si="76"/>
        <v>1.8911589994585993E-2</v>
      </c>
      <c r="K591" s="13">
        <f t="shared" si="77"/>
        <v>2.1962556105568451E-2</v>
      </c>
      <c r="L591" s="13">
        <f t="shared" si="78"/>
        <v>6.9399812391616753E-3</v>
      </c>
      <c r="M591" s="13">
        <f t="shared" si="79"/>
        <v>3.2168567157657646E-2</v>
      </c>
      <c r="N591" s="13">
        <f t="shared" si="80"/>
        <v>2.7402339915515939E-2</v>
      </c>
      <c r="O591" s="13">
        <f t="shared" si="81"/>
        <v>4.123817438757677E-3</v>
      </c>
    </row>
    <row r="592" spans="1:15" x14ac:dyDescent="0.35">
      <c r="A592" s="2">
        <v>45793</v>
      </c>
      <c r="B592">
        <v>210.81614685058591</v>
      </c>
      <c r="C592">
        <v>1022.963500976562</v>
      </c>
      <c r="D592">
        <v>148.0106506347656</v>
      </c>
      <c r="E592">
        <v>263.7989501953125</v>
      </c>
      <c r="F592">
        <v>73.330551147460938</v>
      </c>
      <c r="G592">
        <v>161.0447998046875</v>
      </c>
      <c r="H592">
        <v>5958.3798828125</v>
      </c>
      <c r="I592" s="13">
        <f t="shared" si="75"/>
        <v>-8.9898474177643414E-4</v>
      </c>
      <c r="J592" s="13">
        <f t="shared" si="76"/>
        <v>1.5086409722591728E-2</v>
      </c>
      <c r="K592" s="13">
        <f t="shared" si="77"/>
        <v>1.1431034959797068E-2</v>
      </c>
      <c r="L592" s="13">
        <f t="shared" si="78"/>
        <v>2.6182939991583167E-4</v>
      </c>
      <c r="M592" s="13">
        <f t="shared" si="79"/>
        <v>6.0180208283375555E-3</v>
      </c>
      <c r="N592" s="13">
        <f t="shared" si="80"/>
        <v>5.3425351236413227E-3</v>
      </c>
      <c r="O592" s="13">
        <f t="shared" si="81"/>
        <v>6.9808493681001891E-3</v>
      </c>
    </row>
    <row r="593" spans="1:15" x14ac:dyDescent="0.35">
      <c r="A593" s="2">
        <v>45796</v>
      </c>
      <c r="B593">
        <v>208.34135437011719</v>
      </c>
      <c r="C593">
        <v>1031.44970703125</v>
      </c>
      <c r="D593">
        <v>149.14518737792969</v>
      </c>
      <c r="E593">
        <v>261.1566162109375</v>
      </c>
      <c r="F593">
        <v>72.215927124023438</v>
      </c>
      <c r="G593">
        <v>162.514404296875</v>
      </c>
      <c r="H593">
        <v>5963.60009765625</v>
      </c>
      <c r="I593" s="13">
        <f t="shared" si="75"/>
        <v>-1.1808550392953584E-2</v>
      </c>
      <c r="J593" s="13">
        <f t="shared" si="76"/>
        <v>8.2614873077997125E-3</v>
      </c>
      <c r="K593" s="13">
        <f t="shared" si="77"/>
        <v>7.6360085234705123E-3</v>
      </c>
      <c r="L593" s="13">
        <f t="shared" si="78"/>
        <v>-1.0066971259293109E-2</v>
      </c>
      <c r="M593" s="13">
        <f t="shared" si="79"/>
        <v>-1.5316699209873429E-2</v>
      </c>
      <c r="N593" s="13">
        <f t="shared" si="80"/>
        <v>9.0840537343914694E-3</v>
      </c>
      <c r="O593" s="13">
        <f t="shared" si="81"/>
        <v>8.757295660482738E-4</v>
      </c>
    </row>
    <row r="594" spans="1:15" x14ac:dyDescent="0.35">
      <c r="A594" s="2">
        <v>45797</v>
      </c>
      <c r="B594">
        <v>206.42539978027341</v>
      </c>
      <c r="C594">
        <v>1033.922729492188</v>
      </c>
      <c r="D594">
        <v>150.2895202636719</v>
      </c>
      <c r="E594">
        <v>261.94534301757813</v>
      </c>
      <c r="F594">
        <v>72.753684997558594</v>
      </c>
      <c r="G594">
        <v>163.37248229980469</v>
      </c>
      <c r="H594">
        <v>5940.4599609375</v>
      </c>
      <c r="I594" s="13">
        <f t="shared" si="75"/>
        <v>-9.2387743167436174E-3</v>
      </c>
      <c r="J594" s="13">
        <f t="shared" si="76"/>
        <v>2.3947483747406872E-3</v>
      </c>
      <c r="K594" s="13">
        <f t="shared" si="77"/>
        <v>7.6433254233225926E-3</v>
      </c>
      <c r="L594" s="13">
        <f t="shared" si="78"/>
        <v>3.015578093067183E-3</v>
      </c>
      <c r="M594" s="13">
        <f t="shared" si="79"/>
        <v>7.418938799770753E-3</v>
      </c>
      <c r="N594" s="13">
        <f t="shared" si="80"/>
        <v>5.2661215976549502E-3</v>
      </c>
      <c r="O594" s="13">
        <f t="shared" si="81"/>
        <v>-3.8877770695725784E-3</v>
      </c>
    </row>
    <row r="595" spans="1:15" x14ac:dyDescent="0.35">
      <c r="A595" s="2">
        <v>45798</v>
      </c>
      <c r="B595">
        <v>201.6654052734375</v>
      </c>
      <c r="C595">
        <v>1022.435119628906</v>
      </c>
      <c r="D595">
        <v>149.82005310058591</v>
      </c>
      <c r="E595">
        <v>257.37057495117188</v>
      </c>
      <c r="F595">
        <v>69.947563171386719</v>
      </c>
      <c r="G595">
        <v>163.16535949707031</v>
      </c>
      <c r="H595">
        <v>5844.60986328125</v>
      </c>
      <c r="I595" s="13">
        <f t="shared" si="75"/>
        <v>-2.3329172486255583E-2</v>
      </c>
      <c r="J595" s="13">
        <f t="shared" si="76"/>
        <v>-1.117288935981057E-2</v>
      </c>
      <c r="K595" s="13">
        <f t="shared" si="77"/>
        <v>-3.1286409211627787E-3</v>
      </c>
      <c r="L595" s="13">
        <f t="shared" si="78"/>
        <v>-1.7618895362962097E-2</v>
      </c>
      <c r="M595" s="13">
        <f t="shared" si="79"/>
        <v>-3.9333693872218099E-2</v>
      </c>
      <c r="N595" s="13">
        <f t="shared" si="80"/>
        <v>-1.2685992494607457E-3</v>
      </c>
      <c r="O595" s="13">
        <f t="shared" si="81"/>
        <v>-1.6266719267758897E-2</v>
      </c>
    </row>
    <row r="596" spans="1:15" x14ac:dyDescent="0.35">
      <c r="A596" s="2">
        <v>45799</v>
      </c>
      <c r="B596">
        <v>200.93693542480469</v>
      </c>
      <c r="C596">
        <v>1015.285034179688</v>
      </c>
      <c r="D596">
        <v>149.2625427246094</v>
      </c>
      <c r="E596">
        <v>257.00579833984381</v>
      </c>
      <c r="F596">
        <v>65.449958801269531</v>
      </c>
      <c r="G596">
        <v>162.7708435058594</v>
      </c>
      <c r="H596">
        <v>5842.009765625</v>
      </c>
      <c r="I596" s="13">
        <f t="shared" si="75"/>
        <v>-3.6188097782022515E-3</v>
      </c>
      <c r="J596" s="13">
        <f t="shared" si="76"/>
        <v>-7.017759313362377E-3</v>
      </c>
      <c r="K596" s="13">
        <f t="shared" si="77"/>
        <v>-3.7281408513665706E-3</v>
      </c>
      <c r="L596" s="13">
        <f t="shared" si="78"/>
        <v>-1.4183259240481852E-3</v>
      </c>
      <c r="M596" s="13">
        <f t="shared" si="79"/>
        <v>-6.6460000897024099E-2</v>
      </c>
      <c r="N596" s="13">
        <f t="shared" si="80"/>
        <v>-2.4208184316030236E-3</v>
      </c>
      <c r="O596" s="13">
        <f t="shared" si="81"/>
        <v>-4.4497002242116929E-4</v>
      </c>
    </row>
    <row r="597" spans="1:15" x14ac:dyDescent="0.35">
      <c r="A597" s="2">
        <v>45800</v>
      </c>
      <c r="B597">
        <v>194.85975646972659</v>
      </c>
      <c r="C597">
        <v>1005.681945800781</v>
      </c>
      <c r="D597">
        <v>149.5853271484375</v>
      </c>
      <c r="E597">
        <v>257.04522705078119</v>
      </c>
      <c r="F597">
        <v>66.251701354980469</v>
      </c>
      <c r="G597">
        <v>163.5894775390625</v>
      </c>
      <c r="H597">
        <v>5802.81982421875</v>
      </c>
      <c r="I597" s="13">
        <f t="shared" si="75"/>
        <v>-3.0711002496563045E-2</v>
      </c>
      <c r="J597" s="13">
        <f t="shared" si="76"/>
        <v>-9.5035304889630762E-3</v>
      </c>
      <c r="K597" s="13">
        <f t="shared" si="77"/>
        <v>2.1601930740628287E-3</v>
      </c>
      <c r="L597" s="13">
        <f t="shared" si="78"/>
        <v>1.5340388042116876E-4</v>
      </c>
      <c r="M597" s="13">
        <f t="shared" si="79"/>
        <v>1.2175282479529747E-2</v>
      </c>
      <c r="N597" s="13">
        <f t="shared" si="80"/>
        <v>5.0167602944000463E-3</v>
      </c>
      <c r="O597" s="13">
        <f t="shared" si="81"/>
        <v>-6.730899591473139E-3</v>
      </c>
    </row>
    <row r="598" spans="1:15" x14ac:dyDescent="0.35">
      <c r="A598" s="2">
        <v>45804</v>
      </c>
      <c r="B598">
        <v>199.78936767578119</v>
      </c>
      <c r="C598">
        <v>1014.945983886719</v>
      </c>
      <c r="D598">
        <v>151.1734924316406</v>
      </c>
      <c r="E598">
        <v>261.56085205078119</v>
      </c>
      <c r="F598">
        <v>66.525474548339844</v>
      </c>
      <c r="G598">
        <v>165.4634704589844</v>
      </c>
      <c r="H598">
        <v>5921.5400390625</v>
      </c>
      <c r="I598" s="13">
        <f t="shared" si="75"/>
        <v>2.4983547736617411E-2</v>
      </c>
      <c r="J598" s="13">
        <f t="shared" si="76"/>
        <v>9.169528798412839E-3</v>
      </c>
      <c r="K598" s="13">
        <f t="shared" si="77"/>
        <v>1.0561153598887723E-2</v>
      </c>
      <c r="L598" s="13">
        <f t="shared" si="78"/>
        <v>1.7414910105956128E-2</v>
      </c>
      <c r="M598" s="13">
        <f t="shared" si="79"/>
        <v>4.1238048553695981E-3</v>
      </c>
      <c r="N598" s="13">
        <f t="shared" si="80"/>
        <v>1.1390344272904243E-2</v>
      </c>
      <c r="O598" s="13">
        <f t="shared" si="81"/>
        <v>2.025258080218437E-2</v>
      </c>
    </row>
    <row r="599" spans="1:15" x14ac:dyDescent="0.35">
      <c r="A599" s="2">
        <v>45805</v>
      </c>
      <c r="B599">
        <v>199.99891662597659</v>
      </c>
      <c r="C599">
        <v>1010.309020996094</v>
      </c>
      <c r="D599">
        <v>150.36460876464841</v>
      </c>
      <c r="E599">
        <v>259.7861328125</v>
      </c>
      <c r="F599">
        <v>65.713951110839844</v>
      </c>
      <c r="G599">
        <v>165.06895446777341</v>
      </c>
      <c r="H599">
        <v>5888.5498046875</v>
      </c>
      <c r="I599" s="13">
        <f t="shared" si="75"/>
        <v>1.0482997006847805E-3</v>
      </c>
      <c r="J599" s="13">
        <f t="shared" si="76"/>
        <v>-4.5791477932331636E-3</v>
      </c>
      <c r="K599" s="13">
        <f t="shared" si="77"/>
        <v>-5.365064010276057E-3</v>
      </c>
      <c r="L599" s="13">
        <f t="shared" si="78"/>
        <v>-6.8082338440962576E-3</v>
      </c>
      <c r="M599" s="13">
        <f t="shared" si="79"/>
        <v>-1.2273701598551573E-2</v>
      </c>
      <c r="N599" s="13">
        <f t="shared" si="80"/>
        <v>-2.3871556846175178E-3</v>
      </c>
      <c r="O599" s="13">
        <f t="shared" si="81"/>
        <v>-5.586802576444734E-3</v>
      </c>
    </row>
    <row r="600" spans="1:15" x14ac:dyDescent="0.35">
      <c r="A600" s="2">
        <v>45806</v>
      </c>
      <c r="B600">
        <v>199.5299072265625</v>
      </c>
      <c r="C600">
        <v>1005.921325683594</v>
      </c>
      <c r="D600">
        <v>151.4990234375</v>
      </c>
      <c r="E600">
        <v>260.65374755859381</v>
      </c>
      <c r="F600">
        <v>67.454330444335938</v>
      </c>
      <c r="G600">
        <v>166.25250244140619</v>
      </c>
      <c r="H600">
        <v>5912.169921875</v>
      </c>
      <c r="I600" s="13">
        <f t="shared" si="75"/>
        <v>-2.3478136587600611E-3</v>
      </c>
      <c r="J600" s="13">
        <f t="shared" si="76"/>
        <v>-4.3523819053210792E-3</v>
      </c>
      <c r="K600" s="13">
        <f t="shared" si="77"/>
        <v>7.516109211349725E-3</v>
      </c>
      <c r="L600" s="13">
        <f t="shared" si="78"/>
        <v>3.3341624366744378E-3</v>
      </c>
      <c r="M600" s="13">
        <f t="shared" si="79"/>
        <v>2.6139534257742916E-2</v>
      </c>
      <c r="N600" s="13">
        <f t="shared" si="80"/>
        <v>7.1444392342753706E-3</v>
      </c>
      <c r="O600" s="13">
        <f t="shared" si="81"/>
        <v>4.0031708706317415E-3</v>
      </c>
    </row>
    <row r="601" spans="1:15" x14ac:dyDescent="0.35">
      <c r="A601" s="2">
        <v>45807</v>
      </c>
      <c r="B601">
        <v>200.42802429199219</v>
      </c>
      <c r="C601">
        <v>1037.2734375</v>
      </c>
      <c r="D601">
        <v>153.10693359375</v>
      </c>
      <c r="E601">
        <v>260.28900146484381</v>
      </c>
      <c r="F601">
        <v>69.067596435546875</v>
      </c>
      <c r="G601">
        <v>167.5643005371094</v>
      </c>
      <c r="H601">
        <v>5911.68994140625</v>
      </c>
      <c r="I601" s="13">
        <f t="shared" si="75"/>
        <v>4.4910652056797812E-3</v>
      </c>
      <c r="J601" s="13">
        <f t="shared" si="76"/>
        <v>3.0691712248297622E-2</v>
      </c>
      <c r="K601" s="13">
        <f t="shared" si="77"/>
        <v>1.0557410672819597E-2</v>
      </c>
      <c r="L601" s="13">
        <f t="shared" si="78"/>
        <v>-1.4003310499555897E-3</v>
      </c>
      <c r="M601" s="13">
        <f t="shared" si="79"/>
        <v>2.3634900650204425E-2</v>
      </c>
      <c r="N601" s="13">
        <f t="shared" si="80"/>
        <v>7.8594297024096871E-3</v>
      </c>
      <c r="O601" s="13">
        <f t="shared" si="81"/>
        <v>-8.1188456995205617E-5</v>
      </c>
    </row>
    <row r="602" spans="1:15" x14ac:dyDescent="0.35">
      <c r="A602" s="2">
        <v>45810</v>
      </c>
      <c r="B602">
        <v>201.27622985839841</v>
      </c>
      <c r="C602">
        <v>1053.896850585938</v>
      </c>
      <c r="D602">
        <v>153.29435729980469</v>
      </c>
      <c r="E602">
        <v>260.939697265625</v>
      </c>
      <c r="F602">
        <v>69.14349365234375</v>
      </c>
      <c r="G602">
        <v>165.48320007324219</v>
      </c>
      <c r="H602">
        <v>5935.93994140625</v>
      </c>
      <c r="I602" s="13">
        <f t="shared" si="75"/>
        <v>4.2230412957917664E-3</v>
      </c>
      <c r="J602" s="13">
        <f t="shared" si="76"/>
        <v>1.5899004829105227E-2</v>
      </c>
      <c r="K602" s="13">
        <f t="shared" si="77"/>
        <v>1.2233873355047978E-3</v>
      </c>
      <c r="L602" s="13">
        <f t="shared" si="78"/>
        <v>2.4967778650602586E-3</v>
      </c>
      <c r="M602" s="13">
        <f t="shared" si="79"/>
        <v>1.0982798034175022E-3</v>
      </c>
      <c r="N602" s="13">
        <f t="shared" si="80"/>
        <v>-1.2497481871075477E-2</v>
      </c>
      <c r="O602" s="13">
        <f t="shared" si="81"/>
        <v>4.0936514906260279E-3</v>
      </c>
    </row>
    <row r="603" spans="1:15" x14ac:dyDescent="0.35">
      <c r="A603" s="2">
        <v>45811</v>
      </c>
      <c r="B603">
        <v>202.8429260253906</v>
      </c>
      <c r="C603">
        <v>1052.640258789062</v>
      </c>
      <c r="D603">
        <v>152.32763671875</v>
      </c>
      <c r="E603">
        <v>262.52703857421881</v>
      </c>
      <c r="F603">
        <v>69.9320068359375</v>
      </c>
      <c r="G603">
        <v>164.56593322753909</v>
      </c>
      <c r="H603">
        <v>5970.3701171875</v>
      </c>
      <c r="I603" s="13">
        <f t="shared" si="75"/>
        <v>7.7536736046801532E-3</v>
      </c>
      <c r="J603" s="13">
        <f t="shared" si="76"/>
        <v>-1.1930404077199342E-3</v>
      </c>
      <c r="K603" s="13">
        <f t="shared" si="77"/>
        <v>-6.326271172384882E-3</v>
      </c>
      <c r="L603" s="13">
        <f t="shared" si="78"/>
        <v>6.0647451509796679E-3</v>
      </c>
      <c r="M603" s="13">
        <f t="shared" si="79"/>
        <v>1.1339475751944572E-2</v>
      </c>
      <c r="N603" s="13">
        <f t="shared" si="80"/>
        <v>-5.5583797366958636E-3</v>
      </c>
      <c r="O603" s="13">
        <f t="shared" si="81"/>
        <v>5.7835335353689787E-3</v>
      </c>
    </row>
    <row r="604" spans="1:15" x14ac:dyDescent="0.35">
      <c r="A604" s="2">
        <v>45812</v>
      </c>
      <c r="B604">
        <v>202.3938903808594</v>
      </c>
      <c r="C604">
        <v>1048.751220703125</v>
      </c>
      <c r="D604">
        <v>151.14390563964841</v>
      </c>
      <c r="E604">
        <v>260.505859375</v>
      </c>
      <c r="F604">
        <v>68.877365112304688</v>
      </c>
      <c r="G604">
        <v>163.67823791503909</v>
      </c>
      <c r="H604">
        <v>5970.81005859375</v>
      </c>
      <c r="I604" s="13">
        <f t="shared" si="75"/>
        <v>-2.2161650182512282E-3</v>
      </c>
      <c r="J604" s="13">
        <f t="shared" si="76"/>
        <v>-3.7013974444896416E-3</v>
      </c>
      <c r="K604" s="13">
        <f t="shared" si="77"/>
        <v>-7.8013053442947608E-3</v>
      </c>
      <c r="L604" s="13">
        <f t="shared" si="78"/>
        <v>-7.7287270766176978E-3</v>
      </c>
      <c r="M604" s="13">
        <f t="shared" si="79"/>
        <v>-1.5195833004488096E-2</v>
      </c>
      <c r="N604" s="13">
        <f t="shared" si="80"/>
        <v>-5.4087630772867877E-3</v>
      </c>
      <c r="O604" s="13">
        <f t="shared" si="81"/>
        <v>7.3684744719162675E-5</v>
      </c>
    </row>
    <row r="605" spans="1:15" x14ac:dyDescent="0.35">
      <c r="A605" s="2">
        <v>45813</v>
      </c>
      <c r="B605">
        <v>200.20849609375</v>
      </c>
      <c r="C605">
        <v>1007.985534667969</v>
      </c>
      <c r="D605">
        <v>151.57794189453119</v>
      </c>
      <c r="E605">
        <v>258.26779174804688</v>
      </c>
      <c r="F605">
        <v>70.474128723144531</v>
      </c>
      <c r="G605">
        <v>160.57136535644531</v>
      </c>
      <c r="H605">
        <v>5939.2998046875</v>
      </c>
      <c r="I605" s="13">
        <f t="shared" si="75"/>
        <v>-1.0856447081017195E-2</v>
      </c>
      <c r="J605" s="13">
        <f t="shared" si="76"/>
        <v>-3.9646323740274499E-2</v>
      </c>
      <c r="K605" s="13">
        <f t="shared" si="77"/>
        <v>2.8675601436629534E-3</v>
      </c>
      <c r="L605" s="13">
        <f t="shared" si="78"/>
        <v>-8.628354609592442E-3</v>
      </c>
      <c r="M605" s="13">
        <f t="shared" si="79"/>
        <v>2.2918067920665156E-2</v>
      </c>
      <c r="N605" s="13">
        <f t="shared" si="80"/>
        <v>-1.9164049008538315E-2</v>
      </c>
      <c r="O605" s="13">
        <f t="shared" si="81"/>
        <v>-5.2913579786981121E-3</v>
      </c>
    </row>
    <row r="606" spans="1:15" x14ac:dyDescent="0.35">
      <c r="A606" s="2">
        <v>45814</v>
      </c>
      <c r="B606">
        <v>203.49156188964841</v>
      </c>
      <c r="C606">
        <v>1012.103942871094</v>
      </c>
      <c r="D606">
        <v>152.92938232421881</v>
      </c>
      <c r="E606">
        <v>261.99465942382813</v>
      </c>
      <c r="F606">
        <v>71.124656677246094</v>
      </c>
      <c r="G606">
        <v>161.77467346191409</v>
      </c>
      <c r="H606">
        <v>6000.35986328125</v>
      </c>
      <c r="I606" s="13">
        <f t="shared" si="75"/>
        <v>1.6265235095851836E-2</v>
      </c>
      <c r="J606" s="13">
        <f t="shared" si="76"/>
        <v>4.0774569194595286E-3</v>
      </c>
      <c r="K606" s="13">
        <f t="shared" si="77"/>
        <v>8.8763008005227489E-3</v>
      </c>
      <c r="L606" s="13">
        <f t="shared" si="78"/>
        <v>1.4327120541650924E-2</v>
      </c>
      <c r="M606" s="13">
        <f t="shared" si="79"/>
        <v>9.1883913986148327E-3</v>
      </c>
      <c r="N606" s="13">
        <f t="shared" si="80"/>
        <v>7.4659747600368948E-3</v>
      </c>
      <c r="O606" s="13">
        <f t="shared" si="81"/>
        <v>1.0228196215376713E-2</v>
      </c>
    </row>
    <row r="607" spans="1:15" x14ac:dyDescent="0.35">
      <c r="A607" s="2">
        <v>45817</v>
      </c>
      <c r="B607">
        <v>201.0267639160156</v>
      </c>
      <c r="C607">
        <v>1003.368469238281</v>
      </c>
      <c r="D607">
        <v>153.12666320800781</v>
      </c>
      <c r="E607">
        <v>262.99044799804688</v>
      </c>
      <c r="F607">
        <v>70.868385314941406</v>
      </c>
      <c r="G607">
        <v>160.33465576171881</v>
      </c>
      <c r="H607">
        <v>6005.8798828125</v>
      </c>
      <c r="I607" s="13">
        <f t="shared" si="75"/>
        <v>-1.2186486101306848E-2</v>
      </c>
      <c r="J607" s="13">
        <f t="shared" si="76"/>
        <v>-8.6684672839738904E-3</v>
      </c>
      <c r="K607" s="13">
        <f t="shared" si="77"/>
        <v>1.2891815992011999E-3</v>
      </c>
      <c r="L607" s="13">
        <f t="shared" si="78"/>
        <v>3.7935924443136637E-3</v>
      </c>
      <c r="M607" s="13">
        <f t="shared" si="79"/>
        <v>-3.6096365986092675E-3</v>
      </c>
      <c r="N607" s="13">
        <f t="shared" si="80"/>
        <v>-8.9412330729391355E-3</v>
      </c>
      <c r="O607" s="13">
        <f t="shared" si="81"/>
        <v>9.1952518639136591E-4</v>
      </c>
    </row>
    <row r="608" spans="1:15" x14ac:dyDescent="0.35">
      <c r="A608" s="2">
        <v>45818</v>
      </c>
      <c r="B608">
        <v>202.24418640136719</v>
      </c>
      <c r="C608">
        <v>1004.455383300781</v>
      </c>
      <c r="D608">
        <v>154.33013916015619</v>
      </c>
      <c r="E608">
        <v>264.8243408203125</v>
      </c>
      <c r="F608">
        <v>71.765327453613281</v>
      </c>
      <c r="G608">
        <v>160.61082458496091</v>
      </c>
      <c r="H608">
        <v>6038.81005859375</v>
      </c>
      <c r="I608" s="13">
        <f t="shared" si="75"/>
        <v>6.0377579033184517E-3</v>
      </c>
      <c r="J608" s="13">
        <f t="shared" si="76"/>
        <v>1.0826788089984827E-3</v>
      </c>
      <c r="K608" s="13">
        <f t="shared" si="77"/>
        <v>7.8286256109017065E-3</v>
      </c>
      <c r="L608" s="13">
        <f t="shared" si="78"/>
        <v>6.9490292460504689E-3</v>
      </c>
      <c r="M608" s="13">
        <f t="shared" si="79"/>
        <v>1.2577026069662796E-2</v>
      </c>
      <c r="N608" s="13">
        <f t="shared" si="80"/>
        <v>1.7209707462181058E-3</v>
      </c>
      <c r="O608" s="13">
        <f t="shared" si="81"/>
        <v>5.4680125416468406E-3</v>
      </c>
    </row>
    <row r="609" spans="1:15" x14ac:dyDescent="0.35">
      <c r="A609" s="2">
        <v>45819</v>
      </c>
      <c r="B609">
        <v>198.36236572265619</v>
      </c>
      <c r="C609">
        <v>993.9947509765625</v>
      </c>
      <c r="D609">
        <v>153.15626525878909</v>
      </c>
      <c r="E609">
        <v>264.38064575195313</v>
      </c>
      <c r="F609">
        <v>71.952598571777344</v>
      </c>
      <c r="G609">
        <v>159.89082336425781</v>
      </c>
      <c r="H609">
        <v>6022.240234375</v>
      </c>
      <c r="I609" s="13">
        <f t="shared" si="75"/>
        <v>-1.9380322949579473E-2</v>
      </c>
      <c r="J609" s="13">
        <f t="shared" si="76"/>
        <v>-1.046884051007212E-2</v>
      </c>
      <c r="K609" s="13">
        <f t="shared" si="77"/>
        <v>-7.6353268787677465E-3</v>
      </c>
      <c r="L609" s="13">
        <f t="shared" si="78"/>
        <v>-1.676836702532606E-3</v>
      </c>
      <c r="M609" s="13">
        <f t="shared" si="79"/>
        <v>2.6060941642332769E-3</v>
      </c>
      <c r="N609" s="13">
        <f t="shared" si="80"/>
        <v>-4.4929717929347952E-3</v>
      </c>
      <c r="O609" s="13">
        <f t="shared" si="81"/>
        <v>-2.7476603182873451E-3</v>
      </c>
    </row>
    <row r="610" spans="1:15" x14ac:dyDescent="0.35">
      <c r="A610" s="2">
        <v>45820</v>
      </c>
      <c r="B610">
        <v>198.78147888183591</v>
      </c>
      <c r="C610">
        <v>999.908203125</v>
      </c>
      <c r="D610">
        <v>154.53729248046881</v>
      </c>
      <c r="E610">
        <v>264.4693603515625</v>
      </c>
      <c r="F610">
        <v>72.780548095703125</v>
      </c>
      <c r="G610">
        <v>160.94615173339841</v>
      </c>
      <c r="H610">
        <v>6045.259765625</v>
      </c>
      <c r="I610" s="13">
        <f t="shared" si="75"/>
        <v>2.1106373444387439E-3</v>
      </c>
      <c r="J610" s="13">
        <f t="shared" si="76"/>
        <v>5.9315519585986121E-3</v>
      </c>
      <c r="K610" s="13">
        <f t="shared" si="77"/>
        <v>8.9767007508712391E-3</v>
      </c>
      <c r="L610" s="13">
        <f t="shared" si="78"/>
        <v>3.3550004506997073E-4</v>
      </c>
      <c r="M610" s="13">
        <f t="shared" si="79"/>
        <v>1.144117397501963E-2</v>
      </c>
      <c r="N610" s="13">
        <f t="shared" si="80"/>
        <v>6.5786194055652055E-3</v>
      </c>
      <c r="O610" s="13">
        <f t="shared" si="81"/>
        <v>3.8151330716763875E-3</v>
      </c>
    </row>
    <row r="611" spans="1:15" x14ac:dyDescent="0.35">
      <c r="A611" s="2">
        <v>45821</v>
      </c>
      <c r="B611">
        <v>196.0372619628906</v>
      </c>
      <c r="C611">
        <v>987.443115234375</v>
      </c>
      <c r="D611">
        <v>154.9713439941406</v>
      </c>
      <c r="E611">
        <v>261.22564697265619</v>
      </c>
      <c r="F611">
        <v>73.707061767578125</v>
      </c>
      <c r="G611">
        <v>158.08586120605469</v>
      </c>
      <c r="H611">
        <v>5976.97021484375</v>
      </c>
      <c r="I611" s="13">
        <f t="shared" si="75"/>
        <v>-1.3901372087019841E-2</v>
      </c>
      <c r="J611" s="13">
        <f t="shared" si="76"/>
        <v>-1.2544587603440236E-2</v>
      </c>
      <c r="K611" s="13">
        <f t="shared" si="77"/>
        <v>2.8047798805557272E-3</v>
      </c>
      <c r="L611" s="13">
        <f t="shared" si="78"/>
        <v>-1.2340823103256017E-2</v>
      </c>
      <c r="M611" s="13">
        <f t="shared" si="79"/>
        <v>1.2649889335261144E-2</v>
      </c>
      <c r="N611" s="13">
        <f t="shared" si="80"/>
        <v>-1.7931536976917177E-2</v>
      </c>
      <c r="O611" s="13">
        <f t="shared" si="81"/>
        <v>-1.1360668590102889E-2</v>
      </c>
    </row>
    <row r="612" spans="1:15" x14ac:dyDescent="0.35">
      <c r="A612" s="2">
        <v>45824</v>
      </c>
      <c r="B612">
        <v>198.00312805175781</v>
      </c>
      <c r="C612">
        <v>981.60943603515625</v>
      </c>
      <c r="D612">
        <v>153.11680603027341</v>
      </c>
      <c r="E612">
        <v>266.5595703125</v>
      </c>
      <c r="F612">
        <v>72.721412658691406</v>
      </c>
      <c r="G612">
        <v>158.67765808105469</v>
      </c>
      <c r="H612">
        <v>6033.10986328125</v>
      </c>
      <c r="I612" s="13">
        <f t="shared" si="75"/>
        <v>9.9780755938707177E-3</v>
      </c>
      <c r="J612" s="13">
        <f t="shared" si="76"/>
        <v>-5.9253840268570475E-3</v>
      </c>
      <c r="K612" s="13">
        <f t="shared" si="77"/>
        <v>-1.2039154141983628E-2</v>
      </c>
      <c r="L612" s="13">
        <f t="shared" si="78"/>
        <v>2.0213165399794664E-2</v>
      </c>
      <c r="M612" s="13">
        <f t="shared" si="79"/>
        <v>-1.3462736666817644E-2</v>
      </c>
      <c r="N612" s="13">
        <f t="shared" si="80"/>
        <v>3.7365260044398977E-3</v>
      </c>
      <c r="O612" s="13">
        <f t="shared" si="81"/>
        <v>9.3488231481891008E-3</v>
      </c>
    </row>
    <row r="613" spans="1:15" x14ac:dyDescent="0.35">
      <c r="A613" s="2">
        <v>45825</v>
      </c>
      <c r="B613">
        <v>195.22895812988281</v>
      </c>
      <c r="C613">
        <v>974.98797607421875</v>
      </c>
      <c r="D613">
        <v>150.3152770996094</v>
      </c>
      <c r="E613">
        <v>265.73138427734381</v>
      </c>
      <c r="F613">
        <v>70.828956604003906</v>
      </c>
      <c r="G613">
        <v>156.3499755859375</v>
      </c>
      <c r="H613">
        <v>5982.72021484375</v>
      </c>
      <c r="I613" s="13">
        <f t="shared" si="75"/>
        <v>-1.4109814759666576E-2</v>
      </c>
      <c r="J613" s="13">
        <f t="shared" si="76"/>
        <v>-6.7683675730147632E-3</v>
      </c>
      <c r="K613" s="13">
        <f t="shared" si="77"/>
        <v>-1.8466132591994602E-2</v>
      </c>
      <c r="L613" s="13">
        <f t="shared" si="78"/>
        <v>-3.111781991802824E-3</v>
      </c>
      <c r="M613" s="13">
        <f t="shared" si="79"/>
        <v>-2.6367967012757232E-2</v>
      </c>
      <c r="N613" s="13">
        <f t="shared" si="80"/>
        <v>-1.4777909030322318E-2</v>
      </c>
      <c r="O613" s="13">
        <f t="shared" si="81"/>
        <v>-8.3872597236431343E-3</v>
      </c>
    </row>
    <row r="614" spans="1:15" x14ac:dyDescent="0.35">
      <c r="A614" s="2">
        <v>45826</v>
      </c>
      <c r="B614">
        <v>196.16697692871091</v>
      </c>
      <c r="C614">
        <v>972.1759033203125</v>
      </c>
      <c r="D614">
        <v>148.68763732910159</v>
      </c>
      <c r="E614">
        <v>270.10894775390619</v>
      </c>
      <c r="F614">
        <v>70.543121337890625</v>
      </c>
      <c r="G614">
        <v>155.8568115234375</v>
      </c>
      <c r="H614">
        <v>5980.8701171875</v>
      </c>
      <c r="I614" s="13">
        <f t="shared" si="75"/>
        <v>4.7932056043866293E-3</v>
      </c>
      <c r="J614" s="13">
        <f t="shared" si="76"/>
        <v>-2.8883801088308435E-3</v>
      </c>
      <c r="K614" s="13">
        <f t="shared" si="77"/>
        <v>-1.0887223964495298E-2</v>
      </c>
      <c r="L614" s="13">
        <f t="shared" si="78"/>
        <v>1.6339422797218495E-2</v>
      </c>
      <c r="M614" s="13">
        <f t="shared" si="79"/>
        <v>-4.0437356480539878E-3</v>
      </c>
      <c r="N614" s="13">
        <f t="shared" si="80"/>
        <v>-3.1592168590622374E-3</v>
      </c>
      <c r="O614" s="13">
        <f t="shared" si="81"/>
        <v>-3.0928803472058796E-4</v>
      </c>
    </row>
    <row r="615" spans="1:15" x14ac:dyDescent="0.35">
      <c r="A615" s="2">
        <v>45828</v>
      </c>
      <c r="B615">
        <v>200.57769775390619</v>
      </c>
      <c r="C615">
        <v>977.55078125</v>
      </c>
      <c r="D615">
        <v>147.76036071777341</v>
      </c>
      <c r="E615">
        <v>271.13436889648438</v>
      </c>
      <c r="F615">
        <v>70.503692626953125</v>
      </c>
      <c r="G615">
        <v>156.90229797363281</v>
      </c>
      <c r="H615">
        <v>5967.83984375</v>
      </c>
      <c r="I615" s="13">
        <f t="shared" si="75"/>
        <v>2.2235471994094525E-2</v>
      </c>
      <c r="J615" s="13">
        <f t="shared" si="76"/>
        <v>5.5134820566336172E-3</v>
      </c>
      <c r="K615" s="13">
        <f t="shared" si="77"/>
        <v>-6.2559345426452476E-3</v>
      </c>
      <c r="L615" s="13">
        <f t="shared" si="78"/>
        <v>3.7891363751233536E-3</v>
      </c>
      <c r="M615" s="13">
        <f t="shared" si="79"/>
        <v>-5.5908688549846381E-4</v>
      </c>
      <c r="N615" s="13">
        <f t="shared" si="80"/>
        <v>6.685594840481611E-3</v>
      </c>
      <c r="O615" s="13">
        <f t="shared" si="81"/>
        <v>-2.181035215587759E-3</v>
      </c>
    </row>
    <row r="616" spans="1:15" x14ac:dyDescent="0.35">
      <c r="A616" s="2">
        <v>45831</v>
      </c>
      <c r="B616">
        <v>201.07666015625</v>
      </c>
      <c r="C616">
        <v>1001.673156738281</v>
      </c>
      <c r="D616">
        <v>149.2696533203125</v>
      </c>
      <c r="E616">
        <v>274.35836791992188</v>
      </c>
      <c r="F616">
        <v>69.715171813964844</v>
      </c>
      <c r="G616">
        <v>158.8255920410156</v>
      </c>
      <c r="H616">
        <v>6025.169921875</v>
      </c>
      <c r="I616" s="13">
        <f t="shared" si="75"/>
        <v>2.48453750937236E-3</v>
      </c>
      <c r="J616" s="13">
        <f t="shared" si="76"/>
        <v>2.437679691499732E-2</v>
      </c>
      <c r="K616" s="13">
        <f t="shared" si="77"/>
        <v>1.016264701267091E-2</v>
      </c>
      <c r="L616" s="13">
        <f t="shared" si="78"/>
        <v>1.1820639747773226E-2</v>
      </c>
      <c r="M616" s="13">
        <f t="shared" si="79"/>
        <v>-1.1247118970564346E-2</v>
      </c>
      <c r="N616" s="13">
        <f t="shared" si="80"/>
        <v>1.218338904159456E-2</v>
      </c>
      <c r="O616" s="13">
        <f t="shared" si="81"/>
        <v>9.5606550712594388E-3</v>
      </c>
    </row>
    <row r="617" spans="1:15" x14ac:dyDescent="0.35">
      <c r="A617" s="2">
        <v>45832</v>
      </c>
      <c r="B617">
        <v>199.8791809082031</v>
      </c>
      <c r="C617">
        <v>999.12030029296875</v>
      </c>
      <c r="D617">
        <v>150.12785339355469</v>
      </c>
      <c r="E617">
        <v>277.30636596679688</v>
      </c>
      <c r="F617">
        <v>70.375564575195313</v>
      </c>
      <c r="G617">
        <v>158.16477966308591</v>
      </c>
      <c r="H617">
        <v>6092.18017578125</v>
      </c>
      <c r="I617" s="13">
        <f t="shared" si="75"/>
        <v>-5.9731406092595534E-3</v>
      </c>
      <c r="J617" s="13">
        <f t="shared" si="76"/>
        <v>-2.5518454407903205E-3</v>
      </c>
      <c r="K617" s="13">
        <f t="shared" si="77"/>
        <v>5.7328628625340789E-3</v>
      </c>
      <c r="L617" s="13">
        <f t="shared" si="78"/>
        <v>1.0687745392099447E-2</v>
      </c>
      <c r="M617" s="13">
        <f t="shared" si="79"/>
        <v>9.4281416472834084E-3</v>
      </c>
      <c r="N617" s="13">
        <f t="shared" si="80"/>
        <v>-4.1692959418314478E-3</v>
      </c>
      <c r="O617" s="13">
        <f t="shared" si="81"/>
        <v>1.1060328616958607E-2</v>
      </c>
    </row>
    <row r="618" spans="1:15" x14ac:dyDescent="0.35">
      <c r="A618" s="2">
        <v>45833</v>
      </c>
      <c r="B618">
        <v>201.13653564453119</v>
      </c>
      <c r="C618">
        <v>983.7833251953125</v>
      </c>
      <c r="D618">
        <v>150.2166442871094</v>
      </c>
      <c r="E618">
        <v>280.06698608398438</v>
      </c>
      <c r="F618">
        <v>69.330764770507813</v>
      </c>
      <c r="G618">
        <v>156.7937927246094</v>
      </c>
      <c r="H618">
        <v>6092.16015625</v>
      </c>
      <c r="I618" s="13">
        <f t="shared" si="75"/>
        <v>6.2708707153257912E-3</v>
      </c>
      <c r="J618" s="13">
        <f t="shared" si="76"/>
        <v>-1.5469517279366855E-2</v>
      </c>
      <c r="K618" s="13">
        <f t="shared" si="77"/>
        <v>5.9126034821394534E-4</v>
      </c>
      <c r="L618" s="13">
        <f t="shared" si="78"/>
        <v>9.9059012464313978E-3</v>
      </c>
      <c r="M618" s="13">
        <f t="shared" si="79"/>
        <v>-1.4957365042804644E-2</v>
      </c>
      <c r="N618" s="13">
        <f t="shared" si="80"/>
        <v>-8.7058789177447884E-3</v>
      </c>
      <c r="O618" s="13">
        <f t="shared" si="81"/>
        <v>-3.2861083496653311E-6</v>
      </c>
    </row>
    <row r="619" spans="1:15" x14ac:dyDescent="0.35">
      <c r="A619" s="2">
        <v>45834</v>
      </c>
      <c r="B619">
        <v>200.57769775390619</v>
      </c>
      <c r="C619">
        <v>980.1634521484375</v>
      </c>
      <c r="D619">
        <v>149.9502868652344</v>
      </c>
      <c r="E619">
        <v>284.6910400390625</v>
      </c>
      <c r="F619">
        <v>69.971435546875</v>
      </c>
      <c r="G619">
        <v>156.4584655761719</v>
      </c>
      <c r="H619">
        <v>6141.02001953125</v>
      </c>
      <c r="I619" s="13">
        <f t="shared" si="75"/>
        <v>-2.7822676154383684E-3</v>
      </c>
      <c r="J619" s="13">
        <f t="shared" si="76"/>
        <v>-3.6863291692470833E-3</v>
      </c>
      <c r="K619" s="13">
        <f t="shared" si="77"/>
        <v>-1.7747290866705579E-3</v>
      </c>
      <c r="L619" s="13">
        <f t="shared" si="78"/>
        <v>1.6375711630226823E-2</v>
      </c>
      <c r="M619" s="13">
        <f t="shared" si="79"/>
        <v>9.1983513849209306E-3</v>
      </c>
      <c r="N619" s="13">
        <f t="shared" si="80"/>
        <v>-2.1409408400822321E-3</v>
      </c>
      <c r="O619" s="13">
        <f t="shared" si="81"/>
        <v>7.9881310325167973E-3</v>
      </c>
    </row>
    <row r="620" spans="1:15" x14ac:dyDescent="0.35">
      <c r="A620" s="2">
        <v>45835</v>
      </c>
      <c r="B620">
        <v>200.65753173828119</v>
      </c>
      <c r="C620">
        <v>982.38726806640625</v>
      </c>
      <c r="D620">
        <v>150.3448791503906</v>
      </c>
      <c r="E620">
        <v>283.0740966796875</v>
      </c>
      <c r="F620">
        <v>69.872871398925781</v>
      </c>
      <c r="G620">
        <v>157.67161560058591</v>
      </c>
      <c r="H620">
        <v>6173.06982421875</v>
      </c>
      <c r="I620" s="13">
        <f t="shared" si="75"/>
        <v>3.9794105582188381E-4</v>
      </c>
      <c r="J620" s="13">
        <f t="shared" si="76"/>
        <v>2.2662516151422583E-3</v>
      </c>
      <c r="K620" s="13">
        <f t="shared" si="77"/>
        <v>2.6280310635536795E-3</v>
      </c>
      <c r="L620" s="13">
        <f t="shared" si="78"/>
        <v>-5.6958331051923895E-3</v>
      </c>
      <c r="M620" s="13">
        <f t="shared" si="79"/>
        <v>-1.4096271263785011E-3</v>
      </c>
      <c r="N620" s="13">
        <f t="shared" si="80"/>
        <v>7.7239088413080734E-3</v>
      </c>
      <c r="O620" s="13">
        <f t="shared" si="81"/>
        <v>5.205399256150098E-3</v>
      </c>
    </row>
    <row r="621" spans="1:15" x14ac:dyDescent="0.35">
      <c r="A621" s="2">
        <v>45838</v>
      </c>
      <c r="B621">
        <v>204.73893737792969</v>
      </c>
      <c r="C621">
        <v>987.173828125</v>
      </c>
      <c r="D621">
        <v>150.6802673339844</v>
      </c>
      <c r="E621">
        <v>285.83474731445313</v>
      </c>
      <c r="F621">
        <v>68.423965454101563</v>
      </c>
      <c r="G621">
        <v>157.1390075683594</v>
      </c>
      <c r="H621">
        <v>6204.9501953125</v>
      </c>
      <c r="I621" s="13">
        <f t="shared" si="75"/>
        <v>2.0136058667708109E-2</v>
      </c>
      <c r="J621" s="13">
        <f t="shared" si="76"/>
        <v>4.8605443023246571E-3</v>
      </c>
      <c r="K621" s="13">
        <f t="shared" si="77"/>
        <v>2.2283076765349003E-3</v>
      </c>
      <c r="L621" s="13">
        <f t="shared" si="78"/>
        <v>9.7051481363296891E-3</v>
      </c>
      <c r="M621" s="13">
        <f t="shared" si="79"/>
        <v>-2.0954332627785864E-2</v>
      </c>
      <c r="N621" s="13">
        <f t="shared" si="80"/>
        <v>-3.383675779610797E-3</v>
      </c>
      <c r="O621" s="13">
        <f t="shared" si="81"/>
        <v>5.1511375061288819E-3</v>
      </c>
    </row>
    <row r="622" spans="1:15" x14ac:dyDescent="0.35">
      <c r="A622" s="2">
        <v>45839</v>
      </c>
      <c r="B622">
        <v>207.38337707519531</v>
      </c>
      <c r="C622">
        <v>983.2049560546875</v>
      </c>
      <c r="D622">
        <v>153.80731201171881</v>
      </c>
      <c r="E622">
        <v>286.32772827148438</v>
      </c>
      <c r="F622">
        <v>72.011734008789063</v>
      </c>
      <c r="G622">
        <v>159.01300048828119</v>
      </c>
      <c r="H622">
        <v>6198.009765625</v>
      </c>
      <c r="I622" s="13">
        <f t="shared" si="75"/>
        <v>1.2833452102963735E-2</v>
      </c>
      <c r="J622" s="13">
        <f t="shared" si="76"/>
        <v>-4.0285426028716974E-3</v>
      </c>
      <c r="K622" s="13">
        <f t="shared" si="77"/>
        <v>2.0540441274452793E-2</v>
      </c>
      <c r="L622" s="13">
        <f t="shared" si="78"/>
        <v>1.7232205887608197E-3</v>
      </c>
      <c r="M622" s="13">
        <f t="shared" si="79"/>
        <v>5.1105942683288733E-2</v>
      </c>
      <c r="N622" s="13">
        <f t="shared" si="80"/>
        <v>1.1855150816145086E-2</v>
      </c>
      <c r="O622" s="13">
        <f t="shared" si="81"/>
        <v>-1.1191571098791433E-3</v>
      </c>
    </row>
    <row r="623" spans="1:15" x14ac:dyDescent="0.35">
      <c r="A623" s="2">
        <v>45840</v>
      </c>
      <c r="B623">
        <v>211.99366760253909</v>
      </c>
      <c r="C623">
        <v>979.614990234375</v>
      </c>
      <c r="D623">
        <v>153.45219421386719</v>
      </c>
      <c r="E623">
        <v>287.8953857421875</v>
      </c>
      <c r="F623">
        <v>71.972312927246094</v>
      </c>
      <c r="G623">
        <v>158.99327087402341</v>
      </c>
      <c r="H623">
        <v>6227.419921875</v>
      </c>
      <c r="I623" s="13">
        <f t="shared" si="75"/>
        <v>2.1987260950303646E-2</v>
      </c>
      <c r="J623" s="13">
        <f t="shared" si="76"/>
        <v>-3.6579716138885037E-3</v>
      </c>
      <c r="K623" s="13">
        <f t="shared" si="77"/>
        <v>-2.3115181061998343E-3</v>
      </c>
      <c r="L623" s="13">
        <f t="shared" si="78"/>
        <v>5.4601123749108867E-3</v>
      </c>
      <c r="M623" s="13">
        <f t="shared" si="79"/>
        <v>-5.4757569837554838E-4</v>
      </c>
      <c r="N623" s="13">
        <f t="shared" si="80"/>
        <v>-1.2408317734472483E-4</v>
      </c>
      <c r="O623" s="13">
        <f t="shared" si="81"/>
        <v>4.7338743064907745E-3</v>
      </c>
    </row>
    <row r="624" spans="1:15" x14ac:dyDescent="0.35">
      <c r="A624" s="2">
        <v>45841</v>
      </c>
      <c r="B624">
        <v>213.1013488769531</v>
      </c>
      <c r="C624">
        <v>984.26202392578125</v>
      </c>
      <c r="D624">
        <v>153.89610290527341</v>
      </c>
      <c r="E624">
        <v>293.2451171875</v>
      </c>
      <c r="F624">
        <v>72.819969177246094</v>
      </c>
      <c r="G624">
        <v>158.62834167480469</v>
      </c>
      <c r="H624">
        <v>6279.35009765625</v>
      </c>
      <c r="I624" s="13">
        <f t="shared" si="75"/>
        <v>5.2114644419001196E-3</v>
      </c>
      <c r="J624" s="13">
        <f t="shared" si="76"/>
        <v>4.7325187179180677E-3</v>
      </c>
      <c r="K624" s="13">
        <f t="shared" si="77"/>
        <v>2.8886380971689962E-3</v>
      </c>
      <c r="L624" s="13">
        <f t="shared" si="78"/>
        <v>1.8411666516805082E-2</v>
      </c>
      <c r="M624" s="13">
        <f t="shared" si="79"/>
        <v>1.1708717090582323E-2</v>
      </c>
      <c r="N624" s="13">
        <f t="shared" si="80"/>
        <v>-2.2978874571400612E-3</v>
      </c>
      <c r="O624" s="13">
        <f t="shared" si="81"/>
        <v>8.3043782106639406E-3</v>
      </c>
    </row>
    <row r="625" spans="1:15" x14ac:dyDescent="0.35">
      <c r="A625" s="2">
        <v>45845</v>
      </c>
      <c r="B625">
        <v>209.50889587402341</v>
      </c>
      <c r="C625">
        <v>989.40753173828125</v>
      </c>
      <c r="D625">
        <v>153.16612243652341</v>
      </c>
      <c r="E625">
        <v>289.25262451171881</v>
      </c>
      <c r="F625">
        <v>73.677490234375</v>
      </c>
      <c r="G625">
        <v>158.3028564453125</v>
      </c>
      <c r="H625">
        <v>6229.97998046875</v>
      </c>
      <c r="I625" s="13">
        <f t="shared" si="75"/>
        <v>-1.7001668001927619E-2</v>
      </c>
      <c r="J625" s="13">
        <f t="shared" si="76"/>
        <v>5.2141651124190088E-3</v>
      </c>
      <c r="K625" s="13">
        <f t="shared" si="77"/>
        <v>-4.7546183391495144E-3</v>
      </c>
      <c r="L625" s="13">
        <f t="shared" si="78"/>
        <v>-1.3708397173952414E-2</v>
      </c>
      <c r="M625" s="13">
        <f t="shared" si="79"/>
        <v>1.1707108841516713E-2</v>
      </c>
      <c r="N625" s="13">
        <f t="shared" si="80"/>
        <v>-2.053981090240368E-3</v>
      </c>
      <c r="O625" s="13">
        <f t="shared" si="81"/>
        <v>-7.8933681042440175E-3</v>
      </c>
    </row>
    <row r="626" spans="1:15" x14ac:dyDescent="0.35">
      <c r="A626" s="2">
        <v>45846</v>
      </c>
      <c r="B626">
        <v>209.56877136230469</v>
      </c>
      <c r="C626">
        <v>983.0853271484375</v>
      </c>
      <c r="D626">
        <v>153.67906188964841</v>
      </c>
      <c r="E626">
        <v>280.14816284179688</v>
      </c>
      <c r="F626">
        <v>71.42034912109375</v>
      </c>
      <c r="G626">
        <v>155.72857666015619</v>
      </c>
      <c r="H626">
        <v>6225.52001953125</v>
      </c>
      <c r="I626" s="13">
        <f t="shared" si="75"/>
        <v>2.8574888794971224E-4</v>
      </c>
      <c r="J626" s="13">
        <f t="shared" si="76"/>
        <v>-6.4103920186826396E-3</v>
      </c>
      <c r="K626" s="13">
        <f t="shared" si="77"/>
        <v>3.3433141995936975E-3</v>
      </c>
      <c r="L626" s="13">
        <f t="shared" si="78"/>
        <v>-3.1981823315412911E-2</v>
      </c>
      <c r="M626" s="13">
        <f t="shared" si="79"/>
        <v>-3.11144978792606E-2</v>
      </c>
      <c r="N626" s="13">
        <f t="shared" si="80"/>
        <v>-1.6395412556996312E-2</v>
      </c>
      <c r="O626" s="13">
        <f t="shared" si="81"/>
        <v>-7.161432504695748E-4</v>
      </c>
    </row>
    <row r="627" spans="1:15" x14ac:dyDescent="0.35">
      <c r="A627" s="2">
        <v>45847</v>
      </c>
      <c r="B627">
        <v>210.69639587402341</v>
      </c>
      <c r="C627">
        <v>979.3458251953125</v>
      </c>
      <c r="D627">
        <v>154.1624450683594</v>
      </c>
      <c r="E627">
        <v>280.524658203125</v>
      </c>
      <c r="F627">
        <v>72.593276977539063</v>
      </c>
      <c r="G627">
        <v>155.36366271972659</v>
      </c>
      <c r="H627">
        <v>6263.259765625</v>
      </c>
      <c r="I627" s="13">
        <f t="shared" si="75"/>
        <v>5.3662654230007857E-3</v>
      </c>
      <c r="J627" s="13">
        <f t="shared" si="76"/>
        <v>-3.8110957164964022E-3</v>
      </c>
      <c r="K627" s="13">
        <f t="shared" si="77"/>
        <v>3.1404704373385354E-3</v>
      </c>
      <c r="L627" s="13">
        <f t="shared" si="78"/>
        <v>1.3430129080140264E-3</v>
      </c>
      <c r="M627" s="13">
        <f t="shared" si="79"/>
        <v>1.6289483491345357E-2</v>
      </c>
      <c r="N627" s="13">
        <f t="shared" si="80"/>
        <v>-2.3460187147380132E-3</v>
      </c>
      <c r="O627" s="13">
        <f t="shared" si="81"/>
        <v>6.0438027767796901E-3</v>
      </c>
    </row>
    <row r="628" spans="1:15" x14ac:dyDescent="0.35">
      <c r="A628" s="2">
        <v>45848</v>
      </c>
      <c r="B628">
        <v>211.96372985839841</v>
      </c>
      <c r="C628">
        <v>967.45904541015625</v>
      </c>
      <c r="D628">
        <v>155.5533447265625</v>
      </c>
      <c r="E628">
        <v>285.5078125</v>
      </c>
      <c r="F628">
        <v>73.569068908691406</v>
      </c>
      <c r="G628">
        <v>156.32037353515619</v>
      </c>
      <c r="H628">
        <v>6280.4599609375</v>
      </c>
      <c r="I628" s="13">
        <f t="shared" si="75"/>
        <v>5.9969592841335123E-3</v>
      </c>
      <c r="J628" s="13">
        <f t="shared" si="76"/>
        <v>-1.2211729776930977E-2</v>
      </c>
      <c r="K628" s="13">
        <f t="shared" si="77"/>
        <v>8.9818411249659915E-3</v>
      </c>
      <c r="L628" s="13">
        <f t="shared" si="78"/>
        <v>1.7607763863277472E-2</v>
      </c>
      <c r="M628" s="13">
        <f t="shared" si="79"/>
        <v>1.3352364080716165E-2</v>
      </c>
      <c r="N628" s="13">
        <f t="shared" si="80"/>
        <v>6.1389978875846865E-3</v>
      </c>
      <c r="O628" s="13">
        <f t="shared" si="81"/>
        <v>2.7424410729257912E-3</v>
      </c>
    </row>
    <row r="629" spans="1:15" x14ac:dyDescent="0.35">
      <c r="A629" s="2">
        <v>45849</v>
      </c>
      <c r="B629">
        <v>210.71635437011719</v>
      </c>
      <c r="C629">
        <v>967.61865234375</v>
      </c>
      <c r="D629">
        <v>154.77403259277341</v>
      </c>
      <c r="E629">
        <v>284.190185546875</v>
      </c>
      <c r="F629">
        <v>73.33251953125</v>
      </c>
      <c r="G629">
        <v>154.90008544921881</v>
      </c>
      <c r="H629">
        <v>6259.75</v>
      </c>
      <c r="I629" s="13">
        <f t="shared" si="75"/>
        <v>-5.9022374414881076E-3</v>
      </c>
      <c r="J629" s="13">
        <f t="shared" si="76"/>
        <v>1.6496178333408795E-4</v>
      </c>
      <c r="K629" s="13">
        <f t="shared" si="77"/>
        <v>-5.0225267183940207E-3</v>
      </c>
      <c r="L629" s="13">
        <f t="shared" si="78"/>
        <v>-4.6257115422657976E-3</v>
      </c>
      <c r="M629" s="13">
        <f t="shared" si="79"/>
        <v>-3.2205176867826178E-3</v>
      </c>
      <c r="N629" s="13">
        <f t="shared" si="80"/>
        <v>-9.1272787822459511E-3</v>
      </c>
      <c r="O629" s="13">
        <f t="shared" si="81"/>
        <v>-3.3029717732258423E-3</v>
      </c>
    </row>
    <row r="630" spans="1:15" x14ac:dyDescent="0.35">
      <c r="A630" s="2">
        <v>45852</v>
      </c>
      <c r="B630">
        <v>208.18168640136719</v>
      </c>
      <c r="C630">
        <v>978.1690673828125</v>
      </c>
      <c r="D630">
        <v>154.69512939453119</v>
      </c>
      <c r="E630">
        <v>286.0130615234375</v>
      </c>
      <c r="F630">
        <v>73.963333129882813</v>
      </c>
      <c r="G630">
        <v>151.65510559082031</v>
      </c>
      <c r="H630">
        <v>6268.56005859375</v>
      </c>
      <c r="I630" s="13">
        <f t="shared" si="75"/>
        <v>-1.2101746276944433E-2</v>
      </c>
      <c r="J630" s="13">
        <f t="shared" si="76"/>
        <v>1.0844470163103999E-2</v>
      </c>
      <c r="K630" s="13">
        <f t="shared" si="77"/>
        <v>-5.0992609050448667E-4</v>
      </c>
      <c r="L630" s="13">
        <f t="shared" si="78"/>
        <v>6.3937979867850509E-3</v>
      </c>
      <c r="M630" s="13">
        <f t="shared" si="79"/>
        <v>8.5653118379811141E-3</v>
      </c>
      <c r="N630" s="13">
        <f t="shared" si="80"/>
        <v>-2.1171398560138291E-2</v>
      </c>
      <c r="O630" s="13">
        <f t="shared" si="81"/>
        <v>1.4064243309367943E-3</v>
      </c>
    </row>
    <row r="631" spans="1:15" x14ac:dyDescent="0.35">
      <c r="A631" s="2">
        <v>45853</v>
      </c>
      <c r="B631">
        <v>208.67066955566409</v>
      </c>
      <c r="C631">
        <v>964.97607421875</v>
      </c>
      <c r="D631">
        <v>153.0674743652344</v>
      </c>
      <c r="E631">
        <v>283.88308715820313</v>
      </c>
      <c r="F631">
        <v>73.628211975097656</v>
      </c>
      <c r="G631">
        <v>150.58988952636719</v>
      </c>
      <c r="H631">
        <v>6243.759765625</v>
      </c>
      <c r="I631" s="13">
        <f t="shared" si="75"/>
        <v>2.3460746789217817E-3</v>
      </c>
      <c r="J631" s="13">
        <f t="shared" si="76"/>
        <v>-1.3579218153080233E-2</v>
      </c>
      <c r="K631" s="13">
        <f t="shared" si="77"/>
        <v>-1.0577439785453691E-2</v>
      </c>
      <c r="L631" s="13">
        <f t="shared" si="78"/>
        <v>-7.4749909713642477E-3</v>
      </c>
      <c r="M631" s="13">
        <f t="shared" si="79"/>
        <v>-4.5412049920264524E-3</v>
      </c>
      <c r="N631" s="13">
        <f t="shared" si="80"/>
        <v>-7.0487220106246491E-3</v>
      </c>
      <c r="O631" s="13">
        <f t="shared" si="81"/>
        <v>-3.9641450656725608E-3</v>
      </c>
    </row>
    <row r="632" spans="1:15" x14ac:dyDescent="0.35">
      <c r="A632" s="2">
        <v>45854</v>
      </c>
      <c r="B632">
        <v>209.7184753417969</v>
      </c>
      <c r="C632">
        <v>948.71160888671875</v>
      </c>
      <c r="D632">
        <v>162.54725646972659</v>
      </c>
      <c r="E632">
        <v>283.15988159179688</v>
      </c>
      <c r="F632">
        <v>73.69720458984375</v>
      </c>
      <c r="G632">
        <v>151.62553405761719</v>
      </c>
      <c r="H632">
        <v>6263.7001953125</v>
      </c>
      <c r="I632" s="13">
        <f t="shared" si="75"/>
        <v>5.0087722853509372E-3</v>
      </c>
      <c r="J632" s="13">
        <f t="shared" si="76"/>
        <v>-1.6998444526344244E-2</v>
      </c>
      <c r="K632" s="13">
        <f t="shared" si="77"/>
        <v>6.0089935437827376E-2</v>
      </c>
      <c r="L632" s="13">
        <f t="shared" si="78"/>
        <v>-2.5507977292539142E-3</v>
      </c>
      <c r="M632" s="13">
        <f t="shared" si="79"/>
        <v>9.3660172695546003E-4</v>
      </c>
      <c r="N632" s="13">
        <f t="shared" si="80"/>
        <v>6.8537109915823083E-3</v>
      </c>
      <c r="O632" s="13">
        <f t="shared" si="81"/>
        <v>3.1885685253844154E-3</v>
      </c>
    </row>
    <row r="633" spans="1:15" x14ac:dyDescent="0.35">
      <c r="A633" s="2">
        <v>45855</v>
      </c>
      <c r="B633">
        <v>209.57875061035159</v>
      </c>
      <c r="C633">
        <v>951.2445068359375</v>
      </c>
      <c r="D633">
        <v>160.77165222167969</v>
      </c>
      <c r="E633">
        <v>287.201904296875</v>
      </c>
      <c r="F633">
        <v>74.101318359375</v>
      </c>
      <c r="G633">
        <v>153.4896545410156</v>
      </c>
      <c r="H633">
        <v>6297.35986328125</v>
      </c>
      <c r="I633" s="13">
        <f t="shared" si="75"/>
        <v>-6.6647107573856404E-4</v>
      </c>
      <c r="J633" s="13">
        <f t="shared" si="76"/>
        <v>2.666271529947441E-3</v>
      </c>
      <c r="K633" s="13">
        <f t="shared" si="77"/>
        <v>-1.0983719487664991E-2</v>
      </c>
      <c r="L633" s="13">
        <f t="shared" si="78"/>
        <v>1.4173776973460785E-2</v>
      </c>
      <c r="M633" s="13">
        <f t="shared" si="79"/>
        <v>5.468454873815763E-3</v>
      </c>
      <c r="N633" s="13">
        <f t="shared" si="80"/>
        <v>1.2219278144358905E-2</v>
      </c>
      <c r="O633" s="13">
        <f t="shared" si="81"/>
        <v>5.3593802400110132E-3</v>
      </c>
    </row>
    <row r="634" spans="1:15" x14ac:dyDescent="0.35">
      <c r="A634" s="2">
        <v>45856</v>
      </c>
      <c r="B634">
        <v>210.73631286621091</v>
      </c>
      <c r="C634">
        <v>948.29278564453125</v>
      </c>
      <c r="D634">
        <v>161.4819030761719</v>
      </c>
      <c r="E634">
        <v>288.55914306640619</v>
      </c>
      <c r="F634">
        <v>74.860275268554688</v>
      </c>
      <c r="G634">
        <v>154.02293395996091</v>
      </c>
      <c r="H634">
        <v>6296.7900390625</v>
      </c>
      <c r="I634" s="13">
        <f t="shared" si="75"/>
        <v>5.5080832596775906E-3</v>
      </c>
      <c r="J634" s="13">
        <f t="shared" si="76"/>
        <v>-3.1078342908982788E-3</v>
      </c>
      <c r="K634" s="13">
        <f t="shared" si="77"/>
        <v>4.4080320783059781E-3</v>
      </c>
      <c r="L634" s="13">
        <f t="shared" si="78"/>
        <v>4.7145991891659536E-3</v>
      </c>
      <c r="M634" s="13">
        <f t="shared" si="79"/>
        <v>1.0190055812593383E-2</v>
      </c>
      <c r="N634" s="13">
        <f t="shared" si="80"/>
        <v>3.468345514774793E-3</v>
      </c>
      <c r="O634" s="13">
        <f t="shared" si="81"/>
        <v>-9.0490302808416738E-5</v>
      </c>
    </row>
    <row r="635" spans="1:15" x14ac:dyDescent="0.35">
      <c r="A635" s="2">
        <v>45859</v>
      </c>
      <c r="B635">
        <v>212.0335693359375</v>
      </c>
      <c r="C635">
        <v>944.91229248046875</v>
      </c>
      <c r="D635">
        <v>162.1329650878906</v>
      </c>
      <c r="E635">
        <v>288.26193237304688</v>
      </c>
      <c r="F635">
        <v>75.077117919921875</v>
      </c>
      <c r="G635">
        <v>153.95341491699219</v>
      </c>
      <c r="H635">
        <v>6305.60009765625</v>
      </c>
      <c r="I635" s="13">
        <f t="shared" si="75"/>
        <v>6.1369581694601244E-3</v>
      </c>
      <c r="J635" s="13">
        <f t="shared" si="76"/>
        <v>-3.5711891921812538E-3</v>
      </c>
      <c r="K635" s="13">
        <f t="shared" si="77"/>
        <v>4.0236896024431115E-3</v>
      </c>
      <c r="L635" s="13">
        <f t="shared" si="78"/>
        <v>-1.0305126921201641E-3</v>
      </c>
      <c r="M635" s="13">
        <f t="shared" si="79"/>
        <v>2.8924446121897005E-3</v>
      </c>
      <c r="N635" s="13">
        <f t="shared" si="80"/>
        <v>-4.5145703170365868E-4</v>
      </c>
      <c r="O635" s="13">
        <f t="shared" si="81"/>
        <v>1.3981570056732561E-3</v>
      </c>
    </row>
    <row r="636" spans="1:15" x14ac:dyDescent="0.35">
      <c r="A636" s="2">
        <v>45860</v>
      </c>
      <c r="B636">
        <v>213.9495544433594</v>
      </c>
      <c r="C636">
        <v>938.9788818359375</v>
      </c>
      <c r="D636">
        <v>165.6545715332031</v>
      </c>
      <c r="E636">
        <v>288.7176513671875</v>
      </c>
      <c r="F636">
        <v>76.427467346191406</v>
      </c>
      <c r="G636">
        <v>157.2205810546875</v>
      </c>
      <c r="H636">
        <v>6309.6201171875</v>
      </c>
      <c r="I636" s="13">
        <f t="shared" si="75"/>
        <v>8.9956522728556979E-3</v>
      </c>
      <c r="J636" s="13">
        <f t="shared" si="76"/>
        <v>-6.2991220986615927E-3</v>
      </c>
      <c r="K636" s="13">
        <f t="shared" si="77"/>
        <v>2.1487955178744529E-2</v>
      </c>
      <c r="L636" s="13">
        <f t="shared" si="78"/>
        <v>1.5796714537168531E-3</v>
      </c>
      <c r="M636" s="13">
        <f t="shared" si="79"/>
        <v>1.7826327605618097E-2</v>
      </c>
      <c r="N636" s="13">
        <f t="shared" si="80"/>
        <v>2.0999738053114211E-2</v>
      </c>
      <c r="O636" s="13">
        <f t="shared" si="81"/>
        <v>6.3732849666675692E-4</v>
      </c>
    </row>
    <row r="637" spans="1:15" x14ac:dyDescent="0.35">
      <c r="A637" s="2">
        <v>45861</v>
      </c>
      <c r="B637">
        <v>213.7000732421875</v>
      </c>
      <c r="C637">
        <v>938.56005859375</v>
      </c>
      <c r="D637">
        <v>166.80873107910159</v>
      </c>
      <c r="E637">
        <v>293.998046875</v>
      </c>
      <c r="F637">
        <v>71.775184631347656</v>
      </c>
      <c r="G637">
        <v>157.18084716796881</v>
      </c>
      <c r="H637">
        <v>6358.91015625</v>
      </c>
      <c r="I637" s="13">
        <f t="shared" si="75"/>
        <v>-1.1667552749854519E-3</v>
      </c>
      <c r="J637" s="13">
        <f t="shared" si="76"/>
        <v>-4.4614067928577935E-4</v>
      </c>
      <c r="K637" s="13">
        <f t="shared" si="77"/>
        <v>6.9431072443079007E-3</v>
      </c>
      <c r="L637" s="13">
        <f t="shared" si="78"/>
        <v>1.8123898371302433E-2</v>
      </c>
      <c r="M637" s="13">
        <f t="shared" si="79"/>
        <v>-6.2803353431940906E-2</v>
      </c>
      <c r="N637" s="13">
        <f t="shared" si="80"/>
        <v>-2.5275894676980248E-4</v>
      </c>
      <c r="O637" s="13">
        <f t="shared" si="81"/>
        <v>7.7815321457028732E-3</v>
      </c>
    </row>
    <row r="638" spans="1:15" x14ac:dyDescent="0.35">
      <c r="A638" s="2">
        <v>45862</v>
      </c>
      <c r="B638">
        <v>213.3108825683594</v>
      </c>
      <c r="C638">
        <v>931.19073486328125</v>
      </c>
      <c r="D638">
        <v>167.26249694824219</v>
      </c>
      <c r="E638">
        <v>293.78997802734381</v>
      </c>
      <c r="F638">
        <v>70.9373779296875</v>
      </c>
      <c r="G638">
        <v>157.70716857910159</v>
      </c>
      <c r="H638">
        <v>6363.35009765625</v>
      </c>
      <c r="I638" s="13">
        <f t="shared" si="75"/>
        <v>-1.8228608718337325E-3</v>
      </c>
      <c r="J638" s="13">
        <f t="shared" si="76"/>
        <v>-7.8827209651337205E-3</v>
      </c>
      <c r="K638" s="13">
        <f t="shared" si="77"/>
        <v>2.7165832321411928E-3</v>
      </c>
      <c r="L638" s="13">
        <f t="shared" si="78"/>
        <v>-7.0797242383952149E-4</v>
      </c>
      <c r="M638" s="13">
        <f t="shared" si="79"/>
        <v>-1.1741311507462986E-2</v>
      </c>
      <c r="N638" s="13">
        <f t="shared" si="80"/>
        <v>3.3429147820965874E-3</v>
      </c>
      <c r="O638" s="13">
        <f t="shared" si="81"/>
        <v>6.9797999693325139E-4</v>
      </c>
    </row>
    <row r="639" spans="1:15" x14ac:dyDescent="0.35">
      <c r="A639" s="2">
        <v>45863</v>
      </c>
      <c r="B639">
        <v>213.43064880371091</v>
      </c>
      <c r="C639">
        <v>932.865966796875</v>
      </c>
      <c r="D639">
        <v>166.01957702636719</v>
      </c>
      <c r="E639">
        <v>295.84075927734381</v>
      </c>
      <c r="F639">
        <v>70.819099426269531</v>
      </c>
      <c r="G639">
        <v>157.2007141113281</v>
      </c>
      <c r="H639">
        <v>6388.64013671875</v>
      </c>
      <c r="I639" s="13">
        <f t="shared" si="75"/>
        <v>5.6130575391109545E-4</v>
      </c>
      <c r="J639" s="13">
        <f t="shared" si="76"/>
        <v>1.7974049642492534E-3</v>
      </c>
      <c r="K639" s="13">
        <f t="shared" si="77"/>
        <v>-7.4587010891206725E-3</v>
      </c>
      <c r="L639" s="13">
        <f t="shared" si="78"/>
        <v>6.9561825385248887E-3</v>
      </c>
      <c r="M639" s="13">
        <f t="shared" si="79"/>
        <v>-1.6687566321072782E-3</v>
      </c>
      <c r="N639" s="13">
        <f t="shared" si="80"/>
        <v>-3.2165273228265444E-3</v>
      </c>
      <c r="O639" s="13">
        <f t="shared" si="81"/>
        <v>3.9664510016805517E-3</v>
      </c>
    </row>
    <row r="640" spans="1:15" x14ac:dyDescent="0.35">
      <c r="A640" s="2">
        <v>45866</v>
      </c>
      <c r="B640">
        <v>213.60029602050781</v>
      </c>
      <c r="C640">
        <v>931.380126953125</v>
      </c>
      <c r="D640">
        <v>163.96775817871091</v>
      </c>
      <c r="E640">
        <v>295.50390625</v>
      </c>
      <c r="F640">
        <v>70.316421508789063</v>
      </c>
      <c r="G640">
        <v>156.01896667480469</v>
      </c>
      <c r="H640">
        <v>6389.77001953125</v>
      </c>
      <c r="I640" s="13">
        <f t="shared" si="75"/>
        <v>7.9454300807906822E-4</v>
      </c>
      <c r="J640" s="13">
        <f t="shared" si="76"/>
        <v>-1.5940386447399575E-3</v>
      </c>
      <c r="K640" s="13">
        <f t="shared" si="77"/>
        <v>-1.2435903271362557E-2</v>
      </c>
      <c r="L640" s="13">
        <f t="shared" si="78"/>
        <v>-1.1392782700708963E-3</v>
      </c>
      <c r="M640" s="13">
        <f t="shared" si="79"/>
        <v>-7.1233668142041302E-3</v>
      </c>
      <c r="N640" s="13">
        <f t="shared" si="80"/>
        <v>-7.5458415698309543E-3</v>
      </c>
      <c r="O640" s="13">
        <f t="shared" si="81"/>
        <v>1.7684247126657597E-4</v>
      </c>
    </row>
    <row r="641" spans="1:15" x14ac:dyDescent="0.35">
      <c r="A641" s="2">
        <v>45867</v>
      </c>
      <c r="B641">
        <v>210.82612609863281</v>
      </c>
      <c r="C641">
        <v>931.95855712890625</v>
      </c>
      <c r="D641">
        <v>165.83213806152341</v>
      </c>
      <c r="E641">
        <v>294.27545166015619</v>
      </c>
      <c r="F641">
        <v>70.91766357421875</v>
      </c>
      <c r="G641">
        <v>155.52244567871091</v>
      </c>
      <c r="H641">
        <v>6370.85986328125</v>
      </c>
      <c r="I641" s="13">
        <f t="shared" si="75"/>
        <v>-1.3072746112031753E-2</v>
      </c>
      <c r="J641" s="13">
        <f t="shared" si="76"/>
        <v>6.208535241636787E-4</v>
      </c>
      <c r="K641" s="13">
        <f t="shared" si="77"/>
        <v>1.1306248210052862E-2</v>
      </c>
      <c r="L641" s="13">
        <f t="shared" si="78"/>
        <v>-4.1658167581493802E-3</v>
      </c>
      <c r="M641" s="13">
        <f t="shared" si="79"/>
        <v>8.5141727244102475E-3</v>
      </c>
      <c r="N641" s="13">
        <f t="shared" si="80"/>
        <v>-3.1875147046480446E-3</v>
      </c>
      <c r="O641" s="13">
        <f t="shared" si="81"/>
        <v>-2.9638301974668291E-3</v>
      </c>
    </row>
    <row r="642" spans="1:15" x14ac:dyDescent="0.35">
      <c r="A642" s="2">
        <v>45868</v>
      </c>
      <c r="B642">
        <v>208.61079406738281</v>
      </c>
      <c r="C642">
        <v>924.91827392578125</v>
      </c>
      <c r="D642">
        <v>164.99365234375</v>
      </c>
      <c r="E642">
        <v>296.84133911132813</v>
      </c>
      <c r="F642">
        <v>69.971435546875</v>
      </c>
      <c r="G642">
        <v>151.81834411621091</v>
      </c>
      <c r="H642">
        <v>6362.89990234375</v>
      </c>
      <c r="I642" s="13">
        <f t="shared" si="75"/>
        <v>-1.0563460319450515E-2</v>
      </c>
      <c r="J642" s="13">
        <f t="shared" si="76"/>
        <v>-7.582966000593553E-3</v>
      </c>
      <c r="K642" s="13">
        <f t="shared" si="77"/>
        <v>-5.0690577187298066E-3</v>
      </c>
      <c r="L642" s="13">
        <f t="shared" si="78"/>
        <v>8.6815451936290439E-3</v>
      </c>
      <c r="M642" s="13">
        <f t="shared" si="79"/>
        <v>-1.3432440984688373E-2</v>
      </c>
      <c r="N642" s="13">
        <f t="shared" si="80"/>
        <v>-2.4105364762442988E-2</v>
      </c>
      <c r="O642" s="13">
        <f t="shared" si="81"/>
        <v>-1.2502139385094711E-3</v>
      </c>
    </row>
    <row r="643" spans="1:15" x14ac:dyDescent="0.35">
      <c r="A643" s="2">
        <v>45869</v>
      </c>
      <c r="B643">
        <v>207.1339111328125</v>
      </c>
      <c r="C643">
        <v>937.014404296875</v>
      </c>
      <c r="D643">
        <v>162.5078125</v>
      </c>
      <c r="E643">
        <v>293.48287963867188</v>
      </c>
      <c r="F643">
        <v>70.040435791015625</v>
      </c>
      <c r="G643">
        <v>149.4250793457031</v>
      </c>
      <c r="H643">
        <v>6339.39013671875</v>
      </c>
      <c r="I643" s="13">
        <f t="shared" si="75"/>
        <v>-7.1047887254020361E-3</v>
      </c>
      <c r="J643" s="13">
        <f t="shared" si="76"/>
        <v>1.2993273805969463E-2</v>
      </c>
      <c r="K643" s="13">
        <f t="shared" si="77"/>
        <v>-1.5180924979416185E-2</v>
      </c>
      <c r="L643" s="13">
        <f t="shared" si="78"/>
        <v>-1.1378478472744698E-2</v>
      </c>
      <c r="M643" s="13">
        <f t="shared" si="79"/>
        <v>9.8563427611236885E-4</v>
      </c>
      <c r="N643" s="13">
        <f t="shared" si="80"/>
        <v>-1.5889575923735758E-2</v>
      </c>
      <c r="O643" s="13">
        <f t="shared" si="81"/>
        <v>-3.701662046374567E-3</v>
      </c>
    </row>
    <row r="644" spans="1:15" x14ac:dyDescent="0.35">
      <c r="A644" s="2">
        <v>45870</v>
      </c>
      <c r="B644">
        <v>201.95481872558591</v>
      </c>
      <c r="C644">
        <v>951.17437744140625</v>
      </c>
      <c r="D644">
        <v>165.0627136230469</v>
      </c>
      <c r="E644">
        <v>286.67684936523438</v>
      </c>
      <c r="F644">
        <v>69.389907836914063</v>
      </c>
      <c r="G644">
        <v>149.60382080078119</v>
      </c>
      <c r="H644">
        <v>6238.009765625</v>
      </c>
      <c r="I644" s="13">
        <f t="shared" si="75"/>
        <v>-2.5321495083900643E-2</v>
      </c>
      <c r="J644" s="13">
        <f t="shared" si="76"/>
        <v>1.4998753022836415E-2</v>
      </c>
      <c r="K644" s="13">
        <f t="shared" si="77"/>
        <v>1.559940671421014E-2</v>
      </c>
      <c r="L644" s="13">
        <f t="shared" si="78"/>
        <v>-2.3463684851549708E-2</v>
      </c>
      <c r="M644" s="13">
        <f t="shared" si="79"/>
        <v>-9.3312927079486786E-3</v>
      </c>
      <c r="N644" s="13">
        <f t="shared" si="80"/>
        <v>1.1954796093503613E-3</v>
      </c>
      <c r="O644" s="13">
        <f t="shared" si="81"/>
        <v>-1.61213871855698E-2</v>
      </c>
    </row>
    <row r="645" spans="1:15" x14ac:dyDescent="0.35">
      <c r="A645" s="2">
        <v>45873</v>
      </c>
      <c r="B645">
        <v>202.92277526855469</v>
      </c>
      <c r="C645">
        <v>954.02032470703125</v>
      </c>
      <c r="D645">
        <v>168.7224426269531</v>
      </c>
      <c r="E645">
        <v>291.52133178710938</v>
      </c>
      <c r="F645">
        <v>69.518043518066406</v>
      </c>
      <c r="G645">
        <v>149.71305847167969</v>
      </c>
      <c r="H645">
        <v>6329.93994140625</v>
      </c>
      <c r="I645" s="13">
        <f t="shared" ref="I645:I708" si="82">LN(B645/B644)</f>
        <v>4.7814865603560087E-3</v>
      </c>
      <c r="J645" s="13">
        <f t="shared" ref="J645:J708" si="83">LN(C645/C644)</f>
        <v>2.9875680204465662E-3</v>
      </c>
      <c r="K645" s="13">
        <f t="shared" ref="K645:K708" si="84">LN(D645/D644)</f>
        <v>2.192952921445037E-2</v>
      </c>
      <c r="L645" s="13">
        <f t="shared" ref="L645:L708" si="85">LN(E645/E644)</f>
        <v>1.6757561495553481E-2</v>
      </c>
      <c r="M645" s="13">
        <f t="shared" ref="M645:M708" si="86">LN(F645/F644)</f>
        <v>1.8449011197217168E-3</v>
      </c>
      <c r="N645" s="13">
        <f t="shared" ref="N645:N708" si="87">LN(G645/G644)</f>
        <v>7.2991323452212221E-4</v>
      </c>
      <c r="O645" s="13">
        <f t="shared" ref="O645:O708" si="88">LN(H645/H644)</f>
        <v>1.4629564491414495E-2</v>
      </c>
    </row>
    <row r="646" spans="1:15" x14ac:dyDescent="0.35">
      <c r="A646" s="2">
        <v>45874</v>
      </c>
      <c r="B646">
        <v>202.49366760253909</v>
      </c>
      <c r="C646">
        <v>942.296875</v>
      </c>
      <c r="D646">
        <v>168.426513671875</v>
      </c>
      <c r="E646">
        <v>288.658203125</v>
      </c>
      <c r="F646">
        <v>70.158714294433594</v>
      </c>
      <c r="G646">
        <v>149.46479797363281</v>
      </c>
      <c r="H646">
        <v>6299.18994140625</v>
      </c>
      <c r="I646" s="13">
        <f t="shared" si="82"/>
        <v>-2.1168743093806668E-3</v>
      </c>
      <c r="J646" s="13">
        <f t="shared" si="83"/>
        <v>-1.2364597092086987E-2</v>
      </c>
      <c r="K646" s="13">
        <f t="shared" si="84"/>
        <v>-1.7554794434126817E-3</v>
      </c>
      <c r="L646" s="13">
        <f t="shared" si="85"/>
        <v>-9.8698824495591676E-3</v>
      </c>
      <c r="M646" s="13">
        <f t="shared" si="86"/>
        <v>9.1736847195623417E-3</v>
      </c>
      <c r="N646" s="13">
        <f t="shared" si="87"/>
        <v>-1.6596185157503249E-3</v>
      </c>
      <c r="O646" s="13">
        <f t="shared" si="88"/>
        <v>-4.8697037804620166E-3</v>
      </c>
    </row>
    <row r="647" spans="1:15" x14ac:dyDescent="0.35">
      <c r="A647" s="2">
        <v>45875</v>
      </c>
      <c r="B647">
        <v>212.8019714355469</v>
      </c>
      <c r="C647">
        <v>967.191650390625</v>
      </c>
      <c r="D647">
        <v>168.2785339355469</v>
      </c>
      <c r="E647">
        <v>288.63839721679688</v>
      </c>
      <c r="F647">
        <v>69.527900695800781</v>
      </c>
      <c r="G647">
        <v>151.7984924316406</v>
      </c>
      <c r="H647">
        <v>6345.06005859375</v>
      </c>
      <c r="I647" s="13">
        <f t="shared" si="82"/>
        <v>4.9653406730293913E-2</v>
      </c>
      <c r="J647" s="13">
        <f t="shared" si="83"/>
        <v>2.6076287645676561E-2</v>
      </c>
      <c r="K647" s="13">
        <f t="shared" si="84"/>
        <v>-8.7898739212427795E-4</v>
      </c>
      <c r="L647" s="13">
        <f t="shared" si="85"/>
        <v>-6.8616056977211925E-5</v>
      </c>
      <c r="M647" s="13">
        <f t="shared" si="86"/>
        <v>-9.031901687966323E-3</v>
      </c>
      <c r="N647" s="13">
        <f t="shared" si="87"/>
        <v>1.5493033586669782E-2</v>
      </c>
      <c r="O647" s="13">
        <f t="shared" si="88"/>
        <v>7.2555222198526052E-3</v>
      </c>
    </row>
    <row r="648" spans="1:15" x14ac:dyDescent="0.35">
      <c r="A648" s="2">
        <v>45876</v>
      </c>
      <c r="B648">
        <v>219.5677185058594</v>
      </c>
      <c r="C648">
        <v>976.069091796875</v>
      </c>
      <c r="D648">
        <v>169.20579528808591</v>
      </c>
      <c r="E648">
        <v>284.26943969726563</v>
      </c>
      <c r="F648">
        <v>71.538627624511719</v>
      </c>
      <c r="G648">
        <v>152.42411804199219</v>
      </c>
      <c r="H648">
        <v>6340</v>
      </c>
      <c r="I648" s="13">
        <f t="shared" si="82"/>
        <v>3.1298675800817251E-2</v>
      </c>
      <c r="J648" s="13">
        <f t="shared" si="83"/>
        <v>9.1367081837455122E-3</v>
      </c>
      <c r="K648" s="13">
        <f t="shared" si="84"/>
        <v>5.4951510668513918E-3</v>
      </c>
      <c r="L648" s="13">
        <f t="shared" si="85"/>
        <v>-1.5252164250633804E-2</v>
      </c>
      <c r="M648" s="13">
        <f t="shared" si="86"/>
        <v>2.8509429443874305E-2</v>
      </c>
      <c r="N648" s="13">
        <f t="shared" si="87"/>
        <v>4.1129519684312311E-3</v>
      </c>
      <c r="O648" s="13">
        <f t="shared" si="88"/>
        <v>-7.9779817182786678E-4</v>
      </c>
    </row>
    <row r="649" spans="1:15" x14ac:dyDescent="0.35">
      <c r="A649" s="2">
        <v>45877</v>
      </c>
      <c r="B649">
        <v>228.86814880371091</v>
      </c>
      <c r="C649">
        <v>979.5941162109375</v>
      </c>
      <c r="D649">
        <v>170.9814147949219</v>
      </c>
      <c r="E649">
        <v>286.07254028320313</v>
      </c>
      <c r="F649">
        <v>71.371070861816406</v>
      </c>
      <c r="G649">
        <v>152.4439697265625</v>
      </c>
      <c r="H649">
        <v>6389.4501953125</v>
      </c>
      <c r="I649" s="13">
        <f t="shared" si="82"/>
        <v>4.1485370829086078E-2</v>
      </c>
      <c r="J649" s="13">
        <f t="shared" si="83"/>
        <v>3.6049440589955395E-3</v>
      </c>
      <c r="K649" s="13">
        <f t="shared" si="84"/>
        <v>1.0439167488973425E-2</v>
      </c>
      <c r="L649" s="13">
        <f t="shared" si="85"/>
        <v>6.3228962847087511E-3</v>
      </c>
      <c r="M649" s="13">
        <f t="shared" si="86"/>
        <v>-2.3449330766055982E-3</v>
      </c>
      <c r="N649" s="13">
        <f t="shared" si="87"/>
        <v>1.3023130589807452E-4</v>
      </c>
      <c r="O649" s="13">
        <f t="shared" si="88"/>
        <v>7.7694548163894745E-3</v>
      </c>
    </row>
    <row r="650" spans="1:15" x14ac:dyDescent="0.35">
      <c r="A650" s="2">
        <v>45880</v>
      </c>
      <c r="B650">
        <v>226.95997619628909</v>
      </c>
      <c r="C650">
        <v>987.3431396484375</v>
      </c>
      <c r="D650">
        <v>171.46479797363281</v>
      </c>
      <c r="E650">
        <v>286.86508178710938</v>
      </c>
      <c r="F650">
        <v>71.410491943359375</v>
      </c>
      <c r="G650">
        <v>153.90376281738281</v>
      </c>
      <c r="H650">
        <v>6373.4501953125</v>
      </c>
      <c r="I650" s="13">
        <f t="shared" si="82"/>
        <v>-8.3723826993211525E-3</v>
      </c>
      <c r="J650" s="13">
        <f t="shared" si="83"/>
        <v>7.8793194902678793E-3</v>
      </c>
      <c r="K650" s="13">
        <f t="shared" si="84"/>
        <v>2.8231207222314176E-3</v>
      </c>
      <c r="L650" s="13">
        <f t="shared" si="85"/>
        <v>2.766590912823606E-3</v>
      </c>
      <c r="M650" s="13">
        <f t="shared" si="86"/>
        <v>5.5218729603649988E-4</v>
      </c>
      <c r="N650" s="13">
        <f t="shared" si="87"/>
        <v>9.5303733953387027E-3</v>
      </c>
      <c r="O650" s="13">
        <f t="shared" si="88"/>
        <v>-2.5072683938851073E-3</v>
      </c>
    </row>
    <row r="651" spans="1:15" x14ac:dyDescent="0.35">
      <c r="A651" s="2">
        <v>45881</v>
      </c>
      <c r="B651">
        <v>229.4275817871094</v>
      </c>
      <c r="C651">
        <v>989.849609375</v>
      </c>
      <c r="D651">
        <v>170.4388732910156</v>
      </c>
      <c r="E651">
        <v>290.12445068359381</v>
      </c>
      <c r="F651">
        <v>70.828956604003906</v>
      </c>
      <c r="G651">
        <v>154.01300048828119</v>
      </c>
      <c r="H651">
        <v>6445.759765625</v>
      </c>
      <c r="I651" s="13">
        <f t="shared" si="82"/>
        <v>1.0813746316393955E-2</v>
      </c>
      <c r="J651" s="13">
        <f t="shared" si="83"/>
        <v>2.5353836346691007E-3</v>
      </c>
      <c r="K651" s="13">
        <f t="shared" si="84"/>
        <v>-6.0012678886749516E-3</v>
      </c>
      <c r="L651" s="13">
        <f t="shared" si="85"/>
        <v>1.1297964288398351E-2</v>
      </c>
      <c r="M651" s="13">
        <f t="shared" si="86"/>
        <v>-8.1768958680697272E-3</v>
      </c>
      <c r="N651" s="13">
        <f t="shared" si="87"/>
        <v>7.095273041221855E-4</v>
      </c>
      <c r="O651" s="13">
        <f t="shared" si="88"/>
        <v>1.1281559075170764E-2</v>
      </c>
    </row>
    <row r="652" spans="1:15" x14ac:dyDescent="0.35">
      <c r="A652" s="2">
        <v>45882</v>
      </c>
      <c r="B652">
        <v>233.1040344238281</v>
      </c>
      <c r="C652">
        <v>977.46710205078125</v>
      </c>
      <c r="D652">
        <v>172.056640625</v>
      </c>
      <c r="E652">
        <v>287.82601928710938</v>
      </c>
      <c r="F652">
        <v>71.262649536132813</v>
      </c>
      <c r="G652">
        <v>154.3307800292969</v>
      </c>
      <c r="H652">
        <v>6466.580078125</v>
      </c>
      <c r="I652" s="13">
        <f t="shared" si="82"/>
        <v>1.5897421651124486E-2</v>
      </c>
      <c r="J652" s="13">
        <f t="shared" si="83"/>
        <v>-1.2588385764807282E-2</v>
      </c>
      <c r="K652" s="13">
        <f t="shared" si="84"/>
        <v>9.4470105437329185E-3</v>
      </c>
      <c r="L652" s="13">
        <f t="shared" si="85"/>
        <v>-7.9537733177484481E-3</v>
      </c>
      <c r="M652" s="13">
        <f t="shared" si="86"/>
        <v>6.1044320727114765E-3</v>
      </c>
      <c r="N652" s="13">
        <f t="shared" si="87"/>
        <v>2.0612035890010196E-3</v>
      </c>
      <c r="O652" s="13">
        <f t="shared" si="88"/>
        <v>3.2248733840464015E-3</v>
      </c>
    </row>
    <row r="653" spans="1:15" x14ac:dyDescent="0.35">
      <c r="A653" s="2">
        <v>45883</v>
      </c>
      <c r="B653">
        <v>232.5545654296875</v>
      </c>
      <c r="C653">
        <v>974.01202392578125</v>
      </c>
      <c r="D653">
        <v>172.3525695800781</v>
      </c>
      <c r="E653">
        <v>291.42227172851563</v>
      </c>
      <c r="F653">
        <v>71.203498840332031</v>
      </c>
      <c r="G653">
        <v>152.67237854003909</v>
      </c>
      <c r="H653">
        <v>6468.5400390625</v>
      </c>
      <c r="I653" s="13">
        <f t="shared" si="82"/>
        <v>-2.3599660752876305E-3</v>
      </c>
      <c r="J653" s="13">
        <f t="shared" si="83"/>
        <v>-3.5409876428187737E-3</v>
      </c>
      <c r="K653" s="13">
        <f t="shared" si="84"/>
        <v>1.7184733690994438E-3</v>
      </c>
      <c r="L653" s="13">
        <f t="shared" si="85"/>
        <v>1.2417123034800354E-2</v>
      </c>
      <c r="M653" s="13">
        <f t="shared" si="86"/>
        <v>-8.3038251365301959E-4</v>
      </c>
      <c r="N653" s="13">
        <f t="shared" si="87"/>
        <v>-1.0803912430728667E-2</v>
      </c>
      <c r="O653" s="13">
        <f t="shared" si="88"/>
        <v>3.0304487855445177E-4</v>
      </c>
    </row>
    <row r="654" spans="1:15" x14ac:dyDescent="0.35">
      <c r="A654" s="2">
        <v>45884</v>
      </c>
      <c r="B654">
        <v>231.36570739746091</v>
      </c>
      <c r="C654">
        <v>970.666748046875</v>
      </c>
      <c r="D654">
        <v>174.24656677246091</v>
      </c>
      <c r="E654">
        <v>287.78640747070313</v>
      </c>
      <c r="F654">
        <v>74.328033447265625</v>
      </c>
      <c r="G654">
        <v>153.28807067871091</v>
      </c>
      <c r="H654">
        <v>6449.7998046875</v>
      </c>
      <c r="I654" s="13">
        <f t="shared" si="82"/>
        <v>-5.1252799427785869E-3</v>
      </c>
      <c r="J654" s="13">
        <f t="shared" si="83"/>
        <v>-3.4404439713730819E-3</v>
      </c>
      <c r="K654" s="13">
        <f t="shared" si="84"/>
        <v>1.0929144629968942E-2</v>
      </c>
      <c r="L654" s="13">
        <f t="shared" si="85"/>
        <v>-1.2554756673781732E-2</v>
      </c>
      <c r="M654" s="13">
        <f t="shared" si="86"/>
        <v>4.2946223107962311E-2</v>
      </c>
      <c r="N654" s="13">
        <f t="shared" si="87"/>
        <v>4.0246572478150437E-3</v>
      </c>
      <c r="O654" s="13">
        <f t="shared" si="88"/>
        <v>-2.9013399163647113E-3</v>
      </c>
    </row>
    <row r="655" spans="1:15" x14ac:dyDescent="0.35">
      <c r="A655" s="2">
        <v>45887</v>
      </c>
      <c r="B655">
        <v>230.66639709472659</v>
      </c>
      <c r="C655">
        <v>977.96636962890625</v>
      </c>
      <c r="D655">
        <v>173.8618469238281</v>
      </c>
      <c r="E655">
        <v>288.81674194335938</v>
      </c>
      <c r="F655">
        <v>74.633575439453125</v>
      </c>
      <c r="G655">
        <v>154.63862609863281</v>
      </c>
      <c r="H655">
        <v>6449.14990234375</v>
      </c>
      <c r="I655" s="13">
        <f t="shared" si="82"/>
        <v>-3.0271092850021226E-3</v>
      </c>
      <c r="J655" s="13">
        <f t="shared" si="83"/>
        <v>7.4920780731021997E-3</v>
      </c>
      <c r="K655" s="13">
        <f t="shared" si="84"/>
        <v>-2.2103459159804476E-3</v>
      </c>
      <c r="L655" s="13">
        <f t="shared" si="85"/>
        <v>3.5738117987512657E-3</v>
      </c>
      <c r="M655" s="13">
        <f t="shared" si="86"/>
        <v>4.1022975377899805E-3</v>
      </c>
      <c r="N655" s="13">
        <f t="shared" si="87"/>
        <v>8.7719843340908297E-3</v>
      </c>
      <c r="O655" s="13">
        <f t="shared" si="88"/>
        <v>-1.0076825773579619E-4</v>
      </c>
    </row>
    <row r="656" spans="1:15" x14ac:dyDescent="0.35">
      <c r="A656" s="2">
        <v>45888</v>
      </c>
      <c r="B656">
        <v>230.33671569824219</v>
      </c>
      <c r="C656">
        <v>979.46429443359375</v>
      </c>
      <c r="D656">
        <v>175.39085388183591</v>
      </c>
      <c r="E656">
        <v>287.954833984375</v>
      </c>
      <c r="F656">
        <v>75.412246704101563</v>
      </c>
      <c r="G656">
        <v>157.30000305175781</v>
      </c>
      <c r="H656">
        <v>6411.3701171875</v>
      </c>
      <c r="I656" s="13">
        <f t="shared" si="82"/>
        <v>-1.4302786403736167E-3</v>
      </c>
      <c r="J656" s="13">
        <f t="shared" si="83"/>
        <v>1.5305013092803655E-3</v>
      </c>
      <c r="K656" s="13">
        <f t="shared" si="84"/>
        <v>8.7559335866913418E-3</v>
      </c>
      <c r="L656" s="13">
        <f t="shared" si="85"/>
        <v>-2.9887346621862666E-3</v>
      </c>
      <c r="M656" s="13">
        <f t="shared" si="86"/>
        <v>1.0379206083820529E-2</v>
      </c>
      <c r="N656" s="13">
        <f t="shared" si="87"/>
        <v>1.7063879119290616E-2</v>
      </c>
      <c r="O656" s="13">
        <f t="shared" si="88"/>
        <v>-5.8753291122071267E-3</v>
      </c>
    </row>
    <row r="657" spans="1:15" x14ac:dyDescent="0.35">
      <c r="A657" s="2">
        <v>45889</v>
      </c>
      <c r="B657">
        <v>225.7911071777344</v>
      </c>
      <c r="C657">
        <v>993.1649169921875</v>
      </c>
      <c r="D657">
        <v>176.416748046875</v>
      </c>
      <c r="E657">
        <v>289.52011108398438</v>
      </c>
      <c r="F657">
        <v>75.08697509765625</v>
      </c>
      <c r="G657">
        <v>158.40229797363281</v>
      </c>
      <c r="H657">
        <v>6395.77978515625</v>
      </c>
      <c r="I657" s="13">
        <f t="shared" si="82"/>
        <v>-1.993195232786818E-2</v>
      </c>
      <c r="J657" s="13">
        <f t="shared" si="83"/>
        <v>1.3890945934175227E-2</v>
      </c>
      <c r="K657" s="13">
        <f t="shared" si="84"/>
        <v>5.8321484089960832E-3</v>
      </c>
      <c r="L657" s="13">
        <f t="shared" si="85"/>
        <v>5.4211215444462321E-3</v>
      </c>
      <c r="M657" s="13">
        <f t="shared" si="86"/>
        <v>-4.3225753464602801E-3</v>
      </c>
      <c r="N657" s="13">
        <f t="shared" si="87"/>
        <v>6.9831572192841345E-3</v>
      </c>
      <c r="O657" s="13">
        <f t="shared" si="88"/>
        <v>-2.4346306322649571E-3</v>
      </c>
    </row>
    <row r="658" spans="1:15" x14ac:dyDescent="0.35">
      <c r="A658" s="2">
        <v>45890</v>
      </c>
      <c r="B658">
        <v>224.68218994140619</v>
      </c>
      <c r="C658">
        <v>968.31005859375</v>
      </c>
      <c r="D658">
        <v>176.50553894042969</v>
      </c>
      <c r="E658">
        <v>288.75729370117188</v>
      </c>
      <c r="F658">
        <v>74.988410949707031</v>
      </c>
      <c r="G658">
        <v>157.6277160644531</v>
      </c>
      <c r="H658">
        <v>6370.169921875</v>
      </c>
      <c r="I658" s="13">
        <f t="shared" si="82"/>
        <v>-4.9233527642000017E-3</v>
      </c>
      <c r="J658" s="13">
        <f t="shared" si="83"/>
        <v>-2.534438535113161E-2</v>
      </c>
      <c r="K658" s="13">
        <f t="shared" si="84"/>
        <v>5.0317533747177765E-4</v>
      </c>
      <c r="L658" s="13">
        <f t="shared" si="85"/>
        <v>-2.6382418505536158E-3</v>
      </c>
      <c r="M658" s="13">
        <f t="shared" si="86"/>
        <v>-1.3135286833731144E-3</v>
      </c>
      <c r="N658" s="13">
        <f t="shared" si="87"/>
        <v>-4.9019613696312343E-3</v>
      </c>
      <c r="O658" s="13">
        <f t="shared" si="88"/>
        <v>-4.0122197289511226E-3</v>
      </c>
    </row>
    <row r="659" spans="1:15" x14ac:dyDescent="0.35">
      <c r="A659" s="2">
        <v>45891</v>
      </c>
      <c r="B659">
        <v>227.53941345214841</v>
      </c>
      <c r="C659">
        <v>957.185791015625</v>
      </c>
      <c r="D659">
        <v>176.86065673828119</v>
      </c>
      <c r="E659">
        <v>293.48287963867188</v>
      </c>
      <c r="F659">
        <v>75.224960327148438</v>
      </c>
      <c r="G659">
        <v>157.56813049316409</v>
      </c>
      <c r="H659">
        <v>6466.91015625</v>
      </c>
      <c r="I659" s="13">
        <f t="shared" si="82"/>
        <v>1.2636554777214086E-2</v>
      </c>
      <c r="J659" s="13">
        <f t="shared" si="83"/>
        <v>-1.1554832850677771E-2</v>
      </c>
      <c r="K659" s="13">
        <f t="shared" si="84"/>
        <v>2.009914483860167E-3</v>
      </c>
      <c r="L659" s="13">
        <f t="shared" si="85"/>
        <v>1.6232784753507722E-2</v>
      </c>
      <c r="M659" s="13">
        <f t="shared" si="86"/>
        <v>3.1495142005945457E-3</v>
      </c>
      <c r="N659" s="13">
        <f t="shared" si="87"/>
        <v>-3.7808602270351471E-4</v>
      </c>
      <c r="O659" s="13">
        <f t="shared" si="88"/>
        <v>1.5072285158779139E-2</v>
      </c>
    </row>
    <row r="660" spans="1:15" x14ac:dyDescent="0.35">
      <c r="A660" s="2">
        <v>45894</v>
      </c>
      <c r="B660">
        <v>226.94000244140619</v>
      </c>
      <c r="C660">
        <v>940.24981689453125</v>
      </c>
      <c r="D660">
        <v>175.9925842285156</v>
      </c>
      <c r="E660">
        <v>292.15536499023438</v>
      </c>
      <c r="F660">
        <v>74.23931884765625</v>
      </c>
      <c r="G660">
        <v>155.06562805175781</v>
      </c>
      <c r="H660">
        <v>6439.31982421875</v>
      </c>
      <c r="I660" s="13">
        <f t="shared" si="82"/>
        <v>-2.6377932083889808E-3</v>
      </c>
      <c r="J660" s="13">
        <f t="shared" si="83"/>
        <v>-1.785190899354459E-2</v>
      </c>
      <c r="K660" s="13">
        <f t="shared" si="84"/>
        <v>-4.9203133783629208E-3</v>
      </c>
      <c r="L660" s="13">
        <f t="shared" si="85"/>
        <v>-4.5335731890605866E-3</v>
      </c>
      <c r="M660" s="13">
        <f t="shared" si="86"/>
        <v>-1.3189181695559025E-2</v>
      </c>
      <c r="N660" s="13">
        <f t="shared" si="87"/>
        <v>-1.6009505198635698E-2</v>
      </c>
      <c r="O660" s="13">
        <f t="shared" si="88"/>
        <v>-4.2755125396463194E-3</v>
      </c>
    </row>
    <row r="661" spans="1:15" x14ac:dyDescent="0.35">
      <c r="A661" s="2">
        <v>45895</v>
      </c>
      <c r="B661">
        <v>229.0879211425781</v>
      </c>
      <c r="C661">
        <v>940.0101318359375</v>
      </c>
      <c r="D661">
        <v>175.37651062011719</v>
      </c>
      <c r="E661">
        <v>295.79122924804688</v>
      </c>
      <c r="F661">
        <v>73.766197204589844</v>
      </c>
      <c r="G661">
        <v>154.88688659667969</v>
      </c>
      <c r="H661">
        <v>6465.93994140625</v>
      </c>
      <c r="I661" s="13">
        <f t="shared" si="82"/>
        <v>9.4201888696588687E-3</v>
      </c>
      <c r="J661" s="13">
        <f t="shared" si="83"/>
        <v>-2.5494885433674085E-4</v>
      </c>
      <c r="K661" s="13">
        <f t="shared" si="84"/>
        <v>-3.5067070425463232E-3</v>
      </c>
      <c r="L661" s="13">
        <f t="shared" si="85"/>
        <v>1.2368166231321837E-2</v>
      </c>
      <c r="M661" s="13">
        <f t="shared" si="86"/>
        <v>-6.3933192118377866E-3</v>
      </c>
      <c r="N661" s="13">
        <f t="shared" si="87"/>
        <v>-1.1533474738509967E-3</v>
      </c>
      <c r="O661" s="13">
        <f t="shared" si="88"/>
        <v>4.12547371011636E-3</v>
      </c>
    </row>
    <row r="662" spans="1:15" x14ac:dyDescent="0.35">
      <c r="A662" s="2">
        <v>45896</v>
      </c>
      <c r="B662">
        <v>230.26678466796881</v>
      </c>
      <c r="C662">
        <v>948.1785888671875</v>
      </c>
      <c r="D662">
        <v>175.6745910644531</v>
      </c>
      <c r="E662">
        <v>296.49459838867188</v>
      </c>
      <c r="F662">
        <v>72.829833984375</v>
      </c>
      <c r="G662">
        <v>155.8700256347656</v>
      </c>
      <c r="H662">
        <v>6481.39990234375</v>
      </c>
      <c r="I662" s="13">
        <f t="shared" si="82"/>
        <v>5.1327050688324523E-3</v>
      </c>
      <c r="J662" s="13">
        <f t="shared" si="83"/>
        <v>8.6522156389866201E-3</v>
      </c>
      <c r="K662" s="13">
        <f t="shared" si="84"/>
        <v>1.6982172369934502E-3</v>
      </c>
      <c r="L662" s="13">
        <f t="shared" si="85"/>
        <v>2.3751014745021404E-3</v>
      </c>
      <c r="M662" s="13">
        <f t="shared" si="86"/>
        <v>-1.2774915487217712E-2</v>
      </c>
      <c r="N662" s="13">
        <f t="shared" si="87"/>
        <v>6.327404343847892E-3</v>
      </c>
      <c r="O662" s="13">
        <f t="shared" si="88"/>
        <v>2.3881304533030262E-3</v>
      </c>
    </row>
    <row r="663" spans="1:15" x14ac:dyDescent="0.35">
      <c r="A663" s="2">
        <v>45897</v>
      </c>
      <c r="B663">
        <v>232.33477783203119</v>
      </c>
      <c r="C663">
        <v>943.625</v>
      </c>
      <c r="D663">
        <v>174.34306335449219</v>
      </c>
      <c r="E663">
        <v>298.2679443359375</v>
      </c>
      <c r="F663">
        <v>71.605117797851563</v>
      </c>
      <c r="G663">
        <v>154.56910705566409</v>
      </c>
      <c r="H663">
        <v>6501.85986328125</v>
      </c>
      <c r="I663" s="13">
        <f t="shared" si="82"/>
        <v>8.9407693683251979E-3</v>
      </c>
      <c r="J663" s="13">
        <f t="shared" si="83"/>
        <v>-4.8140279340288727E-3</v>
      </c>
      <c r="K663" s="13">
        <f t="shared" si="84"/>
        <v>-7.6083826994265908E-3</v>
      </c>
      <c r="L663" s="13">
        <f t="shared" si="85"/>
        <v>5.963224227808068E-3</v>
      </c>
      <c r="M663" s="13">
        <f t="shared" si="86"/>
        <v>-1.6959129696347205E-2</v>
      </c>
      <c r="N663" s="13">
        <f t="shared" si="87"/>
        <v>-8.3811997734760564E-3</v>
      </c>
      <c r="O663" s="13">
        <f t="shared" si="88"/>
        <v>3.151747441466755E-3</v>
      </c>
    </row>
    <row r="664" spans="1:15" x14ac:dyDescent="0.35">
      <c r="A664" s="2">
        <v>45898</v>
      </c>
      <c r="B664">
        <v>231.91517639160159</v>
      </c>
      <c r="C664">
        <v>941.9873046875</v>
      </c>
      <c r="D664">
        <v>176.05220031738281</v>
      </c>
      <c r="E664">
        <v>298.61471557617188</v>
      </c>
      <c r="F664">
        <v>71.565399169921875</v>
      </c>
      <c r="G664">
        <v>155.94944763183591</v>
      </c>
      <c r="H664">
        <v>6460.259765625</v>
      </c>
      <c r="I664" s="13">
        <f t="shared" si="82"/>
        <v>-1.8076536179272853E-3</v>
      </c>
      <c r="J664" s="13">
        <f t="shared" si="83"/>
        <v>-1.7370439514174021E-3</v>
      </c>
      <c r="K664" s="13">
        <f t="shared" si="84"/>
        <v>9.7555571954174771E-3</v>
      </c>
      <c r="L664" s="13">
        <f t="shared" si="85"/>
        <v>1.1619412073398132E-3</v>
      </c>
      <c r="M664" s="13">
        <f t="shared" si="86"/>
        <v>-5.5484368974627525E-4</v>
      </c>
      <c r="N664" s="13">
        <f t="shared" si="87"/>
        <v>8.8906099007896103E-3</v>
      </c>
      <c r="O664" s="13">
        <f t="shared" si="88"/>
        <v>-6.4187404027925511E-3</v>
      </c>
    </row>
    <row r="665" spans="1:15" x14ac:dyDescent="0.35">
      <c r="A665" s="2">
        <v>45902</v>
      </c>
      <c r="B665">
        <v>229.4975280761719</v>
      </c>
      <c r="C665">
        <v>937.49371337890625</v>
      </c>
      <c r="D665">
        <v>176.93658447265619</v>
      </c>
      <c r="E665">
        <v>296.91070556640619</v>
      </c>
      <c r="F665">
        <v>72.161361694335938</v>
      </c>
      <c r="G665">
        <v>156.89286804199219</v>
      </c>
      <c r="H665">
        <v>6415.5400390625</v>
      </c>
      <c r="I665" s="13">
        <f t="shared" si="82"/>
        <v>-1.0479427277002538E-2</v>
      </c>
      <c r="J665" s="13">
        <f t="shared" si="83"/>
        <v>-4.781745415455862E-3</v>
      </c>
      <c r="K665" s="13">
        <f t="shared" si="84"/>
        <v>5.0108447851495968E-3</v>
      </c>
      <c r="L665" s="13">
        <f t="shared" si="85"/>
        <v>-5.722726855101232E-3</v>
      </c>
      <c r="M665" s="13">
        <f t="shared" si="86"/>
        <v>8.2930407171647926E-3</v>
      </c>
      <c r="N665" s="13">
        <f t="shared" si="87"/>
        <v>6.0313021784913698E-3</v>
      </c>
      <c r="O665" s="13">
        <f t="shared" si="88"/>
        <v>-6.9463500610303626E-3</v>
      </c>
    </row>
    <row r="666" spans="1:15" x14ac:dyDescent="0.35">
      <c r="A666" s="2">
        <v>45903</v>
      </c>
      <c r="B666">
        <v>238.23905944824219</v>
      </c>
      <c r="C666">
        <v>948.438232421875</v>
      </c>
      <c r="D666">
        <v>176.87696838378909</v>
      </c>
      <c r="E666">
        <v>296.72247314453119</v>
      </c>
      <c r="F666">
        <v>71.148216247558594</v>
      </c>
      <c r="G666">
        <v>157.07160949707031</v>
      </c>
      <c r="H666">
        <v>6448.259765625</v>
      </c>
      <c r="I666" s="13">
        <f t="shared" si="82"/>
        <v>3.7382362478189754E-2</v>
      </c>
      <c r="J666" s="13">
        <f t="shared" si="83"/>
        <v>1.160661383523107E-2</v>
      </c>
      <c r="K666" s="13">
        <f t="shared" si="84"/>
        <v>-3.369915536021276E-4</v>
      </c>
      <c r="L666" s="13">
        <f t="shared" si="85"/>
        <v>-6.3417084803867225E-4</v>
      </c>
      <c r="M666" s="13">
        <f t="shared" si="86"/>
        <v>-1.4139492150026347E-2</v>
      </c>
      <c r="N666" s="13">
        <f t="shared" si="87"/>
        <v>1.1386095381849784E-3</v>
      </c>
      <c r="O666" s="13">
        <f t="shared" si="88"/>
        <v>5.0871123029413079E-3</v>
      </c>
    </row>
    <row r="667" spans="1:15" x14ac:dyDescent="0.35">
      <c r="A667" s="2">
        <v>45904</v>
      </c>
      <c r="B667">
        <v>239.54777526855469</v>
      </c>
      <c r="C667">
        <v>954.549560546875</v>
      </c>
      <c r="D667">
        <v>177.6321716308594</v>
      </c>
      <c r="E667">
        <v>300.99237060546881</v>
      </c>
      <c r="F667">
        <v>70.393333435058594</v>
      </c>
      <c r="G667">
        <v>158.08453369140619</v>
      </c>
      <c r="H667">
        <v>6502.080078125</v>
      </c>
      <c r="I667" s="13">
        <f t="shared" si="82"/>
        <v>5.4782551474289055E-3</v>
      </c>
      <c r="J667" s="13">
        <f t="shared" si="83"/>
        <v>6.4228989351435666E-3</v>
      </c>
      <c r="K667" s="13">
        <f t="shared" si="84"/>
        <v>4.2605637159871569E-3</v>
      </c>
      <c r="L667" s="13">
        <f t="shared" si="85"/>
        <v>1.428764951153152E-2</v>
      </c>
      <c r="M667" s="13">
        <f t="shared" si="86"/>
        <v>-1.0666690757857025E-2</v>
      </c>
      <c r="N667" s="13">
        <f t="shared" si="87"/>
        <v>6.4281005089184412E-3</v>
      </c>
      <c r="O667" s="13">
        <f t="shared" si="88"/>
        <v>8.3118471028735715E-3</v>
      </c>
    </row>
    <row r="668" spans="1:15" x14ac:dyDescent="0.35">
      <c r="A668" s="2">
        <v>45905</v>
      </c>
      <c r="B668">
        <v>239.45787048339841</v>
      </c>
      <c r="C668">
        <v>962.11883544921875</v>
      </c>
      <c r="D668">
        <v>177.30424499511719</v>
      </c>
      <c r="E668">
        <v>291.64022827148438</v>
      </c>
      <c r="F668">
        <v>70.423133850097656</v>
      </c>
      <c r="G668">
        <v>158.90876770019531</v>
      </c>
      <c r="H668">
        <v>6481.5</v>
      </c>
      <c r="I668" s="13">
        <f t="shared" si="82"/>
        <v>-3.7538090420987611E-4</v>
      </c>
      <c r="J668" s="13">
        <f t="shared" si="83"/>
        <v>7.8984077462592485E-3</v>
      </c>
      <c r="K668" s="13">
        <f t="shared" si="84"/>
        <v>-1.8478054867693803E-3</v>
      </c>
      <c r="L668" s="13">
        <f t="shared" si="85"/>
        <v>-3.1563969947379249E-2</v>
      </c>
      <c r="M668" s="13">
        <f t="shared" si="86"/>
        <v>4.2325185482172109E-4</v>
      </c>
      <c r="N668" s="13">
        <f t="shared" si="87"/>
        <v>5.2003361754586102E-3</v>
      </c>
      <c r="O668" s="13">
        <f t="shared" si="88"/>
        <v>-3.1701726699367399E-3</v>
      </c>
    </row>
    <row r="669" spans="1:15" x14ac:dyDescent="0.35">
      <c r="A669" s="2">
        <v>45908</v>
      </c>
      <c r="B669">
        <v>237.6496276855469</v>
      </c>
      <c r="C669">
        <v>970.47698974609375</v>
      </c>
      <c r="D669">
        <v>177.00614929199219</v>
      </c>
      <c r="E669">
        <v>290.18389892578119</v>
      </c>
      <c r="F669">
        <v>69.300727844238281</v>
      </c>
      <c r="G669">
        <v>157.90577697753909</v>
      </c>
      <c r="H669">
        <v>6495.14990234375</v>
      </c>
      <c r="I669" s="13">
        <f t="shared" si="82"/>
        <v>-7.5800588456236212E-3</v>
      </c>
      <c r="J669" s="13">
        <f t="shared" si="83"/>
        <v>8.6497200286822541E-3</v>
      </c>
      <c r="K669" s="13">
        <f t="shared" si="84"/>
        <v>-1.682681503380014E-3</v>
      </c>
      <c r="L669" s="13">
        <f t="shared" si="85"/>
        <v>-5.0060914253723084E-3</v>
      </c>
      <c r="M669" s="13">
        <f t="shared" si="86"/>
        <v>-1.6066406066613571E-2</v>
      </c>
      <c r="N669" s="13">
        <f t="shared" si="87"/>
        <v>-6.3317425945811356E-3</v>
      </c>
      <c r="O669" s="13">
        <f t="shared" si="88"/>
        <v>2.1037644508885675E-3</v>
      </c>
    </row>
    <row r="670" spans="1:15" x14ac:dyDescent="0.35">
      <c r="A670" s="2">
        <v>45909</v>
      </c>
      <c r="B670">
        <v>234.123046875</v>
      </c>
      <c r="C670">
        <v>977.8665771484375</v>
      </c>
      <c r="D670">
        <v>175.8435363769531</v>
      </c>
      <c r="E670">
        <v>295.07791137695313</v>
      </c>
      <c r="F670">
        <v>69.598709106445313</v>
      </c>
      <c r="G670">
        <v>158.3526611328125</v>
      </c>
      <c r="H670">
        <v>6512.60986328125</v>
      </c>
      <c r="I670" s="13">
        <f t="shared" si="82"/>
        <v>-1.4950617910709941E-2</v>
      </c>
      <c r="J670" s="13">
        <f t="shared" si="83"/>
        <v>7.5855439063583011E-3</v>
      </c>
      <c r="K670" s="13">
        <f t="shared" si="84"/>
        <v>-6.5898719460340486E-3</v>
      </c>
      <c r="L670" s="13">
        <f t="shared" si="85"/>
        <v>1.67245716032241E-2</v>
      </c>
      <c r="M670" s="13">
        <f t="shared" si="86"/>
        <v>4.2906109036175127E-3</v>
      </c>
      <c r="N670" s="13">
        <f t="shared" si="87"/>
        <v>2.8260713318525449E-3</v>
      </c>
      <c r="O670" s="13">
        <f t="shared" si="88"/>
        <v>2.6845470300734414E-3</v>
      </c>
    </row>
    <row r="671" spans="1:15" x14ac:dyDescent="0.35">
      <c r="A671" s="2">
        <v>45910</v>
      </c>
      <c r="B671">
        <v>226.57035827636719</v>
      </c>
      <c r="C671">
        <v>954.93896484375</v>
      </c>
      <c r="D671">
        <v>174.680908203125</v>
      </c>
      <c r="E671">
        <v>297.74288940429688</v>
      </c>
      <c r="F671">
        <v>70.562187194824219</v>
      </c>
      <c r="G671">
        <v>156.25730895996091</v>
      </c>
      <c r="H671">
        <v>6532.0400390625</v>
      </c>
      <c r="I671" s="13">
        <f t="shared" si="82"/>
        <v>-3.2791289244217724E-2</v>
      </c>
      <c r="J671" s="13">
        <f t="shared" si="83"/>
        <v>-2.3725809264642024E-2</v>
      </c>
      <c r="K671" s="13">
        <f t="shared" si="84"/>
        <v>-6.6336739438142382E-3</v>
      </c>
      <c r="L671" s="13">
        <f t="shared" si="85"/>
        <v>8.990899023943533E-3</v>
      </c>
      <c r="M671" s="13">
        <f t="shared" si="86"/>
        <v>1.3748389030009587E-2</v>
      </c>
      <c r="N671" s="13">
        <f t="shared" si="87"/>
        <v>-1.3320513362822297E-2</v>
      </c>
      <c r="O671" s="13">
        <f t="shared" si="88"/>
        <v>2.9790282293981275E-3</v>
      </c>
    </row>
    <row r="672" spans="1:15" x14ac:dyDescent="0.35">
      <c r="A672" s="2">
        <v>45911</v>
      </c>
      <c r="B672">
        <v>229.8072204589844</v>
      </c>
      <c r="C672">
        <v>962.9576416015625</v>
      </c>
      <c r="D672">
        <v>177.3738098144531</v>
      </c>
      <c r="E672">
        <v>302.71615600585938</v>
      </c>
      <c r="F672">
        <v>70.840301513671875</v>
      </c>
      <c r="G672">
        <v>157.52842712402341</v>
      </c>
      <c r="H672">
        <v>6587.47021484375</v>
      </c>
      <c r="I672" s="13">
        <f t="shared" si="82"/>
        <v>1.4185256289725907E-2</v>
      </c>
      <c r="J672" s="13">
        <f t="shared" si="83"/>
        <v>8.361997674926713E-3</v>
      </c>
      <c r="K672" s="13">
        <f t="shared" si="84"/>
        <v>1.5298497618491056E-2</v>
      </c>
      <c r="L672" s="13">
        <f t="shared" si="85"/>
        <v>1.6565260742916432E-2</v>
      </c>
      <c r="M672" s="13">
        <f t="shared" si="86"/>
        <v>3.9336602913966796E-3</v>
      </c>
      <c r="N672" s="13">
        <f t="shared" si="87"/>
        <v>8.1018667894900472E-3</v>
      </c>
      <c r="O672" s="13">
        <f t="shared" si="88"/>
        <v>8.4500876230935648E-3</v>
      </c>
    </row>
    <row r="673" spans="1:15" x14ac:dyDescent="0.35">
      <c r="A673" s="2">
        <v>45912</v>
      </c>
      <c r="B673">
        <v>233.84332275390619</v>
      </c>
      <c r="C673">
        <v>966.53265380859375</v>
      </c>
      <c r="D673">
        <v>176.93658447265619</v>
      </c>
      <c r="E673">
        <v>304.0535888671875</v>
      </c>
      <c r="F673">
        <v>71.158149719238281</v>
      </c>
      <c r="G673">
        <v>156.80348205566409</v>
      </c>
      <c r="H673">
        <v>6584.2900390625</v>
      </c>
      <c r="I673" s="13">
        <f t="shared" si="82"/>
        <v>1.7410544677714249E-2</v>
      </c>
      <c r="J673" s="13">
        <f t="shared" si="83"/>
        <v>3.7056587498909628E-3</v>
      </c>
      <c r="K673" s="13">
        <f t="shared" si="84"/>
        <v>-2.4680369008783986E-3</v>
      </c>
      <c r="L673" s="13">
        <f t="shared" si="85"/>
        <v>4.4083774399679733E-3</v>
      </c>
      <c r="M673" s="13">
        <f t="shared" si="86"/>
        <v>4.4767915939511503E-3</v>
      </c>
      <c r="N673" s="13">
        <f t="shared" si="87"/>
        <v>-4.6126169983352451E-3</v>
      </c>
      <c r="O673" s="13">
        <f t="shared" si="88"/>
        <v>-4.8287788142832935E-4</v>
      </c>
    </row>
    <row r="674" spans="1:15" x14ac:dyDescent="0.35">
      <c r="A674" s="2">
        <v>45915</v>
      </c>
      <c r="B674">
        <v>236.47076416015619</v>
      </c>
      <c r="C674">
        <v>958.74359130859375</v>
      </c>
      <c r="D674">
        <v>176.28074645996091</v>
      </c>
      <c r="E674">
        <v>306.02505493164063</v>
      </c>
      <c r="F674">
        <v>71.019096374511719</v>
      </c>
      <c r="G674">
        <v>155.74092102050781</v>
      </c>
      <c r="H674">
        <v>6615.27978515625</v>
      </c>
      <c r="I674" s="13">
        <f t="shared" si="82"/>
        <v>1.1173251296468912E-2</v>
      </c>
      <c r="J674" s="13">
        <f t="shared" si="83"/>
        <v>-8.0914154695325043E-3</v>
      </c>
      <c r="K674" s="13">
        <f t="shared" si="84"/>
        <v>-3.7135140829067693E-3</v>
      </c>
      <c r="L674" s="13">
        <f t="shared" si="85"/>
        <v>6.4630124228058161E-3</v>
      </c>
      <c r="M674" s="13">
        <f t="shared" si="86"/>
        <v>-1.9560568640012237E-3</v>
      </c>
      <c r="N674" s="13">
        <f t="shared" si="87"/>
        <v>-6.7994506920320804E-3</v>
      </c>
      <c r="O674" s="13">
        <f t="shared" si="88"/>
        <v>4.695577726559718E-3</v>
      </c>
    </row>
    <row r="675" spans="1:15" x14ac:dyDescent="0.35">
      <c r="A675" s="2">
        <v>45916</v>
      </c>
      <c r="B675">
        <v>237.91935729980469</v>
      </c>
      <c r="C675">
        <v>950.7249755859375</v>
      </c>
      <c r="D675">
        <v>175.34669494628909</v>
      </c>
      <c r="E675">
        <v>306.31234741210938</v>
      </c>
      <c r="F675">
        <v>69.360328674316406</v>
      </c>
      <c r="G675">
        <v>156.95245361328119</v>
      </c>
      <c r="H675">
        <v>6606.759765625</v>
      </c>
      <c r="I675" s="13">
        <f t="shared" si="82"/>
        <v>6.1071998617643992E-3</v>
      </c>
      <c r="J675" s="13">
        <f t="shared" si="83"/>
        <v>-8.3988424822399078E-3</v>
      </c>
      <c r="K675" s="13">
        <f t="shared" si="84"/>
        <v>-5.3127463938741999E-3</v>
      </c>
      <c r="L675" s="13">
        <f t="shared" si="85"/>
        <v>9.3834706307053867E-4</v>
      </c>
      <c r="M675" s="13">
        <f t="shared" si="86"/>
        <v>-2.36337327650974E-2</v>
      </c>
      <c r="N675" s="13">
        <f t="shared" si="87"/>
        <v>7.7490522891715914E-3</v>
      </c>
      <c r="O675" s="13">
        <f t="shared" si="88"/>
        <v>-1.2887604333313247E-3</v>
      </c>
    </row>
    <row r="676" spans="1:15" x14ac:dyDescent="0.35">
      <c r="A676" s="2">
        <v>45917</v>
      </c>
      <c r="B676">
        <v>238.75856018066409</v>
      </c>
      <c r="C676">
        <v>961.66949462890625</v>
      </c>
      <c r="D676">
        <v>176.08201599121091</v>
      </c>
      <c r="E676">
        <v>308.84854125976563</v>
      </c>
      <c r="F676">
        <v>69.83709716796875</v>
      </c>
      <c r="G676">
        <v>159.21661376953119</v>
      </c>
      <c r="H676">
        <v>6600.35009765625</v>
      </c>
      <c r="I676" s="13">
        <f t="shared" si="82"/>
        <v>3.5210514987462998E-3</v>
      </c>
      <c r="J676" s="13">
        <f t="shared" si="83"/>
        <v>1.1446005205410453E-2</v>
      </c>
      <c r="K676" s="13">
        <f t="shared" si="84"/>
        <v>4.1847583599576325E-3</v>
      </c>
      <c r="L676" s="13">
        <f t="shared" si="85"/>
        <v>8.2456744706568066E-3</v>
      </c>
      <c r="M676" s="13">
        <f t="shared" si="86"/>
        <v>6.8502755015769192E-3</v>
      </c>
      <c r="N676" s="13">
        <f t="shared" si="87"/>
        <v>1.4322709559666136E-2</v>
      </c>
      <c r="O676" s="13">
        <f t="shared" si="88"/>
        <v>-9.7063907824438648E-4</v>
      </c>
    </row>
    <row r="677" spans="1:15" x14ac:dyDescent="0.35">
      <c r="A677" s="2">
        <v>45918</v>
      </c>
      <c r="B677">
        <v>237.6496276855469</v>
      </c>
      <c r="C677">
        <v>951.0145263671875</v>
      </c>
      <c r="D677">
        <v>173.06120300292969</v>
      </c>
      <c r="E677">
        <v>310.31478881835938</v>
      </c>
      <c r="F677">
        <v>70.313873291015625</v>
      </c>
      <c r="G677">
        <v>156.22752380371091</v>
      </c>
      <c r="H677">
        <v>6631.9599609375</v>
      </c>
      <c r="I677" s="13">
        <f t="shared" si="82"/>
        <v>-4.6553964694921379E-3</v>
      </c>
      <c r="J677" s="13">
        <f t="shared" si="83"/>
        <v>-1.1141493695616267E-2</v>
      </c>
      <c r="K677" s="13">
        <f t="shared" si="84"/>
        <v>-1.7304579926242101E-2</v>
      </c>
      <c r="L677" s="13">
        <f t="shared" si="85"/>
        <v>4.7362310662004727E-3</v>
      </c>
      <c r="M677" s="13">
        <f t="shared" si="86"/>
        <v>6.8037768229892905E-3</v>
      </c>
      <c r="N677" s="13">
        <f t="shared" si="87"/>
        <v>-1.8952195201000856E-2</v>
      </c>
      <c r="O677" s="13">
        <f t="shared" si="88"/>
        <v>4.7776878367082627E-3</v>
      </c>
    </row>
    <row r="678" spans="1:15" x14ac:dyDescent="0.35">
      <c r="A678" s="2">
        <v>45919</v>
      </c>
      <c r="B678">
        <v>245.2622375488281</v>
      </c>
      <c r="C678">
        <v>949.81622314453125</v>
      </c>
      <c r="D678">
        <v>175.0783996582031</v>
      </c>
      <c r="E678">
        <v>311.850341796875</v>
      </c>
      <c r="F678">
        <v>70.601921081542969</v>
      </c>
      <c r="G678">
        <v>154.9563903808594</v>
      </c>
      <c r="H678">
        <v>6664.35986328125</v>
      </c>
      <c r="I678" s="13">
        <f t="shared" si="82"/>
        <v>3.1530559054439522E-2</v>
      </c>
      <c r="J678" s="13">
        <f t="shared" si="83"/>
        <v>-1.2608207034804505E-3</v>
      </c>
      <c r="K678" s="13">
        <f t="shared" si="84"/>
        <v>1.1588565131510534E-2</v>
      </c>
      <c r="L678" s="13">
        <f t="shared" si="85"/>
        <v>4.9361689392847701E-3</v>
      </c>
      <c r="M678" s="13">
        <f t="shared" si="86"/>
        <v>4.0882314577103535E-3</v>
      </c>
      <c r="N678" s="13">
        <f t="shared" si="87"/>
        <v>-8.1697056625066825E-3</v>
      </c>
      <c r="O678" s="13">
        <f t="shared" si="88"/>
        <v>4.8735239374811772E-3</v>
      </c>
    </row>
    <row r="679" spans="1:15" x14ac:dyDescent="0.35">
      <c r="A679" s="2">
        <v>45922</v>
      </c>
      <c r="B679">
        <v>255.83198547363281</v>
      </c>
      <c r="C679">
        <v>941.92742919921875</v>
      </c>
      <c r="D679">
        <v>173.11088562011719</v>
      </c>
      <c r="E679">
        <v>309.5321044921875</v>
      </c>
      <c r="F679">
        <v>71.863372802734375</v>
      </c>
      <c r="G679">
        <v>152.00703430175781</v>
      </c>
      <c r="H679">
        <v>6693.75</v>
      </c>
      <c r="I679" s="13">
        <f t="shared" si="82"/>
        <v>4.2192926809499605E-2</v>
      </c>
      <c r="J679" s="13">
        <f t="shared" si="83"/>
        <v>-8.3402840172520001E-3</v>
      </c>
      <c r="K679" s="13">
        <f t="shared" si="84"/>
        <v>-1.1301525135153529E-2</v>
      </c>
      <c r="L679" s="13">
        <f t="shared" si="85"/>
        <v>-7.4615820714518137E-3</v>
      </c>
      <c r="M679" s="13">
        <f t="shared" si="86"/>
        <v>1.7709361414580998E-2</v>
      </c>
      <c r="N679" s="13">
        <f t="shared" si="87"/>
        <v>-1.9216926874180543E-2</v>
      </c>
      <c r="O679" s="13">
        <f t="shared" si="88"/>
        <v>4.4003507147622909E-3</v>
      </c>
    </row>
    <row r="680" spans="1:15" x14ac:dyDescent="0.35">
      <c r="A680" s="2">
        <v>45923</v>
      </c>
      <c r="B680">
        <v>254.18359375</v>
      </c>
      <c r="C680">
        <v>942.26690673828125</v>
      </c>
      <c r="D680">
        <v>175.46592712402341</v>
      </c>
      <c r="E680">
        <v>309.82931518554688</v>
      </c>
      <c r="F680">
        <v>71.833580017089844</v>
      </c>
      <c r="G680">
        <v>151.44097900390619</v>
      </c>
      <c r="H680">
        <v>6656.919921875</v>
      </c>
      <c r="I680" s="13">
        <f t="shared" si="82"/>
        <v>-6.4641063158507933E-3</v>
      </c>
      <c r="J680" s="13">
        <f t="shared" si="83"/>
        <v>3.6034238747131479E-4</v>
      </c>
      <c r="K680" s="13">
        <f t="shared" si="84"/>
        <v>1.3512530101332413E-2</v>
      </c>
      <c r="L680" s="13">
        <f t="shared" si="85"/>
        <v>9.5973273997955065E-4</v>
      </c>
      <c r="M680" s="13">
        <f t="shared" si="86"/>
        <v>-4.1466134788232818E-4</v>
      </c>
      <c r="N680" s="13">
        <f t="shared" si="87"/>
        <v>-3.7308265640968561E-3</v>
      </c>
      <c r="O680" s="13">
        <f t="shared" si="88"/>
        <v>-5.5173518287397211E-3</v>
      </c>
    </row>
    <row r="681" spans="1:15" x14ac:dyDescent="0.35">
      <c r="A681" s="2">
        <v>45924</v>
      </c>
      <c r="B681">
        <v>252.0656433105469</v>
      </c>
      <c r="C681">
        <v>943.9345703125</v>
      </c>
      <c r="D681">
        <v>175.57524108886719</v>
      </c>
      <c r="E681">
        <v>310.50302124023438</v>
      </c>
      <c r="F681">
        <v>73.333427429199219</v>
      </c>
      <c r="G681">
        <v>151.3615417480469</v>
      </c>
      <c r="H681">
        <v>6637.97021484375</v>
      </c>
      <c r="I681" s="13">
        <f t="shared" si="82"/>
        <v>-8.3672730390041989E-3</v>
      </c>
      <c r="J681" s="13">
        <f t="shared" si="83"/>
        <v>1.7682777042085237E-3</v>
      </c>
      <c r="K681" s="13">
        <f t="shared" si="84"/>
        <v>6.2279856766465967E-4</v>
      </c>
      <c r="L681" s="13">
        <f t="shared" si="85"/>
        <v>2.1720818986952391E-3</v>
      </c>
      <c r="M681" s="13">
        <f t="shared" si="86"/>
        <v>2.0664485826456771E-2</v>
      </c>
      <c r="N681" s="13">
        <f t="shared" si="87"/>
        <v>-5.2468029317834306E-4</v>
      </c>
      <c r="O681" s="13">
        <f t="shared" si="88"/>
        <v>-2.8506771652953692E-3</v>
      </c>
    </row>
    <row r="682" spans="1:15" x14ac:dyDescent="0.35">
      <c r="A682" s="2">
        <v>45925</v>
      </c>
      <c r="B682">
        <v>256.6212158203125</v>
      </c>
      <c r="C682">
        <v>941.97735595703125</v>
      </c>
      <c r="D682">
        <v>176.6086730957031</v>
      </c>
      <c r="E682">
        <v>310.53274536132813</v>
      </c>
      <c r="F682">
        <v>74.147911071777344</v>
      </c>
      <c r="G682">
        <v>151.0934143066406</v>
      </c>
      <c r="H682">
        <v>6604.72021484375</v>
      </c>
      <c r="I682" s="13">
        <f t="shared" si="82"/>
        <v>1.7911586361791701E-2</v>
      </c>
      <c r="J682" s="13">
        <f t="shared" si="83"/>
        <v>-2.0756166084703654E-3</v>
      </c>
      <c r="K682" s="13">
        <f t="shared" si="84"/>
        <v>5.8687233080568007E-3</v>
      </c>
      <c r="L682" s="13">
        <f t="shared" si="85"/>
        <v>9.5724345407934575E-5</v>
      </c>
      <c r="M682" s="13">
        <f t="shared" si="86"/>
        <v>1.1045355723180675E-2</v>
      </c>
      <c r="N682" s="13">
        <f t="shared" si="87"/>
        <v>-1.7730078894611062E-3</v>
      </c>
      <c r="O682" s="13">
        <f t="shared" si="88"/>
        <v>-5.021648742526333E-3</v>
      </c>
    </row>
    <row r="683" spans="1:15" x14ac:dyDescent="0.35">
      <c r="A683" s="2">
        <v>45926</v>
      </c>
      <c r="B683">
        <v>255.21260070800781</v>
      </c>
      <c r="C683">
        <v>914.656005859375</v>
      </c>
      <c r="D683">
        <v>178.57618713378909</v>
      </c>
      <c r="E683">
        <v>313.118408203125</v>
      </c>
      <c r="F683">
        <v>75.339836120605469</v>
      </c>
      <c r="G683">
        <v>151.44097900390619</v>
      </c>
      <c r="H683">
        <v>6643.7001953125</v>
      </c>
      <c r="I683" s="13">
        <f t="shared" si="82"/>
        <v>-5.5042032125608214E-3</v>
      </c>
      <c r="J683" s="13">
        <f t="shared" si="83"/>
        <v>-2.9433191317081057E-2</v>
      </c>
      <c r="K683" s="13">
        <f t="shared" si="84"/>
        <v>1.1078930344076402E-2</v>
      </c>
      <c r="L683" s="13">
        <f t="shared" si="85"/>
        <v>8.2920640569299174E-3</v>
      </c>
      <c r="M683" s="13">
        <f t="shared" si="86"/>
        <v>1.5947130531778538E-2</v>
      </c>
      <c r="N683" s="13">
        <f t="shared" si="87"/>
        <v>2.2976881826395727E-3</v>
      </c>
      <c r="O683" s="13">
        <f t="shared" si="88"/>
        <v>5.8844891304135121E-3</v>
      </c>
    </row>
    <row r="684" spans="1:15" x14ac:dyDescent="0.35">
      <c r="A684" s="2">
        <v>45929</v>
      </c>
      <c r="B684">
        <v>254.18359375</v>
      </c>
      <c r="C684">
        <v>915.57470703125</v>
      </c>
      <c r="D684">
        <v>180.47412109375</v>
      </c>
      <c r="E684">
        <v>312.75189208984381</v>
      </c>
      <c r="F684">
        <v>75.697410583496094</v>
      </c>
      <c r="G684">
        <v>152.4638366699219</v>
      </c>
      <c r="H684">
        <v>6661.2099609375</v>
      </c>
      <c r="I684" s="13">
        <f t="shared" si="82"/>
        <v>-4.0401101102266737E-3</v>
      </c>
      <c r="J684" s="13">
        <f t="shared" si="83"/>
        <v>1.0039185142769755E-3</v>
      </c>
      <c r="K684" s="13">
        <f t="shared" si="84"/>
        <v>1.0572065216950876E-2</v>
      </c>
      <c r="L684" s="13">
        <f t="shared" si="85"/>
        <v>-1.1712207944913325E-3</v>
      </c>
      <c r="M684" s="13">
        <f t="shared" si="86"/>
        <v>4.7349264998872553E-3</v>
      </c>
      <c r="N684" s="13">
        <f t="shared" si="87"/>
        <v>6.7314598230529014E-3</v>
      </c>
      <c r="O684" s="13">
        <f t="shared" si="88"/>
        <v>2.6320772599126188E-3</v>
      </c>
    </row>
    <row r="685" spans="1:15" x14ac:dyDescent="0.35">
      <c r="A685" s="2">
        <v>45930</v>
      </c>
      <c r="B685">
        <v>254.38340759277341</v>
      </c>
      <c r="C685">
        <v>924.32232666015625</v>
      </c>
      <c r="D685">
        <v>184.2501525878906</v>
      </c>
      <c r="E685">
        <v>312.49429321289063</v>
      </c>
      <c r="F685">
        <v>74.982254028320313</v>
      </c>
      <c r="G685">
        <v>152.58299255371091</v>
      </c>
      <c r="H685">
        <v>6688.4599609375</v>
      </c>
      <c r="I685" s="13">
        <f t="shared" si="82"/>
        <v>7.8579165587785006E-4</v>
      </c>
      <c r="J685" s="13">
        <f t="shared" si="83"/>
        <v>9.5088859660558203E-3</v>
      </c>
      <c r="K685" s="13">
        <f t="shared" si="84"/>
        <v>2.0706965173751216E-2</v>
      </c>
      <c r="L685" s="13">
        <f t="shared" si="85"/>
        <v>-8.2399188538339187E-4</v>
      </c>
      <c r="M685" s="13">
        <f t="shared" si="86"/>
        <v>-9.4924809803995681E-3</v>
      </c>
      <c r="N685" s="13">
        <f t="shared" si="87"/>
        <v>7.8123014851550529E-4</v>
      </c>
      <c r="O685" s="13">
        <f t="shared" si="88"/>
        <v>4.0825036135079193E-3</v>
      </c>
    </row>
    <row r="686" spans="1:15" x14ac:dyDescent="0.35">
      <c r="A686" s="2">
        <v>45931</v>
      </c>
      <c r="B686">
        <v>255.2026062011719</v>
      </c>
      <c r="C686">
        <v>916.0440673828125</v>
      </c>
      <c r="D686">
        <v>184.8761901855469</v>
      </c>
      <c r="E686">
        <v>307.8182373046875</v>
      </c>
      <c r="F686">
        <v>78.140869140625</v>
      </c>
      <c r="G686">
        <v>152.11625671386719</v>
      </c>
      <c r="H686">
        <v>6711.2001953125</v>
      </c>
      <c r="I686" s="13">
        <f t="shared" si="82"/>
        <v>3.2151561931077449E-3</v>
      </c>
      <c r="J686" s="13">
        <f t="shared" si="83"/>
        <v>-8.9963771750423728E-3</v>
      </c>
      <c r="K686" s="13">
        <f t="shared" si="84"/>
        <v>3.3919995695809537E-3</v>
      </c>
      <c r="L686" s="13">
        <f t="shared" si="85"/>
        <v>-1.5076737138863313E-2</v>
      </c>
      <c r="M686" s="13">
        <f t="shared" si="86"/>
        <v>4.1261739846156539E-2</v>
      </c>
      <c r="N686" s="13">
        <f t="shared" si="87"/>
        <v>-3.0635861822022993E-3</v>
      </c>
      <c r="O686" s="13">
        <f t="shared" si="88"/>
        <v>3.3941541712235066E-3</v>
      </c>
    </row>
    <row r="687" spans="1:15" x14ac:dyDescent="0.35">
      <c r="A687" s="2">
        <v>45932</v>
      </c>
      <c r="B687">
        <v>256.8809814453125</v>
      </c>
      <c r="C687">
        <v>915.474853515625</v>
      </c>
      <c r="D687">
        <v>184.80662536621091</v>
      </c>
      <c r="E687">
        <v>304.6876220703125</v>
      </c>
      <c r="F687">
        <v>77.654167175292969</v>
      </c>
      <c r="G687">
        <v>150.9941101074219</v>
      </c>
      <c r="H687">
        <v>6715.35009765625</v>
      </c>
      <c r="I687" s="13">
        <f t="shared" si="82"/>
        <v>6.5551066057451691E-3</v>
      </c>
      <c r="J687" s="13">
        <f t="shared" si="83"/>
        <v>-6.2157576317573102E-4</v>
      </c>
      <c r="K687" s="13">
        <f t="shared" si="84"/>
        <v>-3.7634868179225691E-4</v>
      </c>
      <c r="L687" s="13">
        <f t="shared" si="85"/>
        <v>-1.0222408318983953E-2</v>
      </c>
      <c r="M687" s="13">
        <f t="shared" si="86"/>
        <v>-6.2479981409116038E-3</v>
      </c>
      <c r="N687" s="13">
        <f t="shared" si="87"/>
        <v>-7.4042451587155644E-3</v>
      </c>
      <c r="O687" s="13">
        <f t="shared" si="88"/>
        <v>6.1816362138424476E-4</v>
      </c>
    </row>
    <row r="688" spans="1:15" x14ac:dyDescent="0.35">
      <c r="A688" s="2">
        <v>45933</v>
      </c>
      <c r="B688">
        <v>257.77011108398438</v>
      </c>
      <c r="C688">
        <v>914.0867919921875</v>
      </c>
      <c r="D688">
        <v>187.44984436035159</v>
      </c>
      <c r="E688">
        <v>307.14456176757813</v>
      </c>
      <c r="F688">
        <v>79.521514892578125</v>
      </c>
      <c r="G688">
        <v>151.21258544921881</v>
      </c>
      <c r="H688">
        <v>6715.7900390625</v>
      </c>
      <c r="I688" s="13">
        <f t="shared" si="82"/>
        <v>3.455274986035184E-3</v>
      </c>
      <c r="J688" s="13">
        <f t="shared" si="83"/>
        <v>-1.5173708884530616E-3</v>
      </c>
      <c r="K688" s="13">
        <f t="shared" si="84"/>
        <v>1.4201302768345558E-2</v>
      </c>
      <c r="L688" s="13">
        <f t="shared" si="85"/>
        <v>8.0314601588345903E-3</v>
      </c>
      <c r="M688" s="13">
        <f t="shared" si="86"/>
        <v>2.3762398338282878E-2</v>
      </c>
      <c r="N688" s="13">
        <f t="shared" si="87"/>
        <v>1.4458672363647531E-3</v>
      </c>
      <c r="O688" s="13">
        <f t="shared" si="88"/>
        <v>6.5510656865871701E-5</v>
      </c>
    </row>
    <row r="689" spans="1:15" x14ac:dyDescent="0.35">
      <c r="A689" s="2">
        <v>45936</v>
      </c>
      <c r="B689">
        <v>256.44140625</v>
      </c>
      <c r="C689">
        <v>909.653076171875</v>
      </c>
      <c r="D689">
        <v>186.9728698730469</v>
      </c>
      <c r="E689">
        <v>307.7916259765625</v>
      </c>
      <c r="F689">
        <v>81.557731628417969</v>
      </c>
      <c r="G689">
        <v>149.3655090332031</v>
      </c>
      <c r="H689">
        <v>6740.27978515625</v>
      </c>
      <c r="I689" s="13">
        <f t="shared" si="82"/>
        <v>-5.1679425543989634E-3</v>
      </c>
      <c r="J689" s="13">
        <f t="shared" si="83"/>
        <v>-4.8622335154392092E-3</v>
      </c>
      <c r="K689" s="13">
        <f t="shared" si="84"/>
        <v>-2.5477874454996581E-3</v>
      </c>
      <c r="L689" s="13">
        <f t="shared" si="85"/>
        <v>2.1044929886881755E-3</v>
      </c>
      <c r="M689" s="13">
        <f t="shared" si="86"/>
        <v>2.5283520387806648E-2</v>
      </c>
      <c r="N689" s="13">
        <f t="shared" si="87"/>
        <v>-1.2290314565299009E-2</v>
      </c>
      <c r="O689" s="13">
        <f t="shared" si="88"/>
        <v>3.6399592827626292E-3</v>
      </c>
    </row>
    <row r="690" spans="1:15" x14ac:dyDescent="0.35">
      <c r="A690" s="2">
        <v>45937</v>
      </c>
      <c r="B690">
        <v>256.23162841796881</v>
      </c>
      <c r="C690">
        <v>913.50762939453125</v>
      </c>
      <c r="D690">
        <v>187.69825744628909</v>
      </c>
      <c r="E690">
        <v>306.30831909179688</v>
      </c>
      <c r="F690">
        <v>82.65032958984375</v>
      </c>
      <c r="G690">
        <v>151.48069763183591</v>
      </c>
      <c r="H690">
        <v>6714.58984375</v>
      </c>
      <c r="I690" s="13">
        <f t="shared" si="82"/>
        <v>-8.1836893908375995E-4</v>
      </c>
      <c r="J690" s="13">
        <f t="shared" si="83"/>
        <v>4.2284357643995844E-3</v>
      </c>
      <c r="K690" s="13">
        <f t="shared" si="84"/>
        <v>3.8721343956706874E-3</v>
      </c>
      <c r="L690" s="13">
        <f t="shared" si="85"/>
        <v>-4.8308415636290989E-3</v>
      </c>
      <c r="M690" s="13">
        <f t="shared" si="86"/>
        <v>1.3307679022331906E-2</v>
      </c>
      <c r="N690" s="13">
        <f t="shared" si="87"/>
        <v>1.406182564744122E-2</v>
      </c>
      <c r="O690" s="13">
        <f t="shared" si="88"/>
        <v>-3.818687706853079E-3</v>
      </c>
    </row>
    <row r="691" spans="1:15" x14ac:dyDescent="0.35">
      <c r="A691" s="2">
        <v>45938</v>
      </c>
      <c r="B691">
        <v>257.81008911132813</v>
      </c>
      <c r="C691">
        <v>913.50762939453125</v>
      </c>
      <c r="D691">
        <v>188.49322509765619</v>
      </c>
      <c r="E691">
        <v>302.66476440429688</v>
      </c>
      <c r="F691">
        <v>83.474754333496094</v>
      </c>
      <c r="G691">
        <v>149.6435546875</v>
      </c>
      <c r="H691">
        <v>6753.72021484375</v>
      </c>
      <c r="I691" s="13">
        <f t="shared" si="82"/>
        <v>6.1413912556951061E-3</v>
      </c>
      <c r="J691" s="13">
        <f t="shared" si="83"/>
        <v>0</v>
      </c>
      <c r="K691" s="13">
        <f t="shared" si="84"/>
        <v>4.2264052834661212E-3</v>
      </c>
      <c r="L691" s="13">
        <f t="shared" si="85"/>
        <v>-1.1966368511402248E-2</v>
      </c>
      <c r="M691" s="13">
        <f t="shared" si="86"/>
        <v>9.9254307934464239E-3</v>
      </c>
      <c r="N691" s="13">
        <f t="shared" si="87"/>
        <v>-1.2202044335271195E-2</v>
      </c>
      <c r="O691" s="13">
        <f t="shared" si="88"/>
        <v>5.8107484941873231E-3</v>
      </c>
    </row>
    <row r="692" spans="1:15" x14ac:dyDescent="0.35">
      <c r="A692" s="2">
        <v>45939</v>
      </c>
      <c r="B692">
        <v>253.79396057128909</v>
      </c>
      <c r="C692">
        <v>941.55792236328125</v>
      </c>
      <c r="D692">
        <v>189.87445068359381</v>
      </c>
      <c r="E692">
        <v>304.15802001953119</v>
      </c>
      <c r="F692">
        <v>83.146965026855469</v>
      </c>
      <c r="G692">
        <v>149.53431701660159</v>
      </c>
      <c r="H692">
        <v>6735.10986328125</v>
      </c>
      <c r="I692" s="13">
        <f t="shared" si="82"/>
        <v>-1.570046617777043E-2</v>
      </c>
      <c r="J692" s="13">
        <f t="shared" si="83"/>
        <v>3.0244139957057881E-2</v>
      </c>
      <c r="K692" s="13">
        <f t="shared" si="84"/>
        <v>7.3010027537795284E-3</v>
      </c>
      <c r="L692" s="13">
        <f t="shared" si="85"/>
        <v>4.9215641458213149E-3</v>
      </c>
      <c r="M692" s="13">
        <f t="shared" si="86"/>
        <v>-3.9345378353211405E-3</v>
      </c>
      <c r="N692" s="13">
        <f t="shared" si="87"/>
        <v>-7.302523754889736E-4</v>
      </c>
      <c r="O692" s="13">
        <f t="shared" si="88"/>
        <v>-2.7593739802789824E-3</v>
      </c>
    </row>
    <row r="693" spans="1:15" x14ac:dyDescent="0.35">
      <c r="A693" s="2">
        <v>45940</v>
      </c>
      <c r="B693">
        <v>245.032470703125</v>
      </c>
      <c r="C693">
        <v>928.6961669921875</v>
      </c>
      <c r="D693">
        <v>189.5167236328125</v>
      </c>
      <c r="E693">
        <v>299.53887939453119</v>
      </c>
      <c r="F693">
        <v>82.789390563964844</v>
      </c>
      <c r="G693">
        <v>148.65049743652341</v>
      </c>
      <c r="H693">
        <v>6552.509765625</v>
      </c>
      <c r="I693" s="13">
        <f t="shared" si="82"/>
        <v>-3.5132023736664408E-2</v>
      </c>
      <c r="J693" s="13">
        <f t="shared" si="83"/>
        <v>-1.3754236077515365E-2</v>
      </c>
      <c r="K693" s="13">
        <f t="shared" si="84"/>
        <v>-1.8857958804078627E-3</v>
      </c>
      <c r="L693" s="13">
        <f t="shared" si="85"/>
        <v>-1.5303145582070327E-2</v>
      </c>
      <c r="M693" s="13">
        <f t="shared" si="86"/>
        <v>-4.3097850991165015E-3</v>
      </c>
      <c r="N693" s="13">
        <f t="shared" si="87"/>
        <v>-5.9280159515639405E-3</v>
      </c>
      <c r="O693" s="13">
        <f t="shared" si="88"/>
        <v>-2.7485975439899807E-2</v>
      </c>
    </row>
    <row r="694" spans="1:15" x14ac:dyDescent="0.35">
      <c r="A694" s="2">
        <v>45943</v>
      </c>
      <c r="B694">
        <v>247.42015075683591</v>
      </c>
      <c r="C694">
        <v>934.23828125</v>
      </c>
      <c r="D694">
        <v>189.69557189941409</v>
      </c>
      <c r="E694">
        <v>306.58706665039063</v>
      </c>
      <c r="F694">
        <v>83.733001708984375</v>
      </c>
      <c r="G694">
        <v>146.46577453613281</v>
      </c>
      <c r="H694">
        <v>6654.72021484375</v>
      </c>
      <c r="I694" s="13">
        <f t="shared" si="82"/>
        <v>9.697171504895576E-3</v>
      </c>
      <c r="J694" s="13">
        <f t="shared" si="83"/>
        <v>5.9498933124968829E-3</v>
      </c>
      <c r="K694" s="13">
        <f t="shared" si="84"/>
        <v>9.4326203010548814E-4</v>
      </c>
      <c r="L694" s="13">
        <f t="shared" si="85"/>
        <v>2.3257558942261468E-2</v>
      </c>
      <c r="M694" s="13">
        <f t="shared" si="86"/>
        <v>1.1333265540222117E-2</v>
      </c>
      <c r="N694" s="13">
        <f t="shared" si="87"/>
        <v>-1.4806115549507544E-2</v>
      </c>
      <c r="O694" s="13">
        <f t="shared" si="88"/>
        <v>1.5478263036934031E-2</v>
      </c>
    </row>
    <row r="695" spans="1:15" x14ac:dyDescent="0.35">
      <c r="A695" s="2">
        <v>45944</v>
      </c>
      <c r="B695">
        <v>247.53004455566409</v>
      </c>
      <c r="C695">
        <v>945.1728515625</v>
      </c>
      <c r="D695">
        <v>189.6459045410156</v>
      </c>
      <c r="E695">
        <v>300.7235107421875</v>
      </c>
      <c r="F695">
        <v>84.070716857910156</v>
      </c>
      <c r="G695">
        <v>148.1241760253906</v>
      </c>
      <c r="H695">
        <v>6644.31005859375</v>
      </c>
      <c r="I695" s="13">
        <f t="shared" si="82"/>
        <v>4.4406003543302855E-4</v>
      </c>
      <c r="J695" s="13">
        <f t="shared" si="83"/>
        <v>1.1636297670940311E-2</v>
      </c>
      <c r="K695" s="13">
        <f t="shared" si="84"/>
        <v>-2.6186094464732465E-4</v>
      </c>
      <c r="L695" s="13">
        <f t="shared" si="85"/>
        <v>-1.9310508768573289E-2</v>
      </c>
      <c r="M695" s="13">
        <f t="shared" si="86"/>
        <v>4.0251265916106203E-3</v>
      </c>
      <c r="N695" s="13">
        <f t="shared" si="87"/>
        <v>1.1259168926402713E-2</v>
      </c>
      <c r="O695" s="13">
        <f t="shared" si="88"/>
        <v>-1.5655514969425701E-3</v>
      </c>
    </row>
    <row r="696" spans="1:15" x14ac:dyDescent="0.35">
      <c r="A696" s="2">
        <v>45945</v>
      </c>
      <c r="B696">
        <v>249.09852600097659</v>
      </c>
      <c r="C696">
        <v>953.64080810546875</v>
      </c>
      <c r="D696">
        <v>189.96388244628909</v>
      </c>
      <c r="E696">
        <v>304.31729125976563</v>
      </c>
      <c r="F696">
        <v>85.212982177734375</v>
      </c>
      <c r="G696">
        <v>146.39625549316409</v>
      </c>
      <c r="H696">
        <v>6671.06005859375</v>
      </c>
      <c r="I696" s="13">
        <f t="shared" si="82"/>
        <v>6.3165381668474005E-3</v>
      </c>
      <c r="J696" s="13">
        <f t="shared" si="83"/>
        <v>8.9192666564357828E-3</v>
      </c>
      <c r="K696" s="13">
        <f t="shared" si="84"/>
        <v>1.6752886281809647E-3</v>
      </c>
      <c r="L696" s="13">
        <f t="shared" si="85"/>
        <v>1.1879604714082873E-2</v>
      </c>
      <c r="M696" s="13">
        <f t="shared" si="86"/>
        <v>1.3495483177962474E-2</v>
      </c>
      <c r="N696" s="13">
        <f t="shared" si="87"/>
        <v>-1.1733925208516249E-2</v>
      </c>
      <c r="O696" s="13">
        <f t="shared" si="88"/>
        <v>4.0179185034279787E-3</v>
      </c>
    </row>
    <row r="697" spans="1:15" x14ac:dyDescent="0.35">
      <c r="A697" s="2">
        <v>45946</v>
      </c>
      <c r="B697">
        <v>247.2103576660156</v>
      </c>
      <c r="C697">
        <v>924.31231689453125</v>
      </c>
      <c r="D697">
        <v>190.90788269042969</v>
      </c>
      <c r="E697">
        <v>297.19940185546881</v>
      </c>
      <c r="F697">
        <v>84.477958679199219</v>
      </c>
      <c r="G697">
        <v>148.5611267089844</v>
      </c>
      <c r="H697">
        <v>6629.06982421875</v>
      </c>
      <c r="I697" s="13">
        <f t="shared" si="82"/>
        <v>-7.6088803030732819E-3</v>
      </c>
      <c r="J697" s="13">
        <f t="shared" si="83"/>
        <v>-3.1237069302346977E-2</v>
      </c>
      <c r="K697" s="13">
        <f t="shared" si="84"/>
        <v>4.957060426015179E-3</v>
      </c>
      <c r="L697" s="13">
        <f t="shared" si="85"/>
        <v>-2.36675781149111E-2</v>
      </c>
      <c r="M697" s="13">
        <f t="shared" si="86"/>
        <v>-8.6631389015290015E-3</v>
      </c>
      <c r="N697" s="13">
        <f t="shared" si="87"/>
        <v>1.4679477249632266E-2</v>
      </c>
      <c r="O697" s="13">
        <f t="shared" si="88"/>
        <v>-6.3142802751419754E-3</v>
      </c>
    </row>
    <row r="698" spans="1:15" x14ac:dyDescent="0.35">
      <c r="A698" s="2">
        <v>45947</v>
      </c>
      <c r="B698">
        <v>252.045654296875</v>
      </c>
      <c r="C698">
        <v>935.0072021484375</v>
      </c>
      <c r="D698">
        <v>192.0009460449219</v>
      </c>
      <c r="E698">
        <v>296.22381591796881</v>
      </c>
      <c r="F698">
        <v>83.961456298828125</v>
      </c>
      <c r="G698">
        <v>150.34861755371091</v>
      </c>
      <c r="H698">
        <v>6664.009765625</v>
      </c>
      <c r="I698" s="13">
        <f t="shared" si="82"/>
        <v>1.9370614298066767E-2</v>
      </c>
      <c r="J698" s="13">
        <f t="shared" si="83"/>
        <v>1.1504212263699546E-2</v>
      </c>
      <c r="K698" s="13">
        <f t="shared" si="84"/>
        <v>5.7092772042427655E-3</v>
      </c>
      <c r="L698" s="13">
        <f t="shared" si="85"/>
        <v>-3.2879967860902693E-3</v>
      </c>
      <c r="M698" s="13">
        <f t="shared" si="86"/>
        <v>-6.1328163518476484E-3</v>
      </c>
      <c r="N698" s="13">
        <f t="shared" si="87"/>
        <v>1.1960213321075479E-2</v>
      </c>
      <c r="O698" s="13">
        <f t="shared" si="88"/>
        <v>5.2568739445262996E-3</v>
      </c>
    </row>
    <row r="699" spans="1:15" x14ac:dyDescent="0.35">
      <c r="A699" s="2">
        <v>45950</v>
      </c>
      <c r="B699">
        <v>261.98602294921881</v>
      </c>
      <c r="C699">
        <v>934.7874755859375</v>
      </c>
      <c r="D699">
        <v>192.49778747558591</v>
      </c>
      <c r="E699">
        <v>301.00222778320313</v>
      </c>
      <c r="F699">
        <v>84.199836730957031</v>
      </c>
      <c r="G699">
        <v>150.90473937988281</v>
      </c>
      <c r="H699">
        <v>6735.1298828125</v>
      </c>
      <c r="I699" s="13">
        <f t="shared" si="82"/>
        <v>3.8680915868748368E-2</v>
      </c>
      <c r="J699" s="13">
        <f t="shared" si="83"/>
        <v>-2.3502747775246767E-4</v>
      </c>
      <c r="K699" s="13">
        <f t="shared" si="84"/>
        <v>2.58436069552275E-3</v>
      </c>
      <c r="L699" s="13">
        <f t="shared" si="85"/>
        <v>1.6002362538462697E-2</v>
      </c>
      <c r="M699" s="13">
        <f t="shared" si="86"/>
        <v>2.8351422317197681E-3</v>
      </c>
      <c r="N699" s="13">
        <f t="shared" si="87"/>
        <v>3.6920581636273276E-3</v>
      </c>
      <c r="O699" s="13">
        <f t="shared" si="88"/>
        <v>1.0615724136144117E-2</v>
      </c>
    </row>
    <row r="700" spans="1:15" x14ac:dyDescent="0.35">
      <c r="A700" s="2">
        <v>45951</v>
      </c>
      <c r="B700">
        <v>262.5155029296875</v>
      </c>
      <c r="C700">
        <v>936.175537109375</v>
      </c>
      <c r="D700">
        <v>190.6694030761719</v>
      </c>
      <c r="E700">
        <v>295.75592041015619</v>
      </c>
      <c r="F700">
        <v>83.425086975097656</v>
      </c>
      <c r="G700">
        <v>150.56709289550781</v>
      </c>
      <c r="H700">
        <v>6735.35009765625</v>
      </c>
      <c r="I700" s="13">
        <f t="shared" si="82"/>
        <v>2.01898425153774E-3</v>
      </c>
      <c r="J700" s="13">
        <f t="shared" si="83"/>
        <v>1.4837939271777495E-3</v>
      </c>
      <c r="K700" s="13">
        <f t="shared" si="84"/>
        <v>-9.5436056216601298E-3</v>
      </c>
      <c r="L700" s="13">
        <f t="shared" si="85"/>
        <v>-1.7583145043448857E-2</v>
      </c>
      <c r="M700" s="13">
        <f t="shared" si="86"/>
        <v>-9.2439149928767381E-3</v>
      </c>
      <c r="N700" s="13">
        <f t="shared" si="87"/>
        <v>-2.2399878821599585E-3</v>
      </c>
      <c r="O700" s="13">
        <f t="shared" si="88"/>
        <v>3.2695916416987967E-5</v>
      </c>
    </row>
    <row r="701" spans="1:15" x14ac:dyDescent="0.35">
      <c r="A701" s="2">
        <v>45952</v>
      </c>
      <c r="B701">
        <v>258.19970703125</v>
      </c>
      <c r="C701">
        <v>943.34539794921875</v>
      </c>
      <c r="D701">
        <v>191.72271728515619</v>
      </c>
      <c r="E701">
        <v>292.78927612304688</v>
      </c>
      <c r="F701">
        <v>82.282814025878906</v>
      </c>
      <c r="G701">
        <v>151.14306640625</v>
      </c>
      <c r="H701">
        <v>6699.39990234375</v>
      </c>
      <c r="I701" s="13">
        <f t="shared" si="82"/>
        <v>-1.6576795313851589E-2</v>
      </c>
      <c r="J701" s="13">
        <f t="shared" si="83"/>
        <v>7.6294926918532083E-3</v>
      </c>
      <c r="K701" s="13">
        <f t="shared" si="84"/>
        <v>5.509092980284771E-3</v>
      </c>
      <c r="L701" s="13">
        <f t="shared" si="85"/>
        <v>-1.0081364797520575E-2</v>
      </c>
      <c r="M701" s="13">
        <f t="shared" si="86"/>
        <v>-1.3786802385117933E-2</v>
      </c>
      <c r="N701" s="13">
        <f t="shared" si="87"/>
        <v>3.8180630825816009E-3</v>
      </c>
      <c r="O701" s="13">
        <f t="shared" si="88"/>
        <v>-5.351834774743029E-3</v>
      </c>
    </row>
    <row r="702" spans="1:15" x14ac:dyDescent="0.35">
      <c r="A702" s="2">
        <v>45953</v>
      </c>
      <c r="B702">
        <v>259.32858276367188</v>
      </c>
      <c r="C702">
        <v>940.7191162109375</v>
      </c>
      <c r="D702">
        <v>191.25567626953119</v>
      </c>
      <c r="E702">
        <v>293.21737670898438</v>
      </c>
      <c r="F702">
        <v>82.6900634765625</v>
      </c>
      <c r="G702">
        <v>151.15299987792969</v>
      </c>
      <c r="H702">
        <v>6738.43994140625</v>
      </c>
      <c r="I702" s="13">
        <f t="shared" si="82"/>
        <v>4.3625731967996571E-3</v>
      </c>
      <c r="J702" s="13">
        <f t="shared" si="83"/>
        <v>-2.7878911996606737E-3</v>
      </c>
      <c r="K702" s="13">
        <f t="shared" si="84"/>
        <v>-2.4389952801977307E-3</v>
      </c>
      <c r="L702" s="13">
        <f t="shared" si="85"/>
        <v>1.4610778223279168E-3</v>
      </c>
      <c r="M702" s="13">
        <f t="shared" si="86"/>
        <v>4.9371785726115072E-3</v>
      </c>
      <c r="N702" s="13">
        <f t="shared" si="87"/>
        <v>6.5720151805947127E-5</v>
      </c>
      <c r="O702" s="13">
        <f t="shared" si="88"/>
        <v>5.8104798620133855E-3</v>
      </c>
    </row>
    <row r="703" spans="1:15" x14ac:dyDescent="0.35">
      <c r="A703" s="2">
        <v>45954</v>
      </c>
      <c r="B703">
        <v>262.56549072265619</v>
      </c>
      <c r="C703">
        <v>930.8231201171875</v>
      </c>
      <c r="D703">
        <v>189.19873046875</v>
      </c>
      <c r="E703">
        <v>299.09088134765619</v>
      </c>
      <c r="F703">
        <v>83.842262268066406</v>
      </c>
      <c r="G703">
        <v>152.49000549316409</v>
      </c>
      <c r="H703">
        <v>6791.68994140625</v>
      </c>
      <c r="I703" s="13">
        <f t="shared" si="82"/>
        <v>1.2404622431380557E-2</v>
      </c>
      <c r="J703" s="13">
        <f t="shared" si="83"/>
        <v>-1.0575329939334839E-2</v>
      </c>
      <c r="K703" s="13">
        <f t="shared" si="84"/>
        <v>-1.0813205507663589E-2</v>
      </c>
      <c r="L703" s="13">
        <f t="shared" si="85"/>
        <v>1.9833244226501335E-2</v>
      </c>
      <c r="M703" s="13">
        <f t="shared" si="86"/>
        <v>1.3837759989132295E-2</v>
      </c>
      <c r="N703" s="13">
        <f t="shared" si="87"/>
        <v>8.8064880958451507E-3</v>
      </c>
      <c r="O703" s="13">
        <f t="shared" si="88"/>
        <v>7.8713619752448557E-3</v>
      </c>
    </row>
    <row r="704" spans="1:15" x14ac:dyDescent="0.35">
      <c r="A704" s="2">
        <v>45957</v>
      </c>
      <c r="B704">
        <v>268.54965209960938</v>
      </c>
      <c r="C704">
        <v>928.53631591796875</v>
      </c>
      <c r="D704">
        <v>189.099365234375</v>
      </c>
      <c r="E704">
        <v>302.78421020507813</v>
      </c>
      <c r="F704">
        <v>85.451362609863281</v>
      </c>
      <c r="G704">
        <v>151.74000549316409</v>
      </c>
      <c r="H704">
        <v>6875.16015625</v>
      </c>
      <c r="I704" s="13">
        <f t="shared" si="82"/>
        <v>2.2535281491603942E-2</v>
      </c>
      <c r="J704" s="13">
        <f t="shared" si="83"/>
        <v>-2.4597776071976223E-3</v>
      </c>
      <c r="K704" s="13">
        <f t="shared" si="84"/>
        <v>-5.2532771266246422E-4</v>
      </c>
      <c r="L704" s="13">
        <f t="shared" si="85"/>
        <v>1.2272896047032496E-2</v>
      </c>
      <c r="M704" s="13">
        <f t="shared" si="86"/>
        <v>1.9010152349353961E-2</v>
      </c>
      <c r="N704" s="13">
        <f t="shared" si="87"/>
        <v>-4.930490038941855E-3</v>
      </c>
      <c r="O704" s="13">
        <f t="shared" si="88"/>
        <v>1.2215141327379352E-2</v>
      </c>
    </row>
    <row r="705" spans="1:15" x14ac:dyDescent="0.35">
      <c r="A705" s="2">
        <v>45958</v>
      </c>
      <c r="B705">
        <v>268.73947143554688</v>
      </c>
      <c r="C705">
        <v>922.8543701171875</v>
      </c>
      <c r="D705">
        <v>185.75062561035159</v>
      </c>
      <c r="E705">
        <v>303.98876953125</v>
      </c>
      <c r="F705">
        <v>83.007911682128906</v>
      </c>
      <c r="G705">
        <v>151.3699951171875</v>
      </c>
      <c r="H705">
        <v>6890.89013671875</v>
      </c>
      <c r="I705" s="13">
        <f t="shared" si="82"/>
        <v>7.0658174722014065E-4</v>
      </c>
      <c r="J705" s="13">
        <f t="shared" si="83"/>
        <v>-6.1380492868178659E-3</v>
      </c>
      <c r="K705" s="13">
        <f t="shared" si="84"/>
        <v>-1.7867567270943487E-2</v>
      </c>
      <c r="L705" s="13">
        <f t="shared" si="85"/>
        <v>3.9703841429435741E-3</v>
      </c>
      <c r="M705" s="13">
        <f t="shared" si="86"/>
        <v>-2.9011430992008341E-2</v>
      </c>
      <c r="N705" s="13">
        <f t="shared" si="87"/>
        <v>-2.4414275940804306E-3</v>
      </c>
      <c r="O705" s="13">
        <f t="shared" si="88"/>
        <v>2.2853305022299255E-3</v>
      </c>
    </row>
    <row r="706" spans="1:15" x14ac:dyDescent="0.35">
      <c r="A706" s="2">
        <v>45959</v>
      </c>
      <c r="B706">
        <v>269.43881225585938</v>
      </c>
      <c r="C706">
        <v>911.1309814453125</v>
      </c>
      <c r="D706">
        <v>185.42271423339841</v>
      </c>
      <c r="E706">
        <v>304.13812255859381</v>
      </c>
      <c r="F706">
        <v>81.210090637207031</v>
      </c>
      <c r="G706">
        <v>148.77000427246091</v>
      </c>
      <c r="H706">
        <v>6890.58984375</v>
      </c>
      <c r="I706" s="13">
        <f t="shared" si="82"/>
        <v>2.5989202282576647E-3</v>
      </c>
      <c r="J706" s="13">
        <f t="shared" si="83"/>
        <v>-1.2784778618134955E-2</v>
      </c>
      <c r="K706" s="13">
        <f t="shared" si="84"/>
        <v>-1.7668912449380987E-3</v>
      </c>
      <c r="L706" s="13">
        <f t="shared" si="85"/>
        <v>4.9119034954489863E-4</v>
      </c>
      <c r="M706" s="13">
        <f t="shared" si="86"/>
        <v>-2.1896416347218402E-2</v>
      </c>
      <c r="N706" s="13">
        <f t="shared" si="87"/>
        <v>-1.7325620629291365E-2</v>
      </c>
      <c r="O706" s="13">
        <f t="shared" si="88"/>
        <v>-4.3579204733175357E-5</v>
      </c>
    </row>
    <row r="707" spans="1:15" x14ac:dyDescent="0.35">
      <c r="A707" s="2">
        <v>45960</v>
      </c>
      <c r="B707">
        <v>271.13714599609381</v>
      </c>
      <c r="C707">
        <v>918.8800048828125</v>
      </c>
      <c r="D707">
        <v>187.85725402832031</v>
      </c>
      <c r="E707">
        <v>308.05047607421881</v>
      </c>
      <c r="F707">
        <v>81.090888977050781</v>
      </c>
      <c r="G707">
        <v>149.58000183105469</v>
      </c>
      <c r="H707">
        <v>6822.33984375</v>
      </c>
      <c r="I707" s="13">
        <f t="shared" si="82"/>
        <v>6.2834438049241262E-3</v>
      </c>
      <c r="J707" s="13">
        <f t="shared" si="83"/>
        <v>8.4688778481542479E-3</v>
      </c>
      <c r="K707" s="13">
        <f t="shared" si="84"/>
        <v>1.3044226971426157E-2</v>
      </c>
      <c r="L707" s="13">
        <f t="shared" si="85"/>
        <v>1.2781704162049792E-2</v>
      </c>
      <c r="M707" s="13">
        <f t="shared" si="86"/>
        <v>-1.4688966372549178E-3</v>
      </c>
      <c r="N707" s="13">
        <f t="shared" si="87"/>
        <v>5.429861117111699E-3</v>
      </c>
      <c r="O707" s="13">
        <f t="shared" si="88"/>
        <v>-9.9541914245345111E-3</v>
      </c>
    </row>
    <row r="708" spans="1:15" x14ac:dyDescent="0.35">
      <c r="A708" s="2">
        <v>45961</v>
      </c>
      <c r="B708">
        <v>270.108154296875</v>
      </c>
      <c r="C708">
        <v>911.45001220703125</v>
      </c>
      <c r="D708">
        <v>187.67839050292969</v>
      </c>
      <c r="E708">
        <v>309.722900390625</v>
      </c>
      <c r="F708">
        <v>80.852508544921875</v>
      </c>
      <c r="G708">
        <v>150.3699951171875</v>
      </c>
      <c r="H708">
        <v>6840.2001953125</v>
      </c>
      <c r="I708" s="13">
        <f t="shared" si="82"/>
        <v>-3.8023163929242227E-3</v>
      </c>
      <c r="J708" s="13">
        <f t="shared" si="83"/>
        <v>-8.1187910579503114E-3</v>
      </c>
      <c r="K708" s="13">
        <f t="shared" si="84"/>
        <v>-9.5257822537203152E-4</v>
      </c>
      <c r="L708" s="13">
        <f t="shared" si="85"/>
        <v>5.4143751277583637E-3</v>
      </c>
      <c r="M708" s="13">
        <f t="shared" si="86"/>
        <v>-2.9439990508955283E-3</v>
      </c>
      <c r="N708" s="13">
        <f t="shared" si="87"/>
        <v>5.2675120574141397E-3</v>
      </c>
      <c r="O708" s="13">
        <f t="shared" si="88"/>
        <v>2.6145009178832708E-3</v>
      </c>
    </row>
    <row r="709" spans="1:15" x14ac:dyDescent="0.35">
      <c r="A709" s="2">
        <v>45964</v>
      </c>
      <c r="B709">
        <v>268.7894287109375</v>
      </c>
      <c r="C709">
        <v>928.03997802734375</v>
      </c>
      <c r="D709">
        <v>185.08485412597659</v>
      </c>
      <c r="E709">
        <v>307.96087646484381</v>
      </c>
      <c r="F709">
        <v>81.229949951171875</v>
      </c>
      <c r="G709">
        <v>148.02000427246091</v>
      </c>
      <c r="H709">
        <v>6851.97021484375</v>
      </c>
      <c r="I709" s="13">
        <f t="shared" ref="I709:I755" si="89">LN(B709/B708)</f>
        <v>-4.8941700975957455E-3</v>
      </c>
      <c r="J709" s="13">
        <f t="shared" ref="J709:J755" si="90">LN(C709/C708)</f>
        <v>1.8038060257228528E-2</v>
      </c>
      <c r="K709" s="13">
        <f t="shared" ref="K709:K755" si="91">LN(D709/D708)</f>
        <v>-1.3915418244557257E-2</v>
      </c>
      <c r="L709" s="13">
        <f t="shared" ref="L709:L755" si="92">LN(E709/E708)</f>
        <v>-5.7052775912844857E-3</v>
      </c>
      <c r="M709" s="13">
        <f t="shared" ref="M709:M755" si="93">LN(F709/F708)</f>
        <v>4.6574082355721469E-3</v>
      </c>
      <c r="N709" s="13">
        <f t="shared" ref="N709:N755" si="94">LN(G709/G708)</f>
        <v>-1.5751462428844013E-2</v>
      </c>
      <c r="O709" s="13">
        <f t="shared" ref="O709:O755" si="95">LN(H709/H708)</f>
        <v>1.7192339969181521E-3</v>
      </c>
    </row>
    <row r="710" spans="1:15" x14ac:dyDescent="0.35">
      <c r="A710" s="2">
        <v>45965</v>
      </c>
      <c r="B710">
        <v>269.77847290039063</v>
      </c>
      <c r="C710">
        <v>940.739990234375</v>
      </c>
      <c r="D710">
        <v>185.68107604980469</v>
      </c>
      <c r="E710">
        <v>307.861328125</v>
      </c>
      <c r="F710">
        <v>81.140556335449219</v>
      </c>
      <c r="G710">
        <v>147.16999816894531</v>
      </c>
      <c r="H710">
        <v>6771.5498046875</v>
      </c>
      <c r="I710" s="13">
        <f t="shared" si="89"/>
        <v>3.6728713253906245E-3</v>
      </c>
      <c r="J710" s="13">
        <f t="shared" si="90"/>
        <v>1.3591977590484959E-2</v>
      </c>
      <c r="K710" s="13">
        <f t="shared" si="91"/>
        <v>3.216166261419877E-3</v>
      </c>
      <c r="L710" s="13">
        <f t="shared" si="92"/>
        <v>-3.2330221277812989E-4</v>
      </c>
      <c r="M710" s="13">
        <f t="shared" si="93"/>
        <v>-1.1011066824766693E-3</v>
      </c>
      <c r="N710" s="13">
        <f t="shared" si="94"/>
        <v>-5.7590598991429116E-3</v>
      </c>
      <c r="O710" s="13">
        <f t="shared" si="95"/>
        <v>-1.1806250392326715E-2</v>
      </c>
    </row>
    <row r="711" spans="1:15" x14ac:dyDescent="0.35">
      <c r="A711" s="2">
        <v>45966</v>
      </c>
      <c r="B711">
        <v>269.87838745117188</v>
      </c>
      <c r="C711">
        <v>935.030029296875</v>
      </c>
      <c r="D711">
        <v>184.82649230957031</v>
      </c>
      <c r="E711">
        <v>310.2803955078125</v>
      </c>
      <c r="F711">
        <v>81.587532043457031</v>
      </c>
      <c r="G711">
        <v>145.78999328613281</v>
      </c>
      <c r="H711">
        <v>6796.2900390625</v>
      </c>
      <c r="I711" s="13">
        <f t="shared" si="89"/>
        <v>3.7028919398077734E-4</v>
      </c>
      <c r="J711" s="13">
        <f t="shared" si="90"/>
        <v>-6.0881435516193351E-3</v>
      </c>
      <c r="K711" s="13">
        <f t="shared" si="91"/>
        <v>-4.6130515470829917E-3</v>
      </c>
      <c r="L711" s="13">
        <f t="shared" si="92"/>
        <v>7.8269420744744994E-3</v>
      </c>
      <c r="M711" s="13">
        <f t="shared" si="93"/>
        <v>5.4935424678923973E-3</v>
      </c>
      <c r="N711" s="13">
        <f t="shared" si="94"/>
        <v>-9.4211846691563891E-3</v>
      </c>
      <c r="O711" s="13">
        <f t="shared" si="95"/>
        <v>3.6468976756877185E-3</v>
      </c>
    </row>
    <row r="712" spans="1:15" x14ac:dyDescent="0.35">
      <c r="A712" s="2">
        <v>45967</v>
      </c>
      <c r="B712">
        <v>269.50872802734381</v>
      </c>
      <c r="C712">
        <v>923.58001708984375</v>
      </c>
      <c r="D712">
        <v>185.7903747558594</v>
      </c>
      <c r="E712">
        <v>312.01260375976563</v>
      </c>
      <c r="F712">
        <v>81.448471069335938</v>
      </c>
      <c r="G712">
        <v>146.1300048828125</v>
      </c>
      <c r="H712">
        <v>6720.31982421875</v>
      </c>
      <c r="I712" s="13">
        <f t="shared" si="89"/>
        <v>-1.3706648568128294E-3</v>
      </c>
      <c r="J712" s="13">
        <f t="shared" si="90"/>
        <v>-1.2321204314053332E-2</v>
      </c>
      <c r="K712" s="13">
        <f t="shared" si="91"/>
        <v>5.2015151233375957E-3</v>
      </c>
      <c r="L712" s="13">
        <f t="shared" si="92"/>
        <v>5.5671933572871051E-3</v>
      </c>
      <c r="M712" s="13">
        <f t="shared" si="93"/>
        <v>-1.7058932406237343E-3</v>
      </c>
      <c r="N712" s="13">
        <f t="shared" si="94"/>
        <v>2.3294858356302569E-3</v>
      </c>
      <c r="O712" s="13">
        <f t="shared" si="95"/>
        <v>-1.1241134514722728E-2</v>
      </c>
    </row>
    <row r="713" spans="1:15" x14ac:dyDescent="0.35">
      <c r="A713" s="2">
        <v>45968</v>
      </c>
      <c r="B713">
        <v>268.20999145507813</v>
      </c>
      <c r="C713">
        <v>922.739990234375</v>
      </c>
      <c r="D713">
        <v>185.3929138183594</v>
      </c>
      <c r="E713">
        <v>312.79904174804688</v>
      </c>
      <c r="F713">
        <v>83.365486145019531</v>
      </c>
      <c r="G713">
        <v>146.97999572753909</v>
      </c>
      <c r="H713">
        <v>6728.7998046875</v>
      </c>
      <c r="I713" s="13">
        <f t="shared" si="89"/>
        <v>-4.8305519247429946E-3</v>
      </c>
      <c r="J713" s="13">
        <f t="shared" si="90"/>
        <v>-9.0994725735364917E-4</v>
      </c>
      <c r="K713" s="13">
        <f t="shared" si="91"/>
        <v>-2.1415893529929449E-3</v>
      </c>
      <c r="L713" s="13">
        <f t="shared" si="92"/>
        <v>2.5173615416658325E-3</v>
      </c>
      <c r="M713" s="13">
        <f t="shared" si="93"/>
        <v>2.3263825049450935E-2</v>
      </c>
      <c r="N713" s="13">
        <f t="shared" si="94"/>
        <v>5.7998241316807178E-3</v>
      </c>
      <c r="O713" s="13">
        <f t="shared" si="95"/>
        <v>1.2610463474931072E-3</v>
      </c>
    </row>
    <row r="714" spans="1:15" x14ac:dyDescent="0.35">
      <c r="A714" s="2">
        <v>45971</v>
      </c>
      <c r="B714">
        <v>269.42999267578119</v>
      </c>
      <c r="C714">
        <v>915.55999755859375</v>
      </c>
      <c r="D714">
        <v>187.22129821777341</v>
      </c>
      <c r="E714">
        <v>315.46701049804688</v>
      </c>
      <c r="F714">
        <v>84.199836730957031</v>
      </c>
      <c r="G714">
        <v>145.5</v>
      </c>
      <c r="H714">
        <v>6832.43017578125</v>
      </c>
      <c r="I714" s="13">
        <f t="shared" si="89"/>
        <v>4.538365265673327E-3</v>
      </c>
      <c r="J714" s="13">
        <f t="shared" si="90"/>
        <v>-7.8115968387209925E-3</v>
      </c>
      <c r="K714" s="13">
        <f t="shared" si="91"/>
        <v>9.8138987458645868E-3</v>
      </c>
      <c r="L714" s="13">
        <f t="shared" si="92"/>
        <v>8.4931687078374889E-3</v>
      </c>
      <c r="M714" s="13">
        <f t="shared" si="93"/>
        <v>9.9585936644588698E-3</v>
      </c>
      <c r="N714" s="13">
        <f t="shared" si="94"/>
        <v>-1.0120407420862693E-2</v>
      </c>
      <c r="O714" s="13">
        <f t="shared" si="95"/>
        <v>1.5283626703501816E-2</v>
      </c>
    </row>
    <row r="715" spans="1:15" x14ac:dyDescent="0.35">
      <c r="A715" s="2">
        <v>45972</v>
      </c>
      <c r="B715">
        <v>275.25</v>
      </c>
      <c r="C715">
        <v>913.8599853515625</v>
      </c>
      <c r="D715">
        <v>192.60710144042969</v>
      </c>
      <c r="E715">
        <v>314.20269775390619</v>
      </c>
      <c r="F715">
        <v>85.183181762695313</v>
      </c>
      <c r="G715">
        <v>148.53999328613281</v>
      </c>
      <c r="H715">
        <v>6846.60986328125</v>
      </c>
      <c r="I715" s="13">
        <f t="shared" si="89"/>
        <v>2.137118643594664E-2</v>
      </c>
      <c r="J715" s="13">
        <f t="shared" si="90"/>
        <v>-1.8585264316006668E-3</v>
      </c>
      <c r="K715" s="13">
        <f t="shared" si="91"/>
        <v>2.836104002719804E-2</v>
      </c>
      <c r="L715" s="13">
        <f t="shared" si="92"/>
        <v>-4.0158020202239004E-3</v>
      </c>
      <c r="M715" s="13">
        <f t="shared" si="93"/>
        <v>1.1611035014291471E-2</v>
      </c>
      <c r="N715" s="13">
        <f t="shared" si="94"/>
        <v>2.0678150430550199E-2</v>
      </c>
      <c r="O715" s="13">
        <f t="shared" si="95"/>
        <v>2.0731999523923177E-3</v>
      </c>
    </row>
    <row r="716" spans="1:15" x14ac:dyDescent="0.35">
      <c r="A716" s="2">
        <v>45973</v>
      </c>
      <c r="B716">
        <v>273.47000122070313</v>
      </c>
      <c r="C716">
        <v>914</v>
      </c>
      <c r="D716">
        <v>193.16355895996091</v>
      </c>
      <c r="E716">
        <v>318.97119140625</v>
      </c>
      <c r="F716">
        <v>85.312309265136719</v>
      </c>
      <c r="G716">
        <v>148.00999450683591</v>
      </c>
      <c r="H716">
        <v>6850.919921875</v>
      </c>
      <c r="I716" s="13">
        <f t="shared" si="89"/>
        <v>-6.4878445071940788E-3</v>
      </c>
      <c r="J716" s="13">
        <f t="shared" si="90"/>
        <v>1.5320062787454187E-4</v>
      </c>
      <c r="K716" s="13">
        <f t="shared" si="91"/>
        <v>2.8849156381728506E-3</v>
      </c>
      <c r="L716" s="13">
        <f t="shared" si="92"/>
        <v>1.5062477746664374E-2</v>
      </c>
      <c r="M716" s="13">
        <f t="shared" si="93"/>
        <v>1.5147324583458831E-3</v>
      </c>
      <c r="N716" s="13">
        <f t="shared" si="94"/>
        <v>-3.574435106466569E-3</v>
      </c>
      <c r="O716" s="13">
        <f t="shared" si="95"/>
        <v>6.2931912594459724E-4</v>
      </c>
    </row>
    <row r="717" spans="1:15" x14ac:dyDescent="0.35">
      <c r="A717" s="2">
        <v>45974</v>
      </c>
      <c r="B717">
        <v>272.95001220703119</v>
      </c>
      <c r="C717">
        <v>925.08001708984375</v>
      </c>
      <c r="D717">
        <v>194.01814270019531</v>
      </c>
      <c r="E717">
        <v>308.09030151367188</v>
      </c>
      <c r="F717">
        <v>83.425086975097656</v>
      </c>
      <c r="G717">
        <v>147.96000671386719</v>
      </c>
      <c r="H717">
        <v>6737.490234375</v>
      </c>
      <c r="I717" s="13">
        <f t="shared" si="89"/>
        <v>-1.9032581452387482E-3</v>
      </c>
      <c r="J717" s="13">
        <f t="shared" si="90"/>
        <v>1.204966727892999E-2</v>
      </c>
      <c r="K717" s="13">
        <f t="shared" si="91"/>
        <v>4.4143879957639492E-3</v>
      </c>
      <c r="L717" s="13">
        <f t="shared" si="92"/>
        <v>-3.4707862899974191E-2</v>
      </c>
      <c r="M717" s="13">
        <f t="shared" si="93"/>
        <v>-2.2369682465514153E-2</v>
      </c>
      <c r="N717" s="13">
        <f t="shared" si="94"/>
        <v>-3.3778959514715179E-4</v>
      </c>
      <c r="O717" s="13">
        <f t="shared" si="95"/>
        <v>-1.6695451630927779E-2</v>
      </c>
    </row>
    <row r="718" spans="1:15" x14ac:dyDescent="0.35">
      <c r="A718" s="2">
        <v>45975</v>
      </c>
      <c r="B718">
        <v>272.41000366210938</v>
      </c>
      <c r="C718">
        <v>922.97998046875</v>
      </c>
      <c r="D718">
        <v>194.69384765625</v>
      </c>
      <c r="E718">
        <v>302.24661254882813</v>
      </c>
      <c r="F718">
        <v>83.315826416015625</v>
      </c>
      <c r="G718">
        <v>147.66999816894531</v>
      </c>
      <c r="H718">
        <v>6734.10986328125</v>
      </c>
      <c r="I718" s="13">
        <f t="shared" si="89"/>
        <v>-1.9803751859176601E-3</v>
      </c>
      <c r="J718" s="13">
        <f t="shared" si="90"/>
        <v>-2.2726940984415535E-3</v>
      </c>
      <c r="K718" s="13">
        <f t="shared" si="91"/>
        <v>3.4766390202670499E-3</v>
      </c>
      <c r="L718" s="13">
        <f t="shared" si="92"/>
        <v>-1.9149644751391817E-2</v>
      </c>
      <c r="M718" s="13">
        <f t="shared" si="93"/>
        <v>-1.3105430754583142E-3</v>
      </c>
      <c r="N718" s="13">
        <f t="shared" si="94"/>
        <v>-1.9619702544400332E-3</v>
      </c>
      <c r="O718" s="13">
        <f t="shared" si="95"/>
        <v>-5.0185147127177333E-4</v>
      </c>
    </row>
    <row r="719" spans="1:15" x14ac:dyDescent="0.35">
      <c r="A719" s="2">
        <v>45978</v>
      </c>
      <c r="B719">
        <v>267.45999145507813</v>
      </c>
      <c r="C719">
        <v>912.59002685546875</v>
      </c>
      <c r="D719">
        <v>198.32081604003909</v>
      </c>
      <c r="E719">
        <v>299.02117919921881</v>
      </c>
      <c r="F719">
        <v>85.173248291015625</v>
      </c>
      <c r="G719">
        <v>145.82000732421881</v>
      </c>
      <c r="H719">
        <v>6672.41015625</v>
      </c>
      <c r="I719" s="13">
        <f t="shared" si="89"/>
        <v>-1.833830726819936E-2</v>
      </c>
      <c r="J719" s="13">
        <f t="shared" si="90"/>
        <v>-1.1320804476889906E-2</v>
      </c>
      <c r="K719" s="13">
        <f t="shared" si="91"/>
        <v>1.8457689698553298E-2</v>
      </c>
      <c r="L719" s="13">
        <f t="shared" si="92"/>
        <v>-1.0728877659732206E-2</v>
      </c>
      <c r="M719" s="13">
        <f t="shared" si="93"/>
        <v>2.2048873220519762E-2</v>
      </c>
      <c r="N719" s="13">
        <f t="shared" si="94"/>
        <v>-1.2607007479953603E-2</v>
      </c>
      <c r="O719" s="13">
        <f t="shared" si="95"/>
        <v>-9.2044978943051584E-3</v>
      </c>
    </row>
    <row r="720" spans="1:15" x14ac:dyDescent="0.35">
      <c r="A720" s="2">
        <v>45979</v>
      </c>
      <c r="B720">
        <v>267.44000244140619</v>
      </c>
      <c r="C720">
        <v>895.08001708984375</v>
      </c>
      <c r="D720">
        <v>198.73817443847659</v>
      </c>
      <c r="E720">
        <v>298.06549072265619</v>
      </c>
      <c r="F720">
        <v>84.070716857910156</v>
      </c>
      <c r="G720">
        <v>146.99000549316409</v>
      </c>
      <c r="H720">
        <v>6617.31982421875</v>
      </c>
      <c r="I720" s="13">
        <f t="shared" si="89"/>
        <v>-7.4739255596657382E-5</v>
      </c>
      <c r="J720" s="13">
        <f t="shared" si="90"/>
        <v>-1.9373621309585684E-2</v>
      </c>
      <c r="K720" s="13">
        <f t="shared" si="91"/>
        <v>2.1022496009598457E-3</v>
      </c>
      <c r="L720" s="13">
        <f t="shared" si="92"/>
        <v>-3.2011744385688182E-3</v>
      </c>
      <c r="M720" s="13">
        <f t="shared" si="93"/>
        <v>-1.3029085308490281E-2</v>
      </c>
      <c r="N720" s="13">
        <f t="shared" si="94"/>
        <v>7.9915600188111367E-3</v>
      </c>
      <c r="O720" s="13">
        <f t="shared" si="95"/>
        <v>-8.2907098441693181E-3</v>
      </c>
    </row>
    <row r="721" spans="1:15" x14ac:dyDescent="0.35">
      <c r="A721" s="2">
        <v>45980</v>
      </c>
      <c r="B721">
        <v>268.55999755859381</v>
      </c>
      <c r="C721">
        <v>890.5999755859375</v>
      </c>
      <c r="D721">
        <v>201.2323303222656</v>
      </c>
      <c r="E721">
        <v>301.90814208984381</v>
      </c>
      <c r="F721">
        <v>83.703201293945313</v>
      </c>
      <c r="G721">
        <v>146.99000549316409</v>
      </c>
      <c r="H721">
        <v>6642.16015625</v>
      </c>
      <c r="I721" s="13">
        <f t="shared" si="89"/>
        <v>4.1790923404076254E-3</v>
      </c>
      <c r="J721" s="13">
        <f t="shared" si="90"/>
        <v>-5.0177533736113951E-3</v>
      </c>
      <c r="K721" s="13">
        <f t="shared" si="91"/>
        <v>1.2471860719498323E-2</v>
      </c>
      <c r="L721" s="13">
        <f t="shared" si="92"/>
        <v>1.2809575956063992E-2</v>
      </c>
      <c r="M721" s="13">
        <f t="shared" si="93"/>
        <v>-4.3810880243147447E-3</v>
      </c>
      <c r="N721" s="13">
        <f t="shared" si="94"/>
        <v>0</v>
      </c>
      <c r="O721" s="13">
        <f t="shared" si="95"/>
        <v>3.74680773726533E-3</v>
      </c>
    </row>
    <row r="722" spans="1:15" x14ac:dyDescent="0.35">
      <c r="A722" s="2">
        <v>45981</v>
      </c>
      <c r="B722">
        <v>266.25</v>
      </c>
      <c r="C722">
        <v>893.28997802734375</v>
      </c>
      <c r="D722">
        <v>201.78880310058591</v>
      </c>
      <c r="E722">
        <v>297.04013061523438</v>
      </c>
      <c r="F722">
        <v>83.733001708984375</v>
      </c>
      <c r="G722">
        <v>148.19000244140619</v>
      </c>
      <c r="H722">
        <v>6538.759765625</v>
      </c>
      <c r="I722" s="13">
        <f t="shared" si="89"/>
        <v>-8.6386265574155754E-3</v>
      </c>
      <c r="J722" s="13">
        <f t="shared" si="90"/>
        <v>3.0158861255792564E-3</v>
      </c>
      <c r="K722" s="13">
        <f t="shared" si="91"/>
        <v>2.7615084461170354E-3</v>
      </c>
      <c r="L722" s="13">
        <f t="shared" si="92"/>
        <v>-1.6255556250375204E-2</v>
      </c>
      <c r="M722" s="13">
        <f t="shared" si="93"/>
        <v>3.5596143270402318E-4</v>
      </c>
      <c r="N722" s="13">
        <f t="shared" si="94"/>
        <v>8.1306560520235643E-3</v>
      </c>
      <c r="O722" s="13">
        <f t="shared" si="95"/>
        <v>-1.5689726116315229E-2</v>
      </c>
    </row>
    <row r="723" spans="1:15" x14ac:dyDescent="0.35">
      <c r="A723" s="2">
        <v>45982</v>
      </c>
      <c r="B723">
        <v>271.489990234375</v>
      </c>
      <c r="C723">
        <v>899.010009765625</v>
      </c>
      <c r="D723">
        <v>202.6135559082031</v>
      </c>
      <c r="E723">
        <v>296.68173217773438</v>
      </c>
      <c r="F723">
        <v>83.480003356933594</v>
      </c>
      <c r="G723">
        <v>150.91999816894531</v>
      </c>
      <c r="H723">
        <v>6602.990234375</v>
      </c>
      <c r="I723" s="13">
        <f t="shared" si="89"/>
        <v>1.9489553289023798E-2</v>
      </c>
      <c r="J723" s="13">
        <f t="shared" si="90"/>
        <v>6.3829171427904879E-3</v>
      </c>
      <c r="K723" s="13">
        <f t="shared" si="91"/>
        <v>4.0788780416926443E-3</v>
      </c>
      <c r="L723" s="13">
        <f t="shared" si="92"/>
        <v>-1.2072942011812215E-3</v>
      </c>
      <c r="M723" s="13">
        <f t="shared" si="93"/>
        <v>-3.0260630147882668E-3</v>
      </c>
      <c r="N723" s="13">
        <f t="shared" si="94"/>
        <v>1.8254632286567065E-2</v>
      </c>
      <c r="O723" s="13">
        <f t="shared" si="95"/>
        <v>9.7751030415920686E-3</v>
      </c>
    </row>
    <row r="724" spans="1:15" x14ac:dyDescent="0.35">
      <c r="A724" s="2">
        <v>45985</v>
      </c>
      <c r="B724">
        <v>275.92001342773438</v>
      </c>
      <c r="C724">
        <v>886.1199951171875</v>
      </c>
      <c r="D724">
        <v>204.75</v>
      </c>
      <c r="E724">
        <v>296.66183471679688</v>
      </c>
      <c r="F724">
        <v>84.230003356933594</v>
      </c>
      <c r="G724">
        <v>146.97999572753909</v>
      </c>
      <c r="H724">
        <v>6705.1201171875</v>
      </c>
      <c r="I724" s="13">
        <f t="shared" si="89"/>
        <v>1.6185746981243001E-2</v>
      </c>
      <c r="J724" s="13">
        <f t="shared" si="90"/>
        <v>-1.444179263877505E-2</v>
      </c>
      <c r="K724" s="13">
        <f t="shared" si="91"/>
        <v>1.0489223442226794E-2</v>
      </c>
      <c r="L724" s="13">
        <f t="shared" si="92"/>
        <v>-6.7068936296385505E-5</v>
      </c>
      <c r="M724" s="13">
        <f t="shared" si="93"/>
        <v>8.9440697602132056E-3</v>
      </c>
      <c r="N724" s="13">
        <f t="shared" si="94"/>
        <v>-2.6453388931081873E-2</v>
      </c>
      <c r="O724" s="13">
        <f t="shared" si="95"/>
        <v>1.5348818899081837E-2</v>
      </c>
    </row>
    <row r="725" spans="1:15" x14ac:dyDescent="0.35">
      <c r="A725" s="2">
        <v>45986</v>
      </c>
      <c r="B725">
        <v>276.97000122070313</v>
      </c>
      <c r="C725">
        <v>894.33001708984375</v>
      </c>
      <c r="D725">
        <v>206.66999816894531</v>
      </c>
      <c r="E725">
        <v>301.63937377929688</v>
      </c>
      <c r="F725">
        <v>84.830001831054688</v>
      </c>
      <c r="G725">
        <v>148.49000549316409</v>
      </c>
      <c r="H725">
        <v>6765.8798828125</v>
      </c>
      <c r="I725" s="13">
        <f t="shared" si="89"/>
        <v>3.7981841864668069E-3</v>
      </c>
      <c r="J725" s="13">
        <f t="shared" si="90"/>
        <v>9.2224775844479204E-3</v>
      </c>
      <c r="K725" s="13">
        <f t="shared" si="91"/>
        <v>9.3335866802362888E-3</v>
      </c>
      <c r="L725" s="13">
        <f t="shared" si="92"/>
        <v>1.6639290825076328E-2</v>
      </c>
      <c r="M725" s="13">
        <f t="shared" si="93"/>
        <v>7.0980832229912399E-3</v>
      </c>
      <c r="N725" s="13">
        <f t="shared" si="94"/>
        <v>1.0221158869054591E-2</v>
      </c>
      <c r="O725" s="13">
        <f t="shared" si="95"/>
        <v>9.0208860008329436E-3</v>
      </c>
    </row>
    <row r="726" spans="1:15" x14ac:dyDescent="0.35">
      <c r="A726" s="2">
        <v>45987</v>
      </c>
      <c r="B726">
        <v>277.54998779296881</v>
      </c>
      <c r="C726">
        <v>908.260009765625</v>
      </c>
      <c r="D726">
        <v>207.55999755859381</v>
      </c>
      <c r="E726">
        <v>306.258544921875</v>
      </c>
      <c r="F726">
        <v>85.540000915527344</v>
      </c>
      <c r="G726">
        <v>148.25</v>
      </c>
      <c r="H726">
        <v>6812.60986328125</v>
      </c>
      <c r="I726" s="13">
        <f t="shared" si="89"/>
        <v>2.0918516744238965E-3</v>
      </c>
      <c r="J726" s="13">
        <f t="shared" si="90"/>
        <v>1.5455838288541145E-2</v>
      </c>
      <c r="K726" s="13">
        <f t="shared" si="91"/>
        <v>4.2971333237119191E-3</v>
      </c>
      <c r="L726" s="13">
        <f t="shared" si="92"/>
        <v>1.5197485976364816E-2</v>
      </c>
      <c r="M726" s="13">
        <f t="shared" si="93"/>
        <v>8.3348380970444981E-3</v>
      </c>
      <c r="N726" s="13">
        <f t="shared" si="94"/>
        <v>-1.6176150236297568E-3</v>
      </c>
      <c r="O726" s="13">
        <f t="shared" si="95"/>
        <v>6.882969436149685E-3</v>
      </c>
    </row>
    <row r="727" spans="1:15" x14ac:dyDescent="0.35">
      <c r="A727" s="2">
        <v>45989</v>
      </c>
      <c r="B727">
        <v>278.85000610351563</v>
      </c>
      <c r="C727">
        <v>913.59002685546875</v>
      </c>
      <c r="D727">
        <v>206.91999816894531</v>
      </c>
      <c r="E727">
        <v>311.67410278320313</v>
      </c>
      <c r="F727">
        <v>86.290000915527344</v>
      </c>
      <c r="G727">
        <v>148.1600036621094</v>
      </c>
      <c r="H727">
        <v>6849.08984375</v>
      </c>
      <c r="I727" s="13">
        <f t="shared" si="89"/>
        <v>4.6729715689381376E-3</v>
      </c>
      <c r="J727" s="13">
        <f t="shared" si="90"/>
        <v>5.8512305509607994E-3</v>
      </c>
      <c r="K727" s="13">
        <f t="shared" si="91"/>
        <v>-3.0882064509074286E-3</v>
      </c>
      <c r="L727" s="13">
        <f t="shared" si="92"/>
        <v>1.7528436277991024E-2</v>
      </c>
      <c r="M727" s="13">
        <f t="shared" si="93"/>
        <v>8.7296136284279631E-3</v>
      </c>
      <c r="N727" s="13">
        <f t="shared" si="94"/>
        <v>-6.0724226270480563E-4</v>
      </c>
      <c r="O727" s="13">
        <f t="shared" si="95"/>
        <v>5.3404873411373724E-3</v>
      </c>
    </row>
    <row r="728" spans="1:15" x14ac:dyDescent="0.35">
      <c r="A728" s="2">
        <v>45992</v>
      </c>
      <c r="B728">
        <v>283.10000610351563</v>
      </c>
      <c r="C728">
        <v>911.96002197265625</v>
      </c>
      <c r="D728">
        <v>205.3399963378906</v>
      </c>
      <c r="E728">
        <v>307.53280639648438</v>
      </c>
      <c r="F728">
        <v>84.650001525878906</v>
      </c>
      <c r="G728">
        <v>147.44000244140619</v>
      </c>
      <c r="H728">
        <v>6812.6298828125</v>
      </c>
      <c r="I728" s="13">
        <f t="shared" si="89"/>
        <v>1.5126188953698135E-2</v>
      </c>
      <c r="J728" s="13">
        <f t="shared" si="90"/>
        <v>-1.7857689708684747E-3</v>
      </c>
      <c r="K728" s="13">
        <f t="shared" si="91"/>
        <v>-7.6651122497703988E-3</v>
      </c>
      <c r="L728" s="13">
        <f t="shared" si="92"/>
        <v>-1.3376330509283146E-2</v>
      </c>
      <c r="M728" s="13">
        <f t="shared" si="93"/>
        <v>-1.9188600525221044E-2</v>
      </c>
      <c r="N728" s="13">
        <f t="shared" si="94"/>
        <v>-4.8714656949202673E-3</v>
      </c>
      <c r="O728" s="13">
        <f t="shared" si="95"/>
        <v>-5.3375487460559663E-3</v>
      </c>
    </row>
    <row r="729" spans="1:15" x14ac:dyDescent="0.35">
      <c r="A729" s="2">
        <v>45993</v>
      </c>
      <c r="B729">
        <v>286.19000244140619</v>
      </c>
      <c r="C729">
        <v>922.030029296875</v>
      </c>
      <c r="D729">
        <v>205.41999816894531</v>
      </c>
      <c r="E729">
        <v>306.49746704101563</v>
      </c>
      <c r="F729">
        <v>84.580001831054688</v>
      </c>
      <c r="G729">
        <v>145.86000061035159</v>
      </c>
      <c r="H729">
        <v>6829.3701171875</v>
      </c>
      <c r="I729" s="13">
        <f t="shared" si="89"/>
        <v>1.0855720764224697E-2</v>
      </c>
      <c r="J729" s="13">
        <f t="shared" si="90"/>
        <v>1.0981639205291119E-2</v>
      </c>
      <c r="K729" s="13">
        <f t="shared" si="91"/>
        <v>3.895307874971683E-4</v>
      </c>
      <c r="L729" s="13">
        <f t="shared" si="92"/>
        <v>-3.3722778222359706E-3</v>
      </c>
      <c r="M729" s="13">
        <f t="shared" si="93"/>
        <v>-8.2727291175169616E-4</v>
      </c>
      <c r="N729" s="13">
        <f t="shared" si="94"/>
        <v>-1.07740681796199E-2</v>
      </c>
      <c r="O729" s="13">
        <f t="shared" si="95"/>
        <v>2.4542211959366171E-3</v>
      </c>
    </row>
    <row r="730" spans="1:15" x14ac:dyDescent="0.35">
      <c r="A730" s="2">
        <v>45994</v>
      </c>
      <c r="B730">
        <v>284.14999389648438</v>
      </c>
      <c r="C730">
        <v>922.260009765625</v>
      </c>
      <c r="D730">
        <v>205.33000183105469</v>
      </c>
      <c r="E730">
        <v>310.7283935546875</v>
      </c>
      <c r="F730">
        <v>84.949996948242188</v>
      </c>
      <c r="G730">
        <v>146.71000671386719</v>
      </c>
      <c r="H730">
        <v>6849.72021484375</v>
      </c>
      <c r="I730" s="13">
        <f t="shared" si="89"/>
        <v>-7.1536881784300911E-3</v>
      </c>
      <c r="J730" s="13">
        <f t="shared" si="90"/>
        <v>2.493972911755103E-4</v>
      </c>
      <c r="K730" s="13">
        <f t="shared" si="91"/>
        <v>-4.3820493892020307E-4</v>
      </c>
      <c r="L730" s="13">
        <f t="shared" si="92"/>
        <v>1.3709706778662668E-2</v>
      </c>
      <c r="M730" s="13">
        <f t="shared" si="93"/>
        <v>4.3649585006427724E-3</v>
      </c>
      <c r="N730" s="13">
        <f t="shared" si="94"/>
        <v>5.8106331738080157E-3</v>
      </c>
      <c r="O730" s="13">
        <f t="shared" si="95"/>
        <v>2.9753605210852863E-3</v>
      </c>
    </row>
    <row r="731" spans="1:15" x14ac:dyDescent="0.35">
      <c r="A731" s="2">
        <v>45995</v>
      </c>
      <c r="B731">
        <v>280.70001220703119</v>
      </c>
      <c r="C731">
        <v>895.8599853515625</v>
      </c>
      <c r="D731">
        <v>202.47999572753909</v>
      </c>
      <c r="E731">
        <v>314.68057250976563</v>
      </c>
      <c r="F731">
        <v>83.389999389648438</v>
      </c>
      <c r="G731">
        <v>145.36000061035159</v>
      </c>
      <c r="H731">
        <v>6857.1201171875</v>
      </c>
      <c r="I731" s="13">
        <f t="shared" si="89"/>
        <v>-1.22157194075668E-2</v>
      </c>
      <c r="J731" s="13">
        <f t="shared" si="90"/>
        <v>-2.9043055638323999E-2</v>
      </c>
      <c r="K731" s="13">
        <f t="shared" si="91"/>
        <v>-1.3977354748814124E-2</v>
      </c>
      <c r="L731" s="13">
        <f t="shared" si="92"/>
        <v>1.263887081838627E-2</v>
      </c>
      <c r="M731" s="13">
        <f t="shared" si="93"/>
        <v>-1.8534421414123127E-2</v>
      </c>
      <c r="N731" s="13">
        <f t="shared" si="94"/>
        <v>-9.244466627585721E-3</v>
      </c>
      <c r="O731" s="13">
        <f t="shared" si="95"/>
        <v>1.0797387119744039E-3</v>
      </c>
    </row>
    <row r="732" spans="1:15" x14ac:dyDescent="0.35">
      <c r="A732" s="2">
        <v>45996</v>
      </c>
      <c r="B732">
        <v>278.77999877929688</v>
      </c>
      <c r="C732">
        <v>894.67999267578125</v>
      </c>
      <c r="D732">
        <v>201.92999267578119</v>
      </c>
      <c r="E732">
        <v>313.62533569335938</v>
      </c>
      <c r="F732">
        <v>83.129997253417969</v>
      </c>
      <c r="G732">
        <v>143.44999694824219</v>
      </c>
      <c r="H732">
        <v>6870.39990234375</v>
      </c>
      <c r="I732" s="13">
        <f t="shared" si="89"/>
        <v>-6.8635909326487101E-3</v>
      </c>
      <c r="J732" s="13">
        <f t="shared" si="90"/>
        <v>-1.3180301597122057E-3</v>
      </c>
      <c r="K732" s="13">
        <f t="shared" si="91"/>
        <v>-2.720028716559306E-3</v>
      </c>
      <c r="L732" s="13">
        <f t="shared" si="92"/>
        <v>-3.3589937474761897E-3</v>
      </c>
      <c r="M732" s="13">
        <f t="shared" si="93"/>
        <v>-3.1227762762571125E-3</v>
      </c>
      <c r="N732" s="13">
        <f t="shared" si="94"/>
        <v>-1.3226907133456164E-2</v>
      </c>
      <c r="O732" s="13">
        <f t="shared" si="95"/>
        <v>1.9347688846794776E-3</v>
      </c>
    </row>
    <row r="733" spans="1:15" x14ac:dyDescent="0.35">
      <c r="A733" s="2">
        <v>45999</v>
      </c>
      <c r="B733">
        <v>277.8900146484375</v>
      </c>
      <c r="C733">
        <v>887.52001953125</v>
      </c>
      <c r="D733">
        <v>201.6199951171875</v>
      </c>
      <c r="E733">
        <v>313.7945556640625</v>
      </c>
      <c r="F733">
        <v>80.550003051757813</v>
      </c>
      <c r="G733">
        <v>138.3399963378906</v>
      </c>
      <c r="H733">
        <v>6846.509765625</v>
      </c>
      <c r="I733" s="13">
        <f t="shared" si="89"/>
        <v>-3.1975312758841801E-3</v>
      </c>
      <c r="J733" s="13">
        <f t="shared" si="90"/>
        <v>-8.0350259421872253E-3</v>
      </c>
      <c r="K733" s="13">
        <f t="shared" si="91"/>
        <v>-1.5363530117549424E-3</v>
      </c>
      <c r="L733" s="13">
        <f t="shared" si="92"/>
        <v>5.3941539672955731E-4</v>
      </c>
      <c r="M733" s="13">
        <f t="shared" si="93"/>
        <v>-3.1527466993909618E-2</v>
      </c>
      <c r="N733" s="13">
        <f t="shared" si="94"/>
        <v>-3.6272124452721967E-2</v>
      </c>
      <c r="O733" s="13">
        <f t="shared" si="95"/>
        <v>-3.4833153316476935E-3</v>
      </c>
    </row>
    <row r="734" spans="1:15" x14ac:dyDescent="0.35">
      <c r="A734" s="2">
        <v>46000</v>
      </c>
      <c r="B734">
        <v>277.17999267578119</v>
      </c>
      <c r="C734">
        <v>888.44000244140625</v>
      </c>
      <c r="D734">
        <v>199.96000671386719</v>
      </c>
      <c r="E734">
        <v>299.16058349609381</v>
      </c>
      <c r="F734">
        <v>79.639999389648438</v>
      </c>
      <c r="G734">
        <v>139.6300048828125</v>
      </c>
      <c r="H734">
        <v>6840.509765625</v>
      </c>
      <c r="I734" s="13">
        <f t="shared" si="89"/>
        <v>-2.5583164305195334E-3</v>
      </c>
      <c r="J734" s="13">
        <f t="shared" si="90"/>
        <v>1.0360402048073616E-3</v>
      </c>
      <c r="K734" s="13">
        <f t="shared" si="91"/>
        <v>-8.267333286477439E-3</v>
      </c>
      <c r="L734" s="13">
        <f t="shared" si="92"/>
        <v>-4.7757992678378332E-2</v>
      </c>
      <c r="M734" s="13">
        <f t="shared" si="93"/>
        <v>-1.1361675977372108E-2</v>
      </c>
      <c r="N734" s="13">
        <f t="shared" si="94"/>
        <v>9.2817052231206898E-3</v>
      </c>
      <c r="O734" s="13">
        <f t="shared" si="95"/>
        <v>-8.7674316101323858E-4</v>
      </c>
    </row>
    <row r="735" spans="1:15" x14ac:dyDescent="0.35">
      <c r="A735" s="2">
        <v>46001</v>
      </c>
      <c r="B735">
        <v>278.77999877929688</v>
      </c>
      <c r="C735">
        <v>874.40997314453125</v>
      </c>
      <c r="D735">
        <v>206.53999328613281</v>
      </c>
      <c r="E735">
        <v>308.71743774414063</v>
      </c>
      <c r="F735">
        <v>81.269996643066406</v>
      </c>
      <c r="G735">
        <v>139.82000732421881</v>
      </c>
      <c r="H735">
        <v>6886.68017578125</v>
      </c>
      <c r="I735" s="13">
        <f t="shared" si="89"/>
        <v>5.7558477064036688E-3</v>
      </c>
      <c r="J735" s="13">
        <f t="shared" si="90"/>
        <v>-1.5917776020477548E-2</v>
      </c>
      <c r="K735" s="13">
        <f t="shared" si="91"/>
        <v>3.237668561545988E-2</v>
      </c>
      <c r="L735" s="13">
        <f t="shared" si="92"/>
        <v>3.1445919814279591E-2</v>
      </c>
      <c r="M735" s="13">
        <f t="shared" si="93"/>
        <v>2.0260431927060889E-2</v>
      </c>
      <c r="N735" s="13">
        <f t="shared" si="94"/>
        <v>1.3598315432814751E-3</v>
      </c>
      <c r="O735" s="13">
        <f t="shared" si="95"/>
        <v>6.7268806591399763E-3</v>
      </c>
    </row>
    <row r="736" spans="1:15" x14ac:dyDescent="0.35">
      <c r="A736" s="2">
        <v>46002</v>
      </c>
      <c r="B736">
        <v>278.02999877929688</v>
      </c>
      <c r="C736">
        <v>884.47998046875</v>
      </c>
      <c r="D736">
        <v>210.00999450683591</v>
      </c>
      <c r="E736">
        <v>315.95480346679688</v>
      </c>
      <c r="F736">
        <v>81.209999084472656</v>
      </c>
      <c r="G736">
        <v>140.75999450683591</v>
      </c>
      <c r="H736">
        <v>6901</v>
      </c>
      <c r="I736" s="13">
        <f t="shared" si="89"/>
        <v>-2.6939187761114772E-3</v>
      </c>
      <c r="J736" s="13">
        <f t="shared" si="90"/>
        <v>1.1450537119211115E-2</v>
      </c>
      <c r="K736" s="13">
        <f t="shared" si="91"/>
        <v>1.6661056737777784E-2</v>
      </c>
      <c r="L736" s="13">
        <f t="shared" si="92"/>
        <v>2.3172758769688873E-2</v>
      </c>
      <c r="M736" s="13">
        <f t="shared" si="93"/>
        <v>-7.3852243843392483E-4</v>
      </c>
      <c r="N736" s="13">
        <f t="shared" si="94"/>
        <v>6.7003399613114042E-3</v>
      </c>
      <c r="O736" s="13">
        <f t="shared" si="95"/>
        <v>2.0771919837170301E-3</v>
      </c>
    </row>
    <row r="737" spans="1:15" x14ac:dyDescent="0.35">
      <c r="A737" s="2">
        <v>46003</v>
      </c>
      <c r="B737">
        <v>278.27999877929688</v>
      </c>
      <c r="C737">
        <v>884.469970703125</v>
      </c>
      <c r="D737">
        <v>211.58000183105469</v>
      </c>
      <c r="E737">
        <v>317.08969116210938</v>
      </c>
      <c r="F737">
        <v>81.650001525878906</v>
      </c>
      <c r="G737">
        <v>142.8399963378906</v>
      </c>
      <c r="H737">
        <v>6827.41015625</v>
      </c>
      <c r="I737" s="13">
        <f t="shared" si="89"/>
        <v>8.9877952194417749E-4</v>
      </c>
      <c r="J737" s="13">
        <f t="shared" si="90"/>
        <v>-1.1317183528508968E-5</v>
      </c>
      <c r="K737" s="13">
        <f t="shared" si="91"/>
        <v>7.4480637381660296E-3</v>
      </c>
      <c r="L737" s="13">
        <f t="shared" si="92"/>
        <v>3.5854949241731376E-3</v>
      </c>
      <c r="M737" s="13">
        <f t="shared" si="93"/>
        <v>5.4034570837787838E-3</v>
      </c>
      <c r="N737" s="13">
        <f t="shared" si="94"/>
        <v>1.4668823660057541E-2</v>
      </c>
      <c r="O737" s="13">
        <f t="shared" si="95"/>
        <v>-1.0720913458554537E-2</v>
      </c>
    </row>
    <row r="738" spans="1:15" x14ac:dyDescent="0.35">
      <c r="A738" s="2">
        <v>46006</v>
      </c>
      <c r="B738">
        <v>274.1099853515625</v>
      </c>
      <c r="C738">
        <v>860.55999755859375</v>
      </c>
      <c r="D738">
        <v>214.16999816894531</v>
      </c>
      <c r="E738">
        <v>318.58294677734381</v>
      </c>
      <c r="F738">
        <v>81.650001525878906</v>
      </c>
      <c r="G738">
        <v>145.1300048828125</v>
      </c>
      <c r="H738">
        <v>6816.509765625</v>
      </c>
      <c r="I738" s="13">
        <f t="shared" si="89"/>
        <v>-1.5098364430199547E-2</v>
      </c>
      <c r="J738" s="13">
        <f t="shared" si="90"/>
        <v>-2.7405225146730147E-2</v>
      </c>
      <c r="K738" s="13">
        <f t="shared" si="91"/>
        <v>1.2166897420116153E-2</v>
      </c>
      <c r="L738" s="13">
        <f t="shared" si="92"/>
        <v>4.6981992706265638E-3</v>
      </c>
      <c r="M738" s="13">
        <f t="shared" si="93"/>
        <v>0</v>
      </c>
      <c r="N738" s="13">
        <f t="shared" si="94"/>
        <v>1.5904829038270851E-2</v>
      </c>
      <c r="O738" s="13">
        <f t="shared" si="95"/>
        <v>-1.5978388918367072E-3</v>
      </c>
    </row>
    <row r="739" spans="1:15" x14ac:dyDescent="0.35">
      <c r="A739" s="2">
        <v>46007</v>
      </c>
      <c r="B739">
        <v>274.6099853515625</v>
      </c>
      <c r="C739">
        <v>860.3900146484375</v>
      </c>
      <c r="D739">
        <v>209.30000305175781</v>
      </c>
      <c r="E739">
        <v>314.13302612304688</v>
      </c>
      <c r="F739">
        <v>81.319999694824219</v>
      </c>
      <c r="G739">
        <v>145.21000671386719</v>
      </c>
      <c r="H739">
        <v>6800.259765625</v>
      </c>
      <c r="I739" s="13">
        <f t="shared" si="89"/>
        <v>1.8224236954371396E-3</v>
      </c>
      <c r="J739" s="13">
        <f t="shared" si="90"/>
        <v>-1.9754543653605655E-4</v>
      </c>
      <c r="K739" s="13">
        <f t="shared" si="91"/>
        <v>-2.3001439600203594E-2</v>
      </c>
      <c r="L739" s="13">
        <f t="shared" si="92"/>
        <v>-1.4066324281271065E-2</v>
      </c>
      <c r="M739" s="13">
        <f t="shared" si="93"/>
        <v>-4.0498530971498983E-3</v>
      </c>
      <c r="N739" s="13">
        <f t="shared" si="94"/>
        <v>5.5109065153962158E-4</v>
      </c>
      <c r="O739" s="13">
        <f t="shared" si="95"/>
        <v>-2.38676400843967E-3</v>
      </c>
    </row>
    <row r="740" spans="1:15" x14ac:dyDescent="0.35">
      <c r="A740" s="2">
        <v>46008</v>
      </c>
      <c r="B740">
        <v>271.83999633789063</v>
      </c>
      <c r="C740">
        <v>862.6500244140625</v>
      </c>
      <c r="D740">
        <v>210.33000183105469</v>
      </c>
      <c r="E740">
        <v>313.56558227539063</v>
      </c>
      <c r="F740">
        <v>80.290000915527344</v>
      </c>
      <c r="G740">
        <v>147.80999755859381</v>
      </c>
      <c r="H740">
        <v>6721.43017578125</v>
      </c>
      <c r="I740" s="13">
        <f t="shared" si="89"/>
        <v>-1.0138211482018081E-2</v>
      </c>
      <c r="J740" s="13">
        <f t="shared" si="90"/>
        <v>2.623283278893036E-3</v>
      </c>
      <c r="K740" s="13">
        <f t="shared" si="91"/>
        <v>4.9090905598771469E-3</v>
      </c>
      <c r="L740" s="13">
        <f t="shared" si="92"/>
        <v>-1.8080142114102399E-3</v>
      </c>
      <c r="M740" s="13">
        <f t="shared" si="93"/>
        <v>-1.2746893408020064E-2</v>
      </c>
      <c r="N740" s="13">
        <f t="shared" si="94"/>
        <v>1.7746631928573571E-2</v>
      </c>
      <c r="O740" s="13">
        <f t="shared" si="95"/>
        <v>-1.165985661137129E-2</v>
      </c>
    </row>
    <row r="741" spans="1:15" x14ac:dyDescent="0.35">
      <c r="A741" s="2">
        <v>46009</v>
      </c>
      <c r="B741">
        <v>272.19000244140619</v>
      </c>
      <c r="C741">
        <v>857.59002685546875</v>
      </c>
      <c r="D741">
        <v>208.30999755859381</v>
      </c>
      <c r="E741">
        <v>311.594482421875</v>
      </c>
      <c r="F741">
        <v>80.849998474121094</v>
      </c>
      <c r="G741">
        <v>145.52000427246091</v>
      </c>
      <c r="H741">
        <v>6774.759765625</v>
      </c>
      <c r="I741" s="13">
        <f t="shared" si="89"/>
        <v>1.2867163670798581E-3</v>
      </c>
      <c r="J741" s="13">
        <f t="shared" si="90"/>
        <v>-5.8829140132734261E-3</v>
      </c>
      <c r="K741" s="13">
        <f t="shared" si="91"/>
        <v>-9.6503915168527268E-3</v>
      </c>
      <c r="L741" s="13">
        <f t="shared" si="92"/>
        <v>-6.3059254629388578E-3</v>
      </c>
      <c r="M741" s="13">
        <f t="shared" si="93"/>
        <v>6.9504755508052948E-3</v>
      </c>
      <c r="N741" s="13">
        <f t="shared" si="94"/>
        <v>-1.5614085136965824E-2</v>
      </c>
      <c r="O741" s="13">
        <f t="shared" si="95"/>
        <v>7.9029515204791564E-3</v>
      </c>
    </row>
    <row r="742" spans="1:15" x14ac:dyDescent="0.35">
      <c r="A742" s="2">
        <v>46010</v>
      </c>
      <c r="B742">
        <v>273.67001342773438</v>
      </c>
      <c r="C742">
        <v>855.6199951171875</v>
      </c>
      <c r="D742">
        <v>206.3699951171875</v>
      </c>
      <c r="E742">
        <v>315.78555297851563</v>
      </c>
      <c r="F742">
        <v>79.540000915527344</v>
      </c>
      <c r="G742">
        <v>144.46000671386719</v>
      </c>
      <c r="H742">
        <v>6834.5</v>
      </c>
      <c r="I742" s="13">
        <f t="shared" si="89"/>
        <v>5.4226892243878742E-3</v>
      </c>
      <c r="J742" s="13">
        <f t="shared" si="90"/>
        <v>-2.2998144784705035E-3</v>
      </c>
      <c r="K742" s="13">
        <f t="shared" si="91"/>
        <v>-9.3566925302051625E-3</v>
      </c>
      <c r="L742" s="13">
        <f t="shared" si="92"/>
        <v>1.336074680569683E-2</v>
      </c>
      <c r="M742" s="13">
        <f t="shared" si="93"/>
        <v>-1.633551586033416E-2</v>
      </c>
      <c r="N742" s="13">
        <f t="shared" si="94"/>
        <v>-7.3108644715095599E-3</v>
      </c>
      <c r="O742" s="13">
        <f t="shared" si="95"/>
        <v>8.7794074218288717E-3</v>
      </c>
    </row>
    <row r="743" spans="1:15" x14ac:dyDescent="0.35">
      <c r="A743" s="2">
        <v>46013</v>
      </c>
      <c r="B743">
        <v>270.97000122070313</v>
      </c>
      <c r="C743">
        <v>850</v>
      </c>
      <c r="D743">
        <v>207.32000732421881</v>
      </c>
      <c r="E743">
        <v>321.63916015625</v>
      </c>
      <c r="F743">
        <v>80.040000915527344</v>
      </c>
      <c r="G743">
        <v>142.69000244140619</v>
      </c>
      <c r="H743">
        <v>6878.490234375</v>
      </c>
      <c r="I743" s="13">
        <f t="shared" si="89"/>
        <v>-9.9149318937192376E-3</v>
      </c>
      <c r="J743" s="13">
        <f t="shared" si="90"/>
        <v>-6.589997153003911E-3</v>
      </c>
      <c r="K743" s="13">
        <f t="shared" si="91"/>
        <v>4.5928781040353618E-3</v>
      </c>
      <c r="L743" s="13">
        <f t="shared" si="92"/>
        <v>1.8366943148216172E-2</v>
      </c>
      <c r="M743" s="13">
        <f t="shared" si="93"/>
        <v>6.2664698640848646E-3</v>
      </c>
      <c r="N743" s="13">
        <f t="shared" si="94"/>
        <v>-1.2328237045968011E-2</v>
      </c>
      <c r="O743" s="13">
        <f t="shared" si="95"/>
        <v>6.4158705755619364E-3</v>
      </c>
    </row>
    <row r="744" spans="1:15" x14ac:dyDescent="0.35">
      <c r="A744" s="2">
        <v>46014</v>
      </c>
      <c r="B744">
        <v>272.3599853515625</v>
      </c>
      <c r="C744">
        <v>854.78997802734375</v>
      </c>
      <c r="D744">
        <v>205.7799987792969</v>
      </c>
      <c r="E744">
        <v>324.46640014648438</v>
      </c>
      <c r="F744">
        <v>79.790000915527344</v>
      </c>
      <c r="G744">
        <v>143.17999267578119</v>
      </c>
      <c r="H744">
        <v>6909.7900390625</v>
      </c>
      <c r="I744" s="13">
        <f t="shared" si="89"/>
        <v>5.1165486815904363E-3</v>
      </c>
      <c r="J744" s="13">
        <f t="shared" si="90"/>
        <v>5.6194495439162188E-3</v>
      </c>
      <c r="K744" s="13">
        <f t="shared" si="91"/>
        <v>-7.4558976340054943E-3</v>
      </c>
      <c r="L744" s="13">
        <f t="shared" si="92"/>
        <v>8.7516907739925154E-3</v>
      </c>
      <c r="M744" s="13">
        <f t="shared" si="93"/>
        <v>-3.1283263595040757E-3</v>
      </c>
      <c r="N744" s="13">
        <f t="shared" si="94"/>
        <v>3.4280667617682908E-3</v>
      </c>
      <c r="O744" s="13">
        <f t="shared" si="95"/>
        <v>4.5400670467882079E-3</v>
      </c>
    </row>
    <row r="745" spans="1:15" x14ac:dyDescent="0.35">
      <c r="A745" s="2">
        <v>46015</v>
      </c>
      <c r="B745">
        <v>273.80999755859381</v>
      </c>
      <c r="C745">
        <v>871.8599853515625</v>
      </c>
      <c r="D745">
        <v>207.7799987792969</v>
      </c>
      <c r="E745">
        <v>327.69186401367188</v>
      </c>
      <c r="F745">
        <v>80.449996948242188</v>
      </c>
      <c r="G745">
        <v>144.49000549316409</v>
      </c>
      <c r="H745">
        <v>6932.0498046875</v>
      </c>
      <c r="I745" s="13">
        <f t="shared" si="89"/>
        <v>5.3097594490723017E-3</v>
      </c>
      <c r="J745" s="13">
        <f t="shared" si="90"/>
        <v>1.9773044731016678E-2</v>
      </c>
      <c r="K745" s="13">
        <f t="shared" si="91"/>
        <v>9.6721907518210661E-3</v>
      </c>
      <c r="L745" s="13">
        <f t="shared" si="92"/>
        <v>9.8917405312216322E-3</v>
      </c>
      <c r="M745" s="13">
        <f t="shared" si="93"/>
        <v>8.2376407103941021E-3</v>
      </c>
      <c r="N745" s="13">
        <f t="shared" si="94"/>
        <v>9.1078102090126224E-3</v>
      </c>
      <c r="O745" s="13">
        <f t="shared" si="95"/>
        <v>3.2163043447007082E-3</v>
      </c>
    </row>
    <row r="746" spans="1:15" x14ac:dyDescent="0.35">
      <c r="A746" s="2">
        <v>46017</v>
      </c>
      <c r="B746">
        <v>273.39999389648438</v>
      </c>
      <c r="C746">
        <v>873.3499755859375</v>
      </c>
      <c r="D746">
        <v>207.6300048828125</v>
      </c>
      <c r="E746">
        <v>326.43753051757813</v>
      </c>
      <c r="F746">
        <v>80.410003662109375</v>
      </c>
      <c r="G746">
        <v>144.74000549316409</v>
      </c>
      <c r="H746">
        <v>6929.93994140625</v>
      </c>
      <c r="I746" s="13">
        <f t="shared" si="89"/>
        <v>-1.4985243151123258E-3</v>
      </c>
      <c r="J746" s="13">
        <f t="shared" si="90"/>
        <v>1.7075201606066182E-3</v>
      </c>
      <c r="K746" s="13">
        <f t="shared" si="91"/>
        <v>-7.2214872863231576E-4</v>
      </c>
      <c r="L746" s="13">
        <f t="shared" si="92"/>
        <v>-3.8351281688196954E-3</v>
      </c>
      <c r="M746" s="13">
        <f t="shared" si="93"/>
        <v>-4.9724340177911917E-4</v>
      </c>
      <c r="N746" s="13">
        <f t="shared" si="94"/>
        <v>1.7287283667963712E-3</v>
      </c>
      <c r="O746" s="13">
        <f t="shared" si="95"/>
        <v>-3.0440987710828846E-4</v>
      </c>
    </row>
    <row r="747" spans="1:15" x14ac:dyDescent="0.35">
      <c r="A747" s="2">
        <v>46020</v>
      </c>
      <c r="B747">
        <v>273.760009765625</v>
      </c>
      <c r="C747">
        <v>867.84002685546875</v>
      </c>
      <c r="D747">
        <v>207.55999755859381</v>
      </c>
      <c r="E747">
        <v>322.29620361328119</v>
      </c>
      <c r="F747">
        <v>80.269996643066406</v>
      </c>
      <c r="G747">
        <v>144.57000732421881</v>
      </c>
      <c r="H747">
        <v>6905.740234375</v>
      </c>
      <c r="I747" s="13">
        <f t="shared" si="89"/>
        <v>1.3159438507369832E-3</v>
      </c>
      <c r="J747" s="13">
        <f t="shared" si="90"/>
        <v>-6.3289671027963491E-3</v>
      </c>
      <c r="K747" s="13">
        <f t="shared" si="91"/>
        <v>-3.3723030164739743E-4</v>
      </c>
      <c r="L747" s="13">
        <f t="shared" si="92"/>
        <v>-1.2767589977834627E-2</v>
      </c>
      <c r="M747" s="13">
        <f t="shared" si="93"/>
        <v>-1.7426817800571552E-3</v>
      </c>
      <c r="N747" s="13">
        <f t="shared" si="94"/>
        <v>-1.1751974074800703E-3</v>
      </c>
      <c r="O747" s="13">
        <f t="shared" si="95"/>
        <v>-3.498162923937312E-3</v>
      </c>
    </row>
    <row r="748" spans="1:15" x14ac:dyDescent="0.35">
      <c r="A748" s="2">
        <v>46021</v>
      </c>
      <c r="B748">
        <v>273.07998657226563</v>
      </c>
      <c r="C748">
        <v>865.6500244140625</v>
      </c>
      <c r="D748">
        <v>206.9100036621094</v>
      </c>
      <c r="E748">
        <v>321.96771240234381</v>
      </c>
      <c r="F748">
        <v>80.529998779296875</v>
      </c>
      <c r="G748">
        <v>144.05000305175781</v>
      </c>
      <c r="H748">
        <v>6896.240234375</v>
      </c>
      <c r="I748" s="13">
        <f t="shared" si="89"/>
        <v>-2.4871024374482713E-3</v>
      </c>
      <c r="J748" s="13">
        <f t="shared" si="90"/>
        <v>-2.5266987888639342E-3</v>
      </c>
      <c r="K748" s="13">
        <f t="shared" si="91"/>
        <v>-3.1365089267725924E-3</v>
      </c>
      <c r="L748" s="13">
        <f t="shared" si="92"/>
        <v>-1.0197412309993321E-3</v>
      </c>
      <c r="M748" s="13">
        <f t="shared" si="93"/>
        <v>3.2338603261295638E-3</v>
      </c>
      <c r="N748" s="13">
        <f t="shared" si="94"/>
        <v>-3.6033872664990741E-3</v>
      </c>
      <c r="O748" s="13">
        <f t="shared" si="95"/>
        <v>-1.3766142506534472E-3</v>
      </c>
    </row>
    <row r="749" spans="1:15" x14ac:dyDescent="0.35">
      <c r="A749" s="2">
        <v>46022</v>
      </c>
      <c r="B749">
        <v>271.8599853515625</v>
      </c>
      <c r="C749">
        <v>862.34002685546875</v>
      </c>
      <c r="D749">
        <v>206.94999694824219</v>
      </c>
      <c r="E749">
        <v>320.7730712890625</v>
      </c>
      <c r="F749">
        <v>80.279998779296875</v>
      </c>
      <c r="G749">
        <v>143.30999755859381</v>
      </c>
      <c r="H749">
        <v>6845.5</v>
      </c>
      <c r="I749" s="13">
        <f t="shared" si="89"/>
        <v>-4.477569353830084E-3</v>
      </c>
      <c r="J749" s="13">
        <f t="shared" si="90"/>
        <v>-3.8310424351487263E-3</v>
      </c>
      <c r="K749" s="13">
        <f t="shared" si="91"/>
        <v>1.9326963803357759E-4</v>
      </c>
      <c r="L749" s="13">
        <f t="shared" si="92"/>
        <v>-3.7173383711838382E-3</v>
      </c>
      <c r="M749" s="13">
        <f t="shared" si="93"/>
        <v>-3.1092619265207905E-3</v>
      </c>
      <c r="N749" s="13">
        <f t="shared" si="94"/>
        <v>-5.150383681803478E-3</v>
      </c>
      <c r="O749" s="13">
        <f t="shared" si="95"/>
        <v>-7.3848674342488147E-3</v>
      </c>
    </row>
    <row r="750" spans="1:15" x14ac:dyDescent="0.35">
      <c r="A750" s="2">
        <v>46024</v>
      </c>
      <c r="B750">
        <v>271.010009765625</v>
      </c>
      <c r="C750">
        <v>854.5</v>
      </c>
      <c r="D750">
        <v>207.3500061035156</v>
      </c>
      <c r="E750">
        <v>324.0184326171875</v>
      </c>
      <c r="F750">
        <v>80.930000305175781</v>
      </c>
      <c r="G750">
        <v>141.78999328613281</v>
      </c>
      <c r="H750">
        <v>6858.47021484375</v>
      </c>
      <c r="I750" s="13">
        <f t="shared" si="89"/>
        <v>-3.1314174227282093E-3</v>
      </c>
      <c r="J750" s="13">
        <f t="shared" si="90"/>
        <v>-9.1331530374469568E-3</v>
      </c>
      <c r="K750" s="13">
        <f t="shared" si="91"/>
        <v>1.9310126798137276E-3</v>
      </c>
      <c r="L750" s="13">
        <f t="shared" si="92"/>
        <v>1.0066474864661555E-2</v>
      </c>
      <c r="M750" s="13">
        <f t="shared" si="93"/>
        <v>8.0640785559038183E-3</v>
      </c>
      <c r="N750" s="13">
        <f t="shared" si="94"/>
        <v>-1.066305663545552E-2</v>
      </c>
      <c r="O750" s="13">
        <f t="shared" si="95"/>
        <v>1.8929140261155547E-3</v>
      </c>
    </row>
    <row r="751" spans="1:15" x14ac:dyDescent="0.35">
      <c r="A751" s="2">
        <v>46027</v>
      </c>
      <c r="B751">
        <v>267.260009765625</v>
      </c>
      <c r="C751">
        <v>875.739990234375</v>
      </c>
      <c r="D751">
        <v>204.30999755859381</v>
      </c>
      <c r="E751">
        <v>332.54000854492188</v>
      </c>
      <c r="F751">
        <v>81.319999694824219</v>
      </c>
      <c r="G751">
        <v>140.3699951171875</v>
      </c>
      <c r="H751">
        <v>6902.0498046875</v>
      </c>
      <c r="I751" s="13">
        <f t="shared" si="89"/>
        <v>-1.3933752709382118E-2</v>
      </c>
      <c r="J751" s="13">
        <f t="shared" si="90"/>
        <v>2.455272952157269E-2</v>
      </c>
      <c r="K751" s="13">
        <f t="shared" si="91"/>
        <v>-1.4769779826000091E-2</v>
      </c>
      <c r="L751" s="13">
        <f t="shared" si="92"/>
        <v>2.5959774340256911E-2</v>
      </c>
      <c r="M751" s="13">
        <f t="shared" si="93"/>
        <v>4.8073977288979408E-3</v>
      </c>
      <c r="N751" s="13">
        <f t="shared" si="94"/>
        <v>-1.0065283637750411E-2</v>
      </c>
      <c r="O751" s="13">
        <f t="shared" si="95"/>
        <v>6.3340245110515819E-3</v>
      </c>
    </row>
    <row r="752" spans="1:15" x14ac:dyDescent="0.35">
      <c r="A752" s="2">
        <v>46028</v>
      </c>
      <c r="B752">
        <v>262.3599853515625</v>
      </c>
      <c r="C752">
        <v>889.0999755859375</v>
      </c>
      <c r="D752">
        <v>204.78999328613281</v>
      </c>
      <c r="E752">
        <v>334.6099853515625</v>
      </c>
      <c r="F752">
        <v>81.050003051757813</v>
      </c>
      <c r="G752">
        <v>139.9100036621094</v>
      </c>
      <c r="H752">
        <v>6944.81982421875</v>
      </c>
      <c r="I752" s="13">
        <f t="shared" si="89"/>
        <v>-1.8504453300522909E-2</v>
      </c>
      <c r="J752" s="13">
        <f t="shared" si="90"/>
        <v>1.5140455590575847E-2</v>
      </c>
      <c r="K752" s="13">
        <f t="shared" si="91"/>
        <v>2.3465947618633875E-3</v>
      </c>
      <c r="L752" s="13">
        <f t="shared" si="92"/>
        <v>6.2054514518930454E-3</v>
      </c>
      <c r="M752" s="13">
        <f t="shared" si="93"/>
        <v>-3.3256991729050472E-3</v>
      </c>
      <c r="N752" s="13">
        <f t="shared" si="94"/>
        <v>-3.2823738409893739E-3</v>
      </c>
      <c r="O752" s="13">
        <f t="shared" si="95"/>
        <v>6.1775920038938375E-3</v>
      </c>
    </row>
    <row r="753" spans="1:15" x14ac:dyDescent="0.35">
      <c r="A753" s="2">
        <v>46029</v>
      </c>
      <c r="B753">
        <v>260.32998657226563</v>
      </c>
      <c r="C753">
        <v>882.58001708984375</v>
      </c>
      <c r="D753">
        <v>207.49000549316409</v>
      </c>
      <c r="E753">
        <v>326.989990234375</v>
      </c>
      <c r="F753">
        <v>78.370002746582031</v>
      </c>
      <c r="G753">
        <v>138.03999328613281</v>
      </c>
      <c r="H753">
        <v>6920.93017578125</v>
      </c>
      <c r="I753" s="13">
        <f t="shared" si="89"/>
        <v>-7.7675451795589856E-3</v>
      </c>
      <c r="J753" s="13">
        <f t="shared" si="90"/>
        <v>-7.3602320473664194E-3</v>
      </c>
      <c r="K753" s="13">
        <f t="shared" si="91"/>
        <v>1.309814114865014E-2</v>
      </c>
      <c r="L753" s="13">
        <f t="shared" si="92"/>
        <v>-2.3036071235369937E-2</v>
      </c>
      <c r="M753" s="13">
        <f t="shared" si="93"/>
        <v>-3.3625049723347025E-2</v>
      </c>
      <c r="N753" s="13">
        <f t="shared" si="94"/>
        <v>-1.3455935327257449E-2</v>
      </c>
      <c r="O753" s="13">
        <f t="shared" si="95"/>
        <v>-3.4458535710101927E-3</v>
      </c>
    </row>
    <row r="754" spans="1:15" x14ac:dyDescent="0.35">
      <c r="A754" s="2">
        <v>46030</v>
      </c>
      <c r="B754">
        <v>259.04000854492188</v>
      </c>
      <c r="C754">
        <v>915.30999755859375</v>
      </c>
      <c r="D754">
        <v>205.75</v>
      </c>
      <c r="E754">
        <v>329.79000854492188</v>
      </c>
      <c r="F754">
        <v>79.489997863769531</v>
      </c>
      <c r="G754">
        <v>141.5299987792969</v>
      </c>
      <c r="H754">
        <v>6921.4599609375</v>
      </c>
      <c r="I754" s="13">
        <f t="shared" si="89"/>
        <v>-4.9674824964186315E-3</v>
      </c>
      <c r="J754" s="13">
        <f t="shared" si="90"/>
        <v>3.6413347422981301E-2</v>
      </c>
      <c r="K754" s="13">
        <f t="shared" si="91"/>
        <v>-8.4213326555360665E-3</v>
      </c>
      <c r="L754" s="13">
        <f t="shared" si="92"/>
        <v>8.5265546443945971E-3</v>
      </c>
      <c r="M754" s="13">
        <f t="shared" si="93"/>
        <v>1.4189964599699741E-2</v>
      </c>
      <c r="N754" s="13">
        <f t="shared" si="94"/>
        <v>2.4968250528011535E-2</v>
      </c>
      <c r="O754" s="13">
        <f t="shared" si="95"/>
        <v>7.6545329422946027E-5</v>
      </c>
    </row>
    <row r="755" spans="1:15" x14ac:dyDescent="0.35">
      <c r="A755" s="2">
        <v>46031</v>
      </c>
      <c r="B755">
        <v>259.3699951171875</v>
      </c>
      <c r="C755">
        <v>924.8800048828125</v>
      </c>
      <c r="D755">
        <v>204.38999938964841</v>
      </c>
      <c r="E755">
        <v>329.19000244140619</v>
      </c>
      <c r="F755">
        <v>79.889999389648438</v>
      </c>
      <c r="G755">
        <v>141.8699951171875</v>
      </c>
      <c r="H755">
        <v>6966.27978515625</v>
      </c>
      <c r="I755" s="13">
        <f t="shared" si="89"/>
        <v>1.2730719488525312E-3</v>
      </c>
      <c r="J755" s="13">
        <f t="shared" si="90"/>
        <v>1.0401201603058104E-2</v>
      </c>
      <c r="K755" s="13">
        <f t="shared" si="91"/>
        <v>-6.63190908970331E-3</v>
      </c>
      <c r="L755" s="13">
        <f t="shared" si="92"/>
        <v>-1.8210150818508334E-3</v>
      </c>
      <c r="M755" s="13">
        <f t="shared" si="93"/>
        <v>5.0194801432340876E-3</v>
      </c>
      <c r="N755" s="13">
        <f t="shared" si="94"/>
        <v>2.3994107856818627E-3</v>
      </c>
      <c r="O755" s="13">
        <f t="shared" si="95"/>
        <v>6.4546111383210376E-3</v>
      </c>
    </row>
  </sheetData>
  <mergeCells count="7">
    <mergeCell ref="AL1:AS1"/>
    <mergeCell ref="AB23:AD23"/>
    <mergeCell ref="AB24:AD24"/>
    <mergeCell ref="B1:H1"/>
    <mergeCell ref="I1:O1"/>
    <mergeCell ref="AB1:AI1"/>
    <mergeCell ref="AB11:AI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B0496-5A98-414F-AB40-89C1AA02FC2D}">
  <dimension ref="A1:AS755"/>
  <sheetViews>
    <sheetView topLeftCell="W64" zoomScaleNormal="100" workbookViewId="0">
      <selection activeCell="AA72" sqref="AA72"/>
    </sheetView>
  </sheetViews>
  <sheetFormatPr defaultRowHeight="14.5" x14ac:dyDescent="0.35"/>
  <cols>
    <col min="1" max="1" width="17.90625" bestFit="1" customWidth="1"/>
    <col min="2" max="9" width="8.81640625" bestFit="1" customWidth="1"/>
    <col min="10" max="10" width="12.453125" bestFit="1" customWidth="1"/>
    <col min="11" max="13" width="8.81640625" bestFit="1" customWidth="1"/>
    <col min="14" max="14" width="9.54296875" bestFit="1" customWidth="1"/>
    <col min="15" max="15" width="15.6328125" bestFit="1" customWidth="1"/>
    <col min="16" max="16" width="8.81640625" bestFit="1" customWidth="1"/>
    <col min="18" max="18" width="13" bestFit="1" customWidth="1"/>
    <col min="19" max="19" width="11.81640625" bestFit="1" customWidth="1"/>
    <col min="20" max="22" width="11.90625" bestFit="1" customWidth="1"/>
    <col min="23" max="24" width="12" bestFit="1" customWidth="1"/>
    <col min="25" max="25" width="8.90625" bestFit="1" customWidth="1"/>
    <col min="28" max="28" width="15.453125" bestFit="1" customWidth="1"/>
    <col min="29" max="29" width="12.453125" bestFit="1" customWidth="1"/>
    <col min="30" max="35" width="12.26953125" bestFit="1" customWidth="1"/>
    <col min="39" max="45" width="8.81640625" bestFit="1" customWidth="1"/>
  </cols>
  <sheetData>
    <row r="1" spans="1:45" ht="15" thickBot="1" x14ac:dyDescent="0.4">
      <c r="B1" s="54" t="s">
        <v>8</v>
      </c>
      <c r="C1" s="54"/>
      <c r="D1" s="54"/>
      <c r="E1" s="54"/>
      <c r="F1" s="54"/>
      <c r="G1" s="54"/>
      <c r="H1" s="54"/>
      <c r="I1" s="54" t="s">
        <v>9</v>
      </c>
      <c r="J1" s="54"/>
      <c r="K1" s="54"/>
      <c r="L1" s="54"/>
      <c r="M1" s="54"/>
      <c r="N1" s="54"/>
      <c r="O1" s="54"/>
      <c r="AB1" s="53" t="s">
        <v>14</v>
      </c>
      <c r="AC1" s="53"/>
      <c r="AD1" s="53"/>
      <c r="AE1" s="53"/>
      <c r="AF1" s="53"/>
      <c r="AG1" s="53"/>
      <c r="AH1" s="53"/>
      <c r="AI1" s="53"/>
      <c r="AL1" s="53" t="s">
        <v>16</v>
      </c>
      <c r="AM1" s="53"/>
      <c r="AN1" s="53"/>
      <c r="AO1" s="53"/>
      <c r="AP1" s="53"/>
      <c r="AQ1" s="53"/>
      <c r="AR1" s="53"/>
      <c r="AS1" s="53"/>
    </row>
    <row r="2" spans="1:4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</v>
      </c>
      <c r="J2" s="1" t="s">
        <v>2</v>
      </c>
      <c r="K2" s="1" t="s">
        <v>3</v>
      </c>
      <c r="L2" s="1" t="s">
        <v>4</v>
      </c>
      <c r="M2" s="1" t="s">
        <v>5</v>
      </c>
      <c r="N2" s="1" t="s">
        <v>6</v>
      </c>
      <c r="O2" s="1" t="s">
        <v>7</v>
      </c>
      <c r="S2" s="14" t="s">
        <v>1</v>
      </c>
      <c r="T2" s="14" t="s">
        <v>2</v>
      </c>
      <c r="U2" s="14" t="s">
        <v>3</v>
      </c>
      <c r="V2" s="14" t="s">
        <v>4</v>
      </c>
      <c r="W2" s="14" t="s">
        <v>5</v>
      </c>
      <c r="X2" s="14" t="s">
        <v>6</v>
      </c>
      <c r="Y2" s="14" t="s">
        <v>7</v>
      </c>
      <c r="AB2" s="4"/>
      <c r="AC2" s="4" t="s">
        <v>1</v>
      </c>
      <c r="AD2" s="4" t="s">
        <v>2</v>
      </c>
      <c r="AE2" s="4" t="s">
        <v>3</v>
      </c>
      <c r="AF2" s="4" t="s">
        <v>4</v>
      </c>
      <c r="AG2" s="4" t="s">
        <v>5</v>
      </c>
      <c r="AH2" s="4" t="s">
        <v>6</v>
      </c>
      <c r="AI2" s="4" t="s">
        <v>7</v>
      </c>
      <c r="AL2" s="4"/>
      <c r="AM2" s="4" t="s">
        <v>1</v>
      </c>
      <c r="AN2" s="4" t="s">
        <v>2</v>
      </c>
      <c r="AO2" s="4" t="s">
        <v>3</v>
      </c>
      <c r="AP2" s="4" t="s">
        <v>4</v>
      </c>
      <c r="AQ2" s="4" t="s">
        <v>5</v>
      </c>
      <c r="AR2" s="4" t="s">
        <v>6</v>
      </c>
      <c r="AS2" s="4" t="s">
        <v>7</v>
      </c>
    </row>
    <row r="3" spans="1:45" x14ac:dyDescent="0.35">
      <c r="A3" s="2">
        <v>44936</v>
      </c>
      <c r="B3">
        <v>128.78706359863281</v>
      </c>
      <c r="C3">
        <v>462.03518676757813</v>
      </c>
      <c r="D3">
        <v>159.89002990722659</v>
      </c>
      <c r="E3">
        <v>129.09278869628909</v>
      </c>
      <c r="F3">
        <v>77.475364685058594</v>
      </c>
      <c r="G3">
        <v>140.81109619140619</v>
      </c>
      <c r="H3">
        <v>3919.25</v>
      </c>
      <c r="R3" s="15" t="s">
        <v>10</v>
      </c>
      <c r="S3" s="16">
        <f>AVERAGE(I4:I755)</f>
        <v>9.3097769167266222E-4</v>
      </c>
      <c r="T3" s="16">
        <f t="shared" ref="T3:Y3" si="0">AVERAGE(J4:J755)</f>
        <v>9.2290286519987666E-4</v>
      </c>
      <c r="U3" s="16">
        <f t="shared" si="0"/>
        <v>3.2652083061356763E-4</v>
      </c>
      <c r="V3" s="16">
        <f t="shared" si="0"/>
        <v>1.244818698235269E-3</v>
      </c>
      <c r="W3" s="16">
        <f t="shared" si="0"/>
        <v>4.0812061248975613E-5</v>
      </c>
      <c r="X3" s="16">
        <f t="shared" si="0"/>
        <v>9.9625825931375852E-6</v>
      </c>
      <c r="Y3" s="16">
        <f t="shared" si="0"/>
        <v>7.6486838638692033E-4</v>
      </c>
      <c r="AB3" t="s">
        <v>1</v>
      </c>
      <c r="AC3">
        <f>VARP('Part B'!$I$3:$I$755)</f>
        <v>2.5524943626919946E-4</v>
      </c>
      <c r="AD3">
        <f t="array" ref="AD3:AI3">TRANSPOSE(AC4:AC9)</f>
        <v>6.6514617764580668E-5</v>
      </c>
      <c r="AE3">
        <v>1.0257314477029185E-5</v>
      </c>
      <c r="AF3">
        <v>6.9517755994443538E-5</v>
      </c>
      <c r="AG3">
        <v>3.7287102234279945E-5</v>
      </c>
      <c r="AH3">
        <v>2.3668654145329817E-5</v>
      </c>
      <c r="AI3">
        <v>1.0253729160186975E-4</v>
      </c>
      <c r="AL3" t="s">
        <v>1</v>
      </c>
      <c r="AM3">
        <v>1</v>
      </c>
      <c r="AN3">
        <f t="array" ref="AN3:AS3">TRANSPOSE(AM4:AM9)</f>
        <v>0.33617743672358469</v>
      </c>
      <c r="AO3">
        <v>5.9452545658417746E-2</v>
      </c>
      <c r="AP3">
        <v>0.29918964788189706</v>
      </c>
      <c r="AQ3">
        <v>0.13522439643568529</v>
      </c>
      <c r="AR3">
        <v>0.14328659721734774</v>
      </c>
      <c r="AS3">
        <v>0.68182721371837507</v>
      </c>
    </row>
    <row r="4" spans="1:45" x14ac:dyDescent="0.35">
      <c r="A4" s="2">
        <v>44937</v>
      </c>
      <c r="B4">
        <v>131.50605773925781</v>
      </c>
      <c r="C4">
        <v>464.82806396484381</v>
      </c>
      <c r="D4">
        <v>159.6344299316406</v>
      </c>
      <c r="E4">
        <v>130.05216979980469</v>
      </c>
      <c r="F4">
        <v>77.896926879882813</v>
      </c>
      <c r="G4">
        <v>139.67083740234381</v>
      </c>
      <c r="H4">
        <v>3969.610107421875</v>
      </c>
      <c r="I4">
        <f>LN(B4/B3)</f>
        <v>2.0892546287810652E-2</v>
      </c>
      <c r="J4">
        <f t="shared" ref="J4:O19" si="1">LN(C4/C3)</f>
        <v>6.0265322806798121E-3</v>
      </c>
      <c r="K4">
        <f t="shared" si="1"/>
        <v>-1.5998777072312512E-3</v>
      </c>
      <c r="L4">
        <f t="shared" si="1"/>
        <v>7.4042380918471953E-3</v>
      </c>
      <c r="M4">
        <f t="shared" si="1"/>
        <v>5.4264917515157024E-3</v>
      </c>
      <c r="N4">
        <f t="shared" si="1"/>
        <v>-8.1307559188888053E-3</v>
      </c>
      <c r="O4">
        <f t="shared" si="1"/>
        <v>1.2767571192293676E-2</v>
      </c>
      <c r="R4" s="15" t="s">
        <v>11</v>
      </c>
      <c r="S4" s="16">
        <f>S3*252</f>
        <v>0.23460637830151088</v>
      </c>
      <c r="T4" s="16">
        <f t="shared" ref="T4:Y4" si="2">T3*252</f>
        <v>0.23257152203036893</v>
      </c>
      <c r="U4" s="16">
        <f t="shared" si="2"/>
        <v>8.2283249314619042E-2</v>
      </c>
      <c r="V4" s="16">
        <f t="shared" si="2"/>
        <v>0.3136943119552878</v>
      </c>
      <c r="W4" s="16">
        <f t="shared" si="2"/>
        <v>1.0284639434741854E-2</v>
      </c>
      <c r="X4" s="16">
        <f t="shared" si="2"/>
        <v>2.5105708134706716E-3</v>
      </c>
      <c r="Y4" s="16">
        <f t="shared" si="2"/>
        <v>0.19274683336950393</v>
      </c>
      <c r="AB4" t="s">
        <v>2</v>
      </c>
      <c r="AC4">
        <v>6.6514617764580668E-5</v>
      </c>
      <c r="AD4">
        <f>VARP('Part B'!$J$3:$J$755)</f>
        <v>1.5336712797550686E-4</v>
      </c>
      <c r="AE4">
        <f t="array" ref="AE4:AI4">TRANSPOSE(AD5:AD9)</f>
        <v>1.1619868038172224E-5</v>
      </c>
      <c r="AF4">
        <v>4.3485997992769345E-5</v>
      </c>
      <c r="AG4">
        <v>2.061573705271034E-5</v>
      </c>
      <c r="AH4">
        <v>3.5350911758263607E-5</v>
      </c>
      <c r="AI4">
        <v>5.5491219420835764E-5</v>
      </c>
      <c r="AL4" t="s">
        <v>2</v>
      </c>
      <c r="AM4">
        <v>0.33617743672358469</v>
      </c>
      <c r="AN4">
        <v>1</v>
      </c>
      <c r="AO4">
        <f t="array" ref="AO4:AS4">TRANSPOSE(AN5:AN9)</f>
        <v>8.6886886257778767E-2</v>
      </c>
      <c r="AP4">
        <v>0.24144405294253313</v>
      </c>
      <c r="AQ4">
        <v>9.645206670902895E-2</v>
      </c>
      <c r="AR4">
        <v>0.27608885670593625</v>
      </c>
      <c r="AS4">
        <v>0.47602856178141129</v>
      </c>
    </row>
    <row r="5" spans="1:45" x14ac:dyDescent="0.35">
      <c r="A5" s="2">
        <v>44938</v>
      </c>
      <c r="B5">
        <v>131.42723083496091</v>
      </c>
      <c r="C5">
        <v>463.02371215820313</v>
      </c>
      <c r="D5">
        <v>158.8311462402344</v>
      </c>
      <c r="E5">
        <v>129.92176818847659</v>
      </c>
      <c r="F5">
        <v>77.961074829101563</v>
      </c>
      <c r="G5">
        <v>138.8828430175781</v>
      </c>
      <c r="H5">
        <v>3983.169921875</v>
      </c>
      <c r="I5">
        <f t="shared" ref="I5:O54" si="3">LN(B5/B4)</f>
        <v>-5.9959624805194268E-4</v>
      </c>
      <c r="J5">
        <f t="shared" si="1"/>
        <v>-3.8893153574189663E-3</v>
      </c>
      <c r="K5">
        <f t="shared" si="1"/>
        <v>-5.0447235436937906E-3</v>
      </c>
      <c r="L5">
        <f t="shared" si="1"/>
        <v>-1.0031899602968349E-3</v>
      </c>
      <c r="M5">
        <f t="shared" si="1"/>
        <v>8.2315892848023816E-4</v>
      </c>
      <c r="N5">
        <f t="shared" si="1"/>
        <v>-5.6577711382328521E-3</v>
      </c>
      <c r="O5">
        <f t="shared" si="1"/>
        <v>3.4100849120427303E-3</v>
      </c>
      <c r="R5" s="15" t="s">
        <v>12</v>
      </c>
      <c r="S5" s="16">
        <f>_xlfn.STDEV.S(I4:I755)</f>
        <v>1.5987160963671639E-2</v>
      </c>
      <c r="T5" s="16">
        <f t="shared" ref="T5:Y5" si="4">_xlfn.STDEV.S(J4:J755)</f>
        <v>1.2392390616416796E-2</v>
      </c>
      <c r="U5" s="16">
        <f t="shared" si="4"/>
        <v>1.0806119640675267E-2</v>
      </c>
      <c r="V5" s="16">
        <f t="shared" si="4"/>
        <v>1.4553107526594297E-2</v>
      </c>
      <c r="W5" s="16">
        <f t="shared" si="4"/>
        <v>1.7270707852675243E-2</v>
      </c>
      <c r="X5" s="16">
        <f t="shared" si="4"/>
        <v>1.0346049465796406E-2</v>
      </c>
      <c r="Y5" s="16">
        <f t="shared" si="4"/>
        <v>9.4192010457807406E-3</v>
      </c>
      <c r="AB5" t="s">
        <v>3</v>
      </c>
      <c r="AC5">
        <v>1.0257314477029185E-5</v>
      </c>
      <c r="AD5">
        <v>1.1619868038172224E-5</v>
      </c>
      <c r="AE5">
        <f>VARP('Part B'!$K$3:$K$755)</f>
        <v>1.1661693947889549E-4</v>
      </c>
      <c r="AF5">
        <f t="array" ref="AF5:AI5">TRANSPOSE(AE6:AE9)</f>
        <v>2.378991089828469E-5</v>
      </c>
      <c r="AG5">
        <v>5.0082259271744427E-5</v>
      </c>
      <c r="AH5">
        <v>4.0289905059346837E-5</v>
      </c>
      <c r="AI5">
        <v>8.2572266416399129E-6</v>
      </c>
      <c r="AL5" t="s">
        <v>3</v>
      </c>
      <c r="AM5">
        <v>5.9452545658417746E-2</v>
      </c>
      <c r="AN5">
        <v>8.6886886257778767E-2</v>
      </c>
      <c r="AO5">
        <v>1</v>
      </c>
      <c r="AP5">
        <f t="array" ref="AP5:AS5">TRANSPOSE(AO6:AO9)</f>
        <v>0.1514764816943539</v>
      </c>
      <c r="AQ5">
        <v>0.26870881049224049</v>
      </c>
      <c r="AR5">
        <v>0.36085258898037353</v>
      </c>
      <c r="AS5">
        <v>8.123221031621225E-2</v>
      </c>
    </row>
    <row r="6" spans="1:45" x14ac:dyDescent="0.35">
      <c r="A6" s="2">
        <v>44939</v>
      </c>
      <c r="B6">
        <v>132.75718688964841</v>
      </c>
      <c r="C6">
        <v>465.73028564453119</v>
      </c>
      <c r="D6">
        <v>158.3108215332031</v>
      </c>
      <c r="E6">
        <v>133.20027160644531</v>
      </c>
      <c r="F6">
        <v>77.603652954101563</v>
      </c>
      <c r="G6">
        <v>139.87480163574219</v>
      </c>
      <c r="H6">
        <v>3999.090087890625</v>
      </c>
      <c r="I6">
        <f t="shared" si="3"/>
        <v>1.00684764180609E-2</v>
      </c>
      <c r="J6">
        <f t="shared" si="1"/>
        <v>5.8284134543193774E-3</v>
      </c>
      <c r="K6">
        <f t="shared" si="1"/>
        <v>-3.2813391274179133E-3</v>
      </c>
      <c r="L6">
        <f t="shared" si="1"/>
        <v>2.4921311045785117E-2</v>
      </c>
      <c r="M6">
        <f t="shared" si="1"/>
        <v>-4.5951612428051167E-3</v>
      </c>
      <c r="N6">
        <f t="shared" si="1"/>
        <v>7.1170267380992374E-3</v>
      </c>
      <c r="O6">
        <f t="shared" si="1"/>
        <v>3.988892144656051E-3</v>
      </c>
      <c r="R6" s="15" t="s">
        <v>13</v>
      </c>
      <c r="S6" s="16">
        <f>S5*SQRT(252)</f>
        <v>0.25378831247900929</v>
      </c>
      <c r="T6" s="16">
        <f t="shared" ref="T6:Y6" si="5">T5*SQRT(252)</f>
        <v>0.19672310232365561</v>
      </c>
      <c r="U6" s="16">
        <f t="shared" si="5"/>
        <v>0.17154183124102448</v>
      </c>
      <c r="V6" s="16">
        <f t="shared" si="5"/>
        <v>0.23102341991130496</v>
      </c>
      <c r="W6" s="16">
        <f t="shared" si="5"/>
        <v>0.27416398766537425</v>
      </c>
      <c r="X6" s="16">
        <f t="shared" si="5"/>
        <v>0.16423844363081971</v>
      </c>
      <c r="Y6" s="16">
        <f t="shared" si="5"/>
        <v>0.14952518109633214</v>
      </c>
      <c r="AB6" t="s">
        <v>4</v>
      </c>
      <c r="AC6">
        <v>6.9517755994443538E-5</v>
      </c>
      <c r="AD6">
        <v>4.3485997992769345E-5</v>
      </c>
      <c r="AE6">
        <v>2.378991089828469E-5</v>
      </c>
      <c r="AF6">
        <f>VARP('Part B'!$L$3:$L$755)</f>
        <v>2.1151129913449769E-4</v>
      </c>
      <c r="AG6">
        <f t="array" ref="AG6:AI6">TRANSPOSE(AF7:AF9)</f>
        <v>2.8469214211518195E-5</v>
      </c>
      <c r="AH6">
        <v>1.1642315910831335E-5</v>
      </c>
      <c r="AI6">
        <v>8.213031954203262E-5</v>
      </c>
      <c r="AL6" t="s">
        <v>4</v>
      </c>
      <c r="AM6">
        <v>0.29918964788189706</v>
      </c>
      <c r="AN6">
        <v>0.24144405294253313</v>
      </c>
      <c r="AO6">
        <v>0.1514764816943539</v>
      </c>
      <c r="AP6">
        <v>1</v>
      </c>
      <c r="AQ6">
        <f t="array" ref="AQ6:AS6">TRANSPOSE(AP7:AP9)</f>
        <v>0.11341944238929402</v>
      </c>
      <c r="AR6">
        <v>7.7426030532617859E-2</v>
      </c>
      <c r="AS6">
        <v>0.59994523902274621</v>
      </c>
    </row>
    <row r="7" spans="1:45" x14ac:dyDescent="0.35">
      <c r="A7" s="2">
        <v>44943</v>
      </c>
      <c r="B7">
        <v>133.91966247558591</v>
      </c>
      <c r="C7">
        <v>467.18914794921881</v>
      </c>
      <c r="D7">
        <v>157.33412170410159</v>
      </c>
      <c r="E7">
        <v>131.14189147949219</v>
      </c>
      <c r="F7">
        <v>78.575065612792969</v>
      </c>
      <c r="G7">
        <v>139.46687316894531</v>
      </c>
      <c r="H7">
        <v>3990.969970703125</v>
      </c>
      <c r="I7">
        <f t="shared" si="3"/>
        <v>8.7182892093593586E-3</v>
      </c>
      <c r="J7">
        <f t="shared" si="1"/>
        <v>3.1275230020896467E-3</v>
      </c>
      <c r="K7">
        <f t="shared" si="1"/>
        <v>-6.1886177316850298E-3</v>
      </c>
      <c r="L7">
        <f t="shared" si="1"/>
        <v>-1.5573919099708206E-2</v>
      </c>
      <c r="M7">
        <f t="shared" si="1"/>
        <v>1.2439917485223667E-2</v>
      </c>
      <c r="N7">
        <f t="shared" si="1"/>
        <v>-2.9206437389383113E-3</v>
      </c>
      <c r="O7">
        <f t="shared" si="1"/>
        <v>-2.0325554309963139E-3</v>
      </c>
      <c r="AB7" t="s">
        <v>5</v>
      </c>
      <c r="AC7">
        <v>3.7287102234279945E-5</v>
      </c>
      <c r="AD7">
        <v>2.061573705271034E-5</v>
      </c>
      <c r="AE7">
        <v>5.0082259271744427E-5</v>
      </c>
      <c r="AF7">
        <v>2.8469214211518195E-5</v>
      </c>
      <c r="AG7">
        <f>VARP('Part B'!$M$3:$M$755)</f>
        <v>2.9788070432058004E-4</v>
      </c>
      <c r="AH7">
        <f t="array" ref="AH7:AI7">TRANSPOSE(AG8:AG9)</f>
        <v>5.9700694273702935E-5</v>
      </c>
      <c r="AI7">
        <v>3.8027350961801722E-5</v>
      </c>
      <c r="AL7" t="s">
        <v>5</v>
      </c>
      <c r="AM7">
        <v>0.13522439643568529</v>
      </c>
      <c r="AN7">
        <v>9.645206670902895E-2</v>
      </c>
      <c r="AO7">
        <v>0.26870881049224049</v>
      </c>
      <c r="AP7">
        <v>0.11341944238929402</v>
      </c>
      <c r="AQ7">
        <v>1</v>
      </c>
      <c r="AR7">
        <f t="array" ref="AR7:AS7">TRANSPOSE(AQ8:AQ9)</f>
        <v>0.33455890724095261</v>
      </c>
      <c r="AS7">
        <v>0.23407216496265199</v>
      </c>
    </row>
    <row r="8" spans="1:45" x14ac:dyDescent="0.35">
      <c r="A8" s="2">
        <v>44944</v>
      </c>
      <c r="B8">
        <v>133.20051574707031</v>
      </c>
      <c r="C8">
        <v>460.18276977539063</v>
      </c>
      <c r="D8">
        <v>154.9607849121094</v>
      </c>
      <c r="E8">
        <v>127.20204925537109</v>
      </c>
      <c r="F8">
        <v>76.797203063964844</v>
      </c>
      <c r="G8">
        <v>135.73081970214841</v>
      </c>
      <c r="H8">
        <v>3928.860107421875</v>
      </c>
      <c r="I8">
        <f t="shared" si="3"/>
        <v>-5.3844563206002253E-3</v>
      </c>
      <c r="J8">
        <f t="shared" si="1"/>
        <v>-1.5110467226925665E-2</v>
      </c>
      <c r="K8">
        <f t="shared" si="1"/>
        <v>-1.5199623393877811E-2</v>
      </c>
      <c r="L8">
        <f t="shared" si="1"/>
        <v>-3.050311681747931E-2</v>
      </c>
      <c r="M8">
        <f t="shared" si="1"/>
        <v>-2.2886196664735719E-2</v>
      </c>
      <c r="N8">
        <f t="shared" si="1"/>
        <v>-2.7153447235452977E-2</v>
      </c>
      <c r="O8">
        <f t="shared" si="1"/>
        <v>-1.5684966977744675E-2</v>
      </c>
      <c r="AB8" t="s">
        <v>6</v>
      </c>
      <c r="AC8">
        <v>2.3668654145329817E-5</v>
      </c>
      <c r="AD8">
        <v>3.5350911758263607E-5</v>
      </c>
      <c r="AE8">
        <v>4.0289905059346837E-5</v>
      </c>
      <c r="AF8">
        <v>1.1642315910831335E-5</v>
      </c>
      <c r="AG8">
        <v>5.9700694273702935E-5</v>
      </c>
      <c r="AH8">
        <f>VARP('Part B'!$N$3:$N$755)</f>
        <v>1.0689839813973175E-4</v>
      </c>
      <c r="AI8">
        <f>AH9</f>
        <v>1.4427467080141978E-5</v>
      </c>
      <c r="AL8" t="s">
        <v>6</v>
      </c>
      <c r="AM8">
        <v>0.14328659721734774</v>
      </c>
      <c r="AN8">
        <v>0.27608885670593625</v>
      </c>
      <c r="AO8">
        <v>0.36085258898037353</v>
      </c>
      <c r="AP8">
        <v>7.7426030532617859E-2</v>
      </c>
      <c r="AQ8">
        <v>0.33455890724095261</v>
      </c>
      <c r="AR8">
        <v>1</v>
      </c>
      <c r="AS8">
        <f>AR9</f>
        <v>0.14824476925508523</v>
      </c>
    </row>
    <row r="9" spans="1:45" ht="15" thickBot="1" x14ac:dyDescent="0.4">
      <c r="A9" s="2">
        <v>44945</v>
      </c>
      <c r="B9">
        <v>133.25962829589841</v>
      </c>
      <c r="C9">
        <v>450.60421752929688</v>
      </c>
      <c r="D9">
        <v>154.7508544921875</v>
      </c>
      <c r="E9">
        <v>125.5068664550781</v>
      </c>
      <c r="F9">
        <v>75.688316345214844</v>
      </c>
      <c r="G9">
        <v>132.86036682128909</v>
      </c>
      <c r="H9">
        <v>3898.85009765625</v>
      </c>
      <c r="I9">
        <f t="shared" si="3"/>
        <v>4.4368774182073441E-4</v>
      </c>
      <c r="J9">
        <f t="shared" si="1"/>
        <v>-2.1034348406978046E-2</v>
      </c>
      <c r="K9">
        <f t="shared" si="1"/>
        <v>-1.3556510338220136E-3</v>
      </c>
      <c r="L9">
        <f t="shared" si="1"/>
        <v>-1.3416291409834072E-2</v>
      </c>
      <c r="M9">
        <f t="shared" si="1"/>
        <v>-1.4544414063716336E-2</v>
      </c>
      <c r="N9">
        <f t="shared" si="1"/>
        <v>-2.1374954308564266E-2</v>
      </c>
      <c r="O9">
        <f t="shared" si="1"/>
        <v>-7.6676719018124277E-3</v>
      </c>
      <c r="AB9" s="3" t="s">
        <v>7</v>
      </c>
      <c r="AC9" s="3">
        <v>1.0253729160186975E-4</v>
      </c>
      <c r="AD9" s="3">
        <v>5.5491219420835764E-5</v>
      </c>
      <c r="AE9" s="3">
        <v>8.2572266416399129E-6</v>
      </c>
      <c r="AF9" s="3">
        <v>8.213031954203262E-5</v>
      </c>
      <c r="AG9" s="3">
        <v>3.8027350961801722E-5</v>
      </c>
      <c r="AH9" s="3">
        <v>1.4427467080141978E-5</v>
      </c>
      <c r="AI9" s="3">
        <f>VARP('Part B'!$O$3:$O$755)</f>
        <v>8.8603367824426318E-5</v>
      </c>
      <c r="AL9" s="3" t="s">
        <v>7</v>
      </c>
      <c r="AM9" s="3">
        <v>0.68182721371837507</v>
      </c>
      <c r="AN9" s="3">
        <v>0.47602856178141129</v>
      </c>
      <c r="AO9" s="3">
        <v>8.123221031621225E-2</v>
      </c>
      <c r="AP9" s="3">
        <v>0.59994523902274621</v>
      </c>
      <c r="AQ9" s="3">
        <v>0.23407216496265199</v>
      </c>
      <c r="AR9" s="3">
        <v>0.14824476925508523</v>
      </c>
      <c r="AS9" s="3">
        <v>1</v>
      </c>
    </row>
    <row r="10" spans="1:45" x14ac:dyDescent="0.35">
      <c r="A10" s="2">
        <v>44946</v>
      </c>
      <c r="B10">
        <v>135.82098388671881</v>
      </c>
      <c r="C10">
        <v>460.79696655273438</v>
      </c>
      <c r="D10">
        <v>154.02973937988281</v>
      </c>
      <c r="E10">
        <v>125.8142547607422</v>
      </c>
      <c r="F10">
        <v>74.982658386230469</v>
      </c>
      <c r="G10">
        <v>133.37345886230469</v>
      </c>
      <c r="H10">
        <v>3972.610107421875</v>
      </c>
      <c r="I10">
        <f t="shared" si="3"/>
        <v>1.9038405892670963E-2</v>
      </c>
      <c r="J10">
        <f t="shared" si="1"/>
        <v>2.2368138596210636E-2</v>
      </c>
      <c r="K10">
        <f t="shared" si="1"/>
        <v>-4.6707366822222717E-3</v>
      </c>
      <c r="L10">
        <f t="shared" si="1"/>
        <v>2.4461808657882723E-3</v>
      </c>
      <c r="M10">
        <f t="shared" si="1"/>
        <v>-9.3669417052178582E-3</v>
      </c>
      <c r="N10">
        <f t="shared" si="1"/>
        <v>3.8544514389934298E-3</v>
      </c>
      <c r="O10">
        <f t="shared" si="1"/>
        <v>1.874167355235196E-2</v>
      </c>
    </row>
    <row r="11" spans="1:45" ht="15" thickBot="1" x14ac:dyDescent="0.4">
      <c r="A11" s="2">
        <v>44949</v>
      </c>
      <c r="B11">
        <v>139.0128173828125</v>
      </c>
      <c r="C11">
        <v>472.79421997070313</v>
      </c>
      <c r="D11">
        <v>153.63719177246091</v>
      </c>
      <c r="E11">
        <v>127.85400390625</v>
      </c>
      <c r="F11">
        <v>75.761627197265625</v>
      </c>
      <c r="G11">
        <v>131.58232116699219</v>
      </c>
      <c r="H11">
        <v>4019.81005859375</v>
      </c>
      <c r="I11">
        <f t="shared" si="3"/>
        <v>2.3228416558336663E-2</v>
      </c>
      <c r="J11">
        <f t="shared" si="1"/>
        <v>2.570271455476051E-2</v>
      </c>
      <c r="K11">
        <f t="shared" si="1"/>
        <v>-2.5517712869495852E-3</v>
      </c>
      <c r="L11">
        <f t="shared" si="1"/>
        <v>1.6082367733860532E-2</v>
      </c>
      <c r="M11">
        <f t="shared" si="1"/>
        <v>1.0335061680200101E-2</v>
      </c>
      <c r="N11">
        <f t="shared" si="1"/>
        <v>-1.3520482403086231E-2</v>
      </c>
      <c r="O11">
        <f t="shared" si="1"/>
        <v>1.1811315951328555E-2</v>
      </c>
      <c r="AB11" s="50" t="s">
        <v>15</v>
      </c>
      <c r="AC11" s="50"/>
      <c r="AD11" s="50"/>
      <c r="AE11" s="50"/>
      <c r="AF11" s="50"/>
      <c r="AG11" s="50"/>
      <c r="AH11" s="50"/>
      <c r="AI11" s="50"/>
    </row>
    <row r="12" spans="1:45" x14ac:dyDescent="0.35">
      <c r="A12" s="2">
        <v>44950</v>
      </c>
      <c r="B12">
        <v>140.4117431640625</v>
      </c>
      <c r="C12">
        <v>472.3143310546875</v>
      </c>
      <c r="D12">
        <v>153.63719177246091</v>
      </c>
      <c r="E12">
        <v>128.95307922363281</v>
      </c>
      <c r="F12">
        <v>76.888839721679688</v>
      </c>
      <c r="G12">
        <v>132.30061340332031</v>
      </c>
      <c r="H12">
        <v>4016.949951171875</v>
      </c>
      <c r="I12">
        <f t="shared" si="3"/>
        <v>1.0012988597069032E-2</v>
      </c>
      <c r="J12">
        <f t="shared" si="1"/>
        <v>-1.0155213530483457E-3</v>
      </c>
      <c r="K12">
        <f t="shared" si="1"/>
        <v>0</v>
      </c>
      <c r="L12">
        <f t="shared" si="1"/>
        <v>8.5595927841340992E-3</v>
      </c>
      <c r="M12">
        <f t="shared" si="1"/>
        <v>1.4768811859555324E-2</v>
      </c>
      <c r="N12">
        <f t="shared" si="1"/>
        <v>5.4440353373384322E-3</v>
      </c>
      <c r="O12">
        <f t="shared" si="1"/>
        <v>-7.1175636429181928E-4</v>
      </c>
      <c r="AB12" s="4"/>
      <c r="AC12" s="4" t="s">
        <v>1</v>
      </c>
      <c r="AD12" s="4" t="s">
        <v>2</v>
      </c>
      <c r="AE12" s="4" t="s">
        <v>3</v>
      </c>
      <c r="AF12" s="4" t="s">
        <v>4</v>
      </c>
      <c r="AG12" s="4" t="s">
        <v>5</v>
      </c>
      <c r="AH12" s="4" t="s">
        <v>6</v>
      </c>
      <c r="AI12" s="4" t="s">
        <v>7</v>
      </c>
    </row>
    <row r="13" spans="1:45" x14ac:dyDescent="0.35">
      <c r="A13" s="2">
        <v>44951</v>
      </c>
      <c r="B13">
        <v>139.75166320800781</v>
      </c>
      <c r="C13">
        <v>471.1337890625</v>
      </c>
      <c r="D13">
        <v>154.73260498046881</v>
      </c>
      <c r="E13">
        <v>129.5771179199219</v>
      </c>
      <c r="F13">
        <v>70.189704895019531</v>
      </c>
      <c r="G13">
        <v>132.2073669433594</v>
      </c>
      <c r="H13">
        <v>4016.219970703125</v>
      </c>
      <c r="I13">
        <f t="shared" si="3"/>
        <v>-4.7121155897669065E-3</v>
      </c>
      <c r="J13">
        <f t="shared" si="1"/>
        <v>-2.5026126676519793E-3</v>
      </c>
      <c r="K13">
        <f t="shared" si="1"/>
        <v>7.1045726729144099E-3</v>
      </c>
      <c r="L13">
        <f t="shared" si="1"/>
        <v>4.8275978214932609E-3</v>
      </c>
      <c r="M13">
        <f t="shared" si="1"/>
        <v>-9.1159092463395097E-2</v>
      </c>
      <c r="N13">
        <f t="shared" si="1"/>
        <v>-7.0505595862518618E-4</v>
      </c>
      <c r="O13">
        <f t="shared" si="1"/>
        <v>-1.8174157346566321E-4</v>
      </c>
      <c r="Q13" s="8"/>
      <c r="R13" s="8"/>
      <c r="S13" s="8"/>
      <c r="T13" s="8"/>
      <c r="U13" s="8"/>
      <c r="V13" s="8"/>
      <c r="W13" s="8"/>
      <c r="X13" s="8"/>
      <c r="AB13" t="s">
        <v>1</v>
      </c>
      <c r="AC13">
        <f>AC3*252</f>
        <v>6.432285793983826E-2</v>
      </c>
      <c r="AD13">
        <f t="shared" ref="AD13:AI13" si="6">AD3*252</f>
        <v>1.6761683676674327E-2</v>
      </c>
      <c r="AE13">
        <f t="shared" si="6"/>
        <v>2.5848432482113545E-3</v>
      </c>
      <c r="AF13">
        <f t="shared" si="6"/>
        <v>1.751847451059977E-2</v>
      </c>
      <c r="AG13">
        <f t="shared" si="6"/>
        <v>9.3963497630385456E-3</v>
      </c>
      <c r="AH13">
        <f t="shared" si="6"/>
        <v>5.9645008446231138E-3</v>
      </c>
      <c r="AI13">
        <f t="shared" si="6"/>
        <v>2.5839397483671176E-2</v>
      </c>
    </row>
    <row r="14" spans="1:45" x14ac:dyDescent="0.35">
      <c r="A14" s="2">
        <v>44952</v>
      </c>
      <c r="B14">
        <v>141.8204650878906</v>
      </c>
      <c r="C14">
        <v>478.2552490234375</v>
      </c>
      <c r="D14">
        <v>154.16664123535159</v>
      </c>
      <c r="E14">
        <v>130.37812805175781</v>
      </c>
      <c r="F14">
        <v>70.015586853027344</v>
      </c>
      <c r="G14">
        <v>131.67558288574219</v>
      </c>
      <c r="H14">
        <v>4060.429931640625</v>
      </c>
      <c r="I14">
        <f t="shared" si="3"/>
        <v>1.4694914020399049E-2</v>
      </c>
      <c r="J14">
        <f t="shared" si="1"/>
        <v>1.5002476848203524E-2</v>
      </c>
      <c r="K14">
        <f t="shared" si="1"/>
        <v>-3.6643946876134996E-3</v>
      </c>
      <c r="L14">
        <f t="shared" si="1"/>
        <v>6.1626966900338812E-3</v>
      </c>
      <c r="M14">
        <f t="shared" si="1"/>
        <v>-2.4837597687420222E-3</v>
      </c>
      <c r="N14">
        <f t="shared" si="1"/>
        <v>-4.030459549179263E-3</v>
      </c>
      <c r="O14">
        <f t="shared" si="1"/>
        <v>1.0947708029114303E-2</v>
      </c>
      <c r="AB14" t="s">
        <v>2</v>
      </c>
      <c r="AC14">
        <f t="shared" ref="AC14:AI19" si="7">AC4*252</f>
        <v>1.6761683676674327E-2</v>
      </c>
      <c r="AD14">
        <f t="shared" si="7"/>
        <v>3.8648516249827729E-2</v>
      </c>
      <c r="AE14">
        <f t="shared" si="7"/>
        <v>2.9282067456194005E-3</v>
      </c>
      <c r="AF14">
        <f t="shared" si="7"/>
        <v>1.0958471494177875E-2</v>
      </c>
      <c r="AG14">
        <f t="shared" si="7"/>
        <v>5.1951657372830053E-3</v>
      </c>
      <c r="AH14">
        <f t="shared" si="7"/>
        <v>8.9084297630824295E-3</v>
      </c>
      <c r="AI14">
        <f t="shared" si="7"/>
        <v>1.3983787294050613E-2</v>
      </c>
    </row>
    <row r="15" spans="1:45" x14ac:dyDescent="0.35">
      <c r="A15" s="2">
        <v>44953</v>
      </c>
      <c r="B15">
        <v>143.76116943359381</v>
      </c>
      <c r="C15">
        <v>483.04464721679688</v>
      </c>
      <c r="D15">
        <v>153.56416320800781</v>
      </c>
      <c r="E15">
        <v>130.69480895996091</v>
      </c>
      <c r="F15">
        <v>69.264106750488281</v>
      </c>
      <c r="G15">
        <v>131.1345520019531</v>
      </c>
      <c r="H15">
        <v>4070.56005859375</v>
      </c>
      <c r="I15">
        <f t="shared" si="3"/>
        <v>1.3591449772223976E-2</v>
      </c>
      <c r="J15">
        <f t="shared" si="1"/>
        <v>9.9645029419668379E-3</v>
      </c>
      <c r="K15">
        <f t="shared" si="1"/>
        <v>-3.9156222803523235E-3</v>
      </c>
      <c r="L15">
        <f t="shared" si="1"/>
        <v>2.4259968662062731E-3</v>
      </c>
      <c r="M15">
        <f t="shared" si="1"/>
        <v>-1.0791054681032699E-2</v>
      </c>
      <c r="N15">
        <f t="shared" si="1"/>
        <v>-4.1172814611328389E-3</v>
      </c>
      <c r="O15">
        <f t="shared" si="1"/>
        <v>2.4917340217038551E-3</v>
      </c>
      <c r="AB15" t="s">
        <v>3</v>
      </c>
      <c r="AC15">
        <f t="shared" si="7"/>
        <v>2.5848432482113545E-3</v>
      </c>
      <c r="AD15">
        <f t="shared" si="7"/>
        <v>2.9282067456194005E-3</v>
      </c>
      <c r="AE15">
        <f t="shared" si="7"/>
        <v>2.9387468748681662E-2</v>
      </c>
      <c r="AF15">
        <f t="shared" si="7"/>
        <v>5.9950575463677417E-3</v>
      </c>
      <c r="AG15">
        <f t="shared" si="7"/>
        <v>1.2620729336479595E-2</v>
      </c>
      <c r="AH15">
        <f t="shared" si="7"/>
        <v>1.0153056074955404E-2</v>
      </c>
      <c r="AI15">
        <f t="shared" si="7"/>
        <v>2.080821113693258E-3</v>
      </c>
    </row>
    <row r="16" spans="1:45" x14ac:dyDescent="0.35">
      <c r="A16" s="2">
        <v>44956</v>
      </c>
      <c r="B16">
        <v>140.8747253417969</v>
      </c>
      <c r="C16">
        <v>483.03497314453119</v>
      </c>
      <c r="D16">
        <v>147.87727355957031</v>
      </c>
      <c r="E16">
        <v>129.5864562988281</v>
      </c>
      <c r="F16">
        <v>68.778396606445313</v>
      </c>
      <c r="G16">
        <v>131.54499816894531</v>
      </c>
      <c r="H16">
        <v>4017.77001953125</v>
      </c>
      <c r="I16">
        <f t="shared" si="3"/>
        <v>-2.0282354367448244E-2</v>
      </c>
      <c r="J16">
        <f t="shared" si="1"/>
        <v>-2.0027484406253604E-5</v>
      </c>
      <c r="K16">
        <f t="shared" si="1"/>
        <v>-3.7735783989239449E-2</v>
      </c>
      <c r="L16">
        <f t="shared" si="1"/>
        <v>-8.5166280359339451E-3</v>
      </c>
      <c r="M16">
        <f t="shared" si="1"/>
        <v>-7.0371390933555268E-3</v>
      </c>
      <c r="N16">
        <f t="shared" si="1"/>
        <v>3.1250738838472826E-3</v>
      </c>
      <c r="O16">
        <f t="shared" si="1"/>
        <v>-1.3053569315292663E-2</v>
      </c>
      <c r="AB16" t="s">
        <v>4</v>
      </c>
      <c r="AC16">
        <f t="shared" si="7"/>
        <v>1.751847451059977E-2</v>
      </c>
      <c r="AD16">
        <f t="shared" si="7"/>
        <v>1.0958471494177875E-2</v>
      </c>
      <c r="AE16">
        <f t="shared" si="7"/>
        <v>5.9950575463677417E-3</v>
      </c>
      <c r="AF16">
        <f t="shared" si="7"/>
        <v>5.3300847381893418E-2</v>
      </c>
      <c r="AG16">
        <f t="shared" si="7"/>
        <v>7.1742419813025848E-3</v>
      </c>
      <c r="AH16">
        <f t="shared" si="7"/>
        <v>2.9338636095294964E-3</v>
      </c>
      <c r="AI16">
        <f t="shared" si="7"/>
        <v>2.0696840524592221E-2</v>
      </c>
    </row>
    <row r="17" spans="1:36" x14ac:dyDescent="0.35">
      <c r="A17" s="2">
        <v>44957</v>
      </c>
      <c r="B17">
        <v>142.14555358886719</v>
      </c>
      <c r="C17">
        <v>490.57879638671881</v>
      </c>
      <c r="D17">
        <v>149.1734924316406</v>
      </c>
      <c r="E17">
        <v>130.35948181152341</v>
      </c>
      <c r="F17">
        <v>68.393501281738281</v>
      </c>
      <c r="G17">
        <v>132.8230285644531</v>
      </c>
      <c r="H17">
        <v>4076.60009765625</v>
      </c>
      <c r="I17">
        <f t="shared" si="3"/>
        <v>8.9805351961815029E-3</v>
      </c>
      <c r="J17">
        <f t="shared" si="1"/>
        <v>1.5496851934416005E-2</v>
      </c>
      <c r="K17">
        <f t="shared" si="1"/>
        <v>8.7273102632525659E-3</v>
      </c>
      <c r="L17">
        <f t="shared" si="1"/>
        <v>5.947604313909156E-3</v>
      </c>
      <c r="M17">
        <f t="shared" si="1"/>
        <v>-5.6118832029783345E-3</v>
      </c>
      <c r="N17">
        <f t="shared" si="1"/>
        <v>9.6686453912661653E-3</v>
      </c>
      <c r="O17">
        <f t="shared" si="1"/>
        <v>1.4536304416419527E-2</v>
      </c>
      <c r="AB17" t="s">
        <v>5</v>
      </c>
      <c r="AC17">
        <f t="shared" si="7"/>
        <v>9.3963497630385456E-3</v>
      </c>
      <c r="AD17">
        <f t="shared" si="7"/>
        <v>5.1951657372830053E-3</v>
      </c>
      <c r="AE17">
        <f t="shared" si="7"/>
        <v>1.2620729336479595E-2</v>
      </c>
      <c r="AF17">
        <f t="shared" si="7"/>
        <v>7.1742419813025848E-3</v>
      </c>
      <c r="AG17">
        <f t="shared" si="7"/>
        <v>7.5065937488786164E-2</v>
      </c>
      <c r="AH17">
        <f t="shared" si="7"/>
        <v>1.5044574956973139E-2</v>
      </c>
      <c r="AI17">
        <f t="shared" si="7"/>
        <v>9.5828924423740341E-3</v>
      </c>
    </row>
    <row r="18" spans="1:36" x14ac:dyDescent="0.35">
      <c r="A18" s="2">
        <v>44958</v>
      </c>
      <c r="B18">
        <v>143.26861572265619</v>
      </c>
      <c r="C18">
        <v>497.07656860351563</v>
      </c>
      <c r="D18">
        <v>150.542724609375</v>
      </c>
      <c r="E18">
        <v>130.014892578125</v>
      </c>
      <c r="F18">
        <v>68.036079406738281</v>
      </c>
      <c r="G18">
        <v>133.57867431640619</v>
      </c>
      <c r="H18">
        <v>4119.2099609375</v>
      </c>
      <c r="I18">
        <f t="shared" si="3"/>
        <v>7.8697419451473263E-3</v>
      </c>
      <c r="J18">
        <f t="shared" si="1"/>
        <v>1.3158164674477635E-2</v>
      </c>
      <c r="K18">
        <f t="shared" si="1"/>
        <v>9.1369210309038915E-3</v>
      </c>
      <c r="L18">
        <f t="shared" si="1"/>
        <v>-2.6468767165553795E-3</v>
      </c>
      <c r="M18">
        <f t="shared" si="1"/>
        <v>-5.2396656343949239E-3</v>
      </c>
      <c r="N18">
        <f t="shared" si="1"/>
        <v>5.6729951073993213E-3</v>
      </c>
      <c r="O18">
        <f t="shared" si="1"/>
        <v>1.039805629688473E-2</v>
      </c>
      <c r="AB18" t="s">
        <v>6</v>
      </c>
      <c r="AC18">
        <f t="shared" si="7"/>
        <v>5.9645008446231138E-3</v>
      </c>
      <c r="AD18">
        <f t="shared" si="7"/>
        <v>8.9084297630824295E-3</v>
      </c>
      <c r="AE18">
        <f t="shared" si="7"/>
        <v>1.0153056074955404E-2</v>
      </c>
      <c r="AF18">
        <f t="shared" si="7"/>
        <v>2.9338636095294964E-3</v>
      </c>
      <c r="AG18">
        <f t="shared" si="7"/>
        <v>1.5044574956973139E-2</v>
      </c>
      <c r="AH18">
        <f t="shared" si="7"/>
        <v>2.6938396331212401E-2</v>
      </c>
      <c r="AI18">
        <f t="shared" si="7"/>
        <v>3.6357217041957787E-3</v>
      </c>
    </row>
    <row r="19" spans="1:36" ht="15" thickBot="1" x14ac:dyDescent="0.4">
      <c r="A19" s="2">
        <v>44959</v>
      </c>
      <c r="B19">
        <v>148.57853698730469</v>
      </c>
      <c r="C19">
        <v>503.24899291992188</v>
      </c>
      <c r="D19">
        <v>151.1086730957031</v>
      </c>
      <c r="E19">
        <v>129.40946960449219</v>
      </c>
      <c r="F19">
        <v>69.282432556152344</v>
      </c>
      <c r="G19">
        <v>132.62713623046881</v>
      </c>
      <c r="H19">
        <v>4179.759765625</v>
      </c>
      <c r="I19">
        <f t="shared" si="3"/>
        <v>3.6392387201993816E-2</v>
      </c>
      <c r="J19">
        <f t="shared" si="1"/>
        <v>1.2340987558381736E-2</v>
      </c>
      <c r="K19">
        <f t="shared" si="1"/>
        <v>3.7523389891913278E-3</v>
      </c>
      <c r="L19">
        <f t="shared" si="1"/>
        <v>-4.6674419290035716E-3</v>
      </c>
      <c r="M19">
        <f t="shared" si="1"/>
        <v>1.8153231612045771E-2</v>
      </c>
      <c r="N19">
        <f t="shared" si="1"/>
        <v>-7.1489208782189711E-3</v>
      </c>
      <c r="O19">
        <f t="shared" si="1"/>
        <v>1.4592384626854379E-2</v>
      </c>
      <c r="AB19" s="3" t="s">
        <v>7</v>
      </c>
      <c r="AC19" s="3">
        <f t="shared" si="7"/>
        <v>2.5839397483671176E-2</v>
      </c>
      <c r="AD19" s="3">
        <f t="shared" si="7"/>
        <v>1.3983787294050613E-2</v>
      </c>
      <c r="AE19" s="3">
        <f t="shared" si="7"/>
        <v>2.080821113693258E-3</v>
      </c>
      <c r="AF19" s="3">
        <f t="shared" si="7"/>
        <v>2.0696840524592221E-2</v>
      </c>
      <c r="AG19" s="3">
        <f t="shared" si="7"/>
        <v>9.5828924423740341E-3</v>
      </c>
      <c r="AH19" s="3">
        <f t="shared" si="7"/>
        <v>3.6357217041957787E-3</v>
      </c>
      <c r="AI19" s="3">
        <f t="shared" si="7"/>
        <v>2.2328048691755434E-2</v>
      </c>
    </row>
    <row r="20" spans="1:36" ht="15" thickBot="1" x14ac:dyDescent="0.4">
      <c r="A20" s="2">
        <v>44960</v>
      </c>
      <c r="B20">
        <v>152.2038269042969</v>
      </c>
      <c r="C20">
        <v>494.95175170898438</v>
      </c>
      <c r="D20">
        <v>150.25975036621091</v>
      </c>
      <c r="E20">
        <v>131.41200256347659</v>
      </c>
      <c r="F20">
        <v>68.430152893066406</v>
      </c>
      <c r="G20">
        <v>133.03759765625</v>
      </c>
      <c r="H20">
        <v>4136.47998046875</v>
      </c>
      <c r="I20">
        <f t="shared" si="3"/>
        <v>2.410690198691046E-2</v>
      </c>
      <c r="J20">
        <f t="shared" si="3"/>
        <v>-1.6624776842160752E-2</v>
      </c>
      <c r="K20">
        <f t="shared" si="3"/>
        <v>-5.6338017441913534E-3</v>
      </c>
      <c r="L20">
        <f t="shared" si="3"/>
        <v>1.535588533024713E-2</v>
      </c>
      <c r="M20">
        <f t="shared" si="3"/>
        <v>-1.2377816330766303E-2</v>
      </c>
      <c r="N20">
        <f t="shared" si="3"/>
        <v>3.0900733144773283E-3</v>
      </c>
      <c r="O20">
        <f t="shared" si="3"/>
        <v>-1.0408592637285455E-2</v>
      </c>
    </row>
    <row r="21" spans="1:36" x14ac:dyDescent="0.35">
      <c r="A21" s="2">
        <v>44963</v>
      </c>
      <c r="B21">
        <v>149.4749755859375</v>
      </c>
      <c r="C21">
        <v>495.7113037109375</v>
      </c>
      <c r="D21">
        <v>149.11871337890619</v>
      </c>
      <c r="E21">
        <v>132.1850280761719</v>
      </c>
      <c r="F21">
        <v>69.199974060058594</v>
      </c>
      <c r="G21">
        <v>131.90882873535159</v>
      </c>
      <c r="H21">
        <v>4111.080078125</v>
      </c>
      <c r="I21">
        <f t="shared" si="3"/>
        <v>-1.8091597594457491E-2</v>
      </c>
      <c r="J21">
        <f t="shared" si="3"/>
        <v>1.5334217757101884E-3</v>
      </c>
      <c r="K21">
        <f t="shared" si="3"/>
        <v>-7.6227427860797482E-3</v>
      </c>
      <c r="L21">
        <f t="shared" si="3"/>
        <v>5.865223343973977E-3</v>
      </c>
      <c r="M21">
        <f t="shared" si="3"/>
        <v>1.1186928508205785E-2</v>
      </c>
      <c r="N21">
        <f t="shared" si="3"/>
        <v>-8.5207848671173016E-3</v>
      </c>
      <c r="O21">
        <f t="shared" si="3"/>
        <v>-6.1593931939392622E-3</v>
      </c>
      <c r="Y21" s="35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7"/>
    </row>
    <row r="22" spans="1:36" ht="14.5" customHeight="1" x14ac:dyDescent="0.35">
      <c r="A22" s="2">
        <v>44964</v>
      </c>
      <c r="B22">
        <v>152.3515625</v>
      </c>
      <c r="C22">
        <v>496.61505126953119</v>
      </c>
      <c r="D22">
        <v>149.1552429199219</v>
      </c>
      <c r="E22">
        <v>133.7963562011719</v>
      </c>
      <c r="F22">
        <v>69.722320556640625</v>
      </c>
      <c r="G22">
        <v>130.62144470214841</v>
      </c>
      <c r="H22">
        <v>4164</v>
      </c>
      <c r="I22">
        <f t="shared" si="3"/>
        <v>1.9061769933747693E-2</v>
      </c>
      <c r="J22">
        <f t="shared" si="3"/>
        <v>1.8214729537841721E-3</v>
      </c>
      <c r="K22">
        <f t="shared" si="3"/>
        <v>2.4493952909344268E-4</v>
      </c>
      <c r="L22">
        <f t="shared" si="3"/>
        <v>1.2116245215431578E-2</v>
      </c>
      <c r="M22">
        <f t="shared" si="3"/>
        <v>7.5200162739445459E-3</v>
      </c>
      <c r="N22">
        <f t="shared" si="3"/>
        <v>-9.8075877928638956E-3</v>
      </c>
      <c r="O22">
        <f t="shared" si="3"/>
        <v>1.2790364037397075E-2</v>
      </c>
      <c r="V22" s="58" t="s">
        <v>47</v>
      </c>
      <c r="W22" s="58"/>
      <c r="X22" s="59"/>
      <c r="Y22" s="38"/>
      <c r="Z22" s="9"/>
      <c r="AB22" t="s">
        <v>24</v>
      </c>
      <c r="AC22" s="5">
        <v>4.1700000000000001E-2</v>
      </c>
      <c r="AJ22" s="39"/>
    </row>
    <row r="23" spans="1:36" ht="14.5" customHeight="1" x14ac:dyDescent="0.35">
      <c r="A23" s="2">
        <v>44965</v>
      </c>
      <c r="B23">
        <v>149.66217041015619</v>
      </c>
      <c r="C23">
        <v>484.38540649414063</v>
      </c>
      <c r="D23">
        <v>149.346923828125</v>
      </c>
      <c r="E23">
        <v>132.85566711425781</v>
      </c>
      <c r="F23">
        <v>68.76007080078125</v>
      </c>
      <c r="G23">
        <v>129.2687683105469</v>
      </c>
      <c r="H23">
        <v>4117.85986328125</v>
      </c>
      <c r="I23">
        <f t="shared" si="3"/>
        <v>-1.7810204548708273E-2</v>
      </c>
      <c r="J23">
        <f t="shared" si="3"/>
        <v>-2.493429700074257E-2</v>
      </c>
      <c r="K23">
        <f t="shared" si="3"/>
        <v>1.2842850464883716E-3</v>
      </c>
      <c r="L23">
        <f t="shared" si="3"/>
        <v>-7.0555848600491562E-3</v>
      </c>
      <c r="M23">
        <f t="shared" si="3"/>
        <v>-1.389729384896128E-2</v>
      </c>
      <c r="N23">
        <f t="shared" si="3"/>
        <v>-1.040969254484923E-2</v>
      </c>
      <c r="O23">
        <f t="shared" si="3"/>
        <v>-1.1142573012411353E-2</v>
      </c>
      <c r="V23" s="58"/>
      <c r="W23" s="58"/>
      <c r="X23" s="59"/>
      <c r="Y23" s="38"/>
      <c r="Z23" s="55" t="s">
        <v>35</v>
      </c>
      <c r="AJ23" s="39"/>
    </row>
    <row r="24" spans="1:36" ht="14.5" customHeight="1" x14ac:dyDescent="0.35">
      <c r="A24" s="2">
        <v>44966</v>
      </c>
      <c r="B24">
        <v>148.62776184082031</v>
      </c>
      <c r="C24">
        <v>481.32806396484381</v>
      </c>
      <c r="D24">
        <v>147.3296203613281</v>
      </c>
      <c r="E24">
        <v>130.78794860839841</v>
      </c>
      <c r="F24">
        <v>67.147132873535156</v>
      </c>
      <c r="G24">
        <v>127.85085296630859</v>
      </c>
      <c r="H24">
        <v>4081.5</v>
      </c>
      <c r="I24">
        <f t="shared" si="3"/>
        <v>-6.9356193688716655E-3</v>
      </c>
      <c r="J24">
        <f t="shared" si="3"/>
        <v>-6.3318009685475853E-3</v>
      </c>
      <c r="K24">
        <f t="shared" si="3"/>
        <v>-1.3599555458964364E-2</v>
      </c>
      <c r="L24">
        <f t="shared" si="3"/>
        <v>-1.5686030531255939E-2</v>
      </c>
      <c r="M24">
        <f t="shared" si="3"/>
        <v>-2.3736985477451702E-2</v>
      </c>
      <c r="N24">
        <f t="shared" si="3"/>
        <v>-1.1029338880084267E-2</v>
      </c>
      <c r="O24">
        <f t="shared" si="3"/>
        <v>-8.8690098310373854E-3</v>
      </c>
      <c r="V24" s="58"/>
      <c r="W24" s="58"/>
      <c r="X24" s="59"/>
      <c r="Y24" s="38"/>
      <c r="Z24" s="55"/>
      <c r="AB24" s="18"/>
      <c r="AC24" s="19" t="s">
        <v>1</v>
      </c>
      <c r="AD24" s="19" t="s">
        <v>2</v>
      </c>
      <c r="AE24" s="19" t="s">
        <v>3</v>
      </c>
      <c r="AF24" s="19" t="s">
        <v>4</v>
      </c>
      <c r="AG24" s="19" t="s">
        <v>5</v>
      </c>
      <c r="AH24" s="19" t="s">
        <v>6</v>
      </c>
      <c r="AI24" s="20" t="s">
        <v>21</v>
      </c>
      <c r="AJ24" s="39"/>
    </row>
    <row r="25" spans="1:36" x14ac:dyDescent="0.35">
      <c r="A25" s="2">
        <v>44967</v>
      </c>
      <c r="B25">
        <v>148.9928283691406</v>
      </c>
      <c r="C25">
        <v>480.71267700195313</v>
      </c>
      <c r="D25">
        <v>148.0141906738281</v>
      </c>
      <c r="E25">
        <v>131.36541748046881</v>
      </c>
      <c r="F25">
        <v>68.494300842285156</v>
      </c>
      <c r="G25">
        <v>128.97959899902341</v>
      </c>
      <c r="H25">
        <v>4090.4599609375</v>
      </c>
      <c r="I25">
        <f t="shared" si="3"/>
        <v>2.453235585311356E-3</v>
      </c>
      <c r="J25">
        <f t="shared" si="3"/>
        <v>-1.2793367694720211E-3</v>
      </c>
      <c r="K25">
        <f t="shared" si="3"/>
        <v>4.6357601743341791E-3</v>
      </c>
      <c r="L25">
        <f t="shared" si="3"/>
        <v>4.4055875741975609E-3</v>
      </c>
      <c r="M25">
        <f t="shared" si="3"/>
        <v>1.9864317707780039E-2</v>
      </c>
      <c r="N25">
        <f t="shared" si="3"/>
        <v>8.7898712281497104E-3</v>
      </c>
      <c r="O25">
        <f t="shared" si="3"/>
        <v>2.1928557092171274E-3</v>
      </c>
      <c r="Y25" s="38"/>
      <c r="Z25" s="55"/>
      <c r="AB25" s="24" t="s">
        <v>17</v>
      </c>
      <c r="AC25" s="21">
        <v>8.1255948484543414E-2</v>
      </c>
      <c r="AD25" s="21">
        <v>0.18290363132861737</v>
      </c>
      <c r="AE25" s="21">
        <v>0.29175639461855424</v>
      </c>
      <c r="AF25" s="21">
        <v>0.13351579272026992</v>
      </c>
      <c r="AG25" s="21">
        <v>3.9044501341720807E-2</v>
      </c>
      <c r="AH25" s="21">
        <v>0.27152373150629416</v>
      </c>
      <c r="AI25" s="21">
        <f>SUM(AC25:AH25)</f>
        <v>0.99999999999999989</v>
      </c>
      <c r="AJ25" s="39"/>
    </row>
    <row r="26" spans="1:36" x14ac:dyDescent="0.35">
      <c r="A26" s="2">
        <v>44970</v>
      </c>
      <c r="B26">
        <v>151.79487609863281</v>
      </c>
      <c r="C26">
        <v>486.92367553710938</v>
      </c>
      <c r="D26">
        <v>148.5619201660156</v>
      </c>
      <c r="E26">
        <v>132.79048156738281</v>
      </c>
      <c r="F26">
        <v>69.300773620605469</v>
      </c>
      <c r="G26">
        <v>130.66813659667969</v>
      </c>
      <c r="H26">
        <v>4137.2900390625</v>
      </c>
      <c r="I26">
        <f t="shared" si="3"/>
        <v>1.8631937064529109E-2</v>
      </c>
      <c r="J26">
        <f t="shared" si="3"/>
        <v>1.2837640543232796E-2</v>
      </c>
      <c r="K26">
        <f t="shared" si="3"/>
        <v>3.6936900505904007E-3</v>
      </c>
      <c r="L26">
        <f t="shared" si="3"/>
        <v>1.0789673198062432E-2</v>
      </c>
      <c r="M26">
        <f t="shared" si="3"/>
        <v>1.1705527065827436E-2</v>
      </c>
      <c r="N26">
        <f t="shared" si="3"/>
        <v>1.3006555962785537E-2</v>
      </c>
      <c r="O26">
        <f t="shared" si="3"/>
        <v>1.1383569951155146E-2</v>
      </c>
      <c r="Y26" s="38"/>
      <c r="Z26" s="55"/>
      <c r="AB26" s="25"/>
      <c r="AC26" s="18"/>
      <c r="AD26" s="18"/>
      <c r="AE26" s="18"/>
      <c r="AF26" s="18"/>
      <c r="AG26" s="18"/>
      <c r="AH26" s="18"/>
      <c r="AI26" s="18"/>
      <c r="AJ26" s="39"/>
    </row>
    <row r="27" spans="1:36" x14ac:dyDescent="0.35">
      <c r="A27" s="2">
        <v>44971</v>
      </c>
      <c r="B27">
        <v>151.15357971191409</v>
      </c>
      <c r="C27">
        <v>483.81820678710938</v>
      </c>
      <c r="D27">
        <v>147.9137878417969</v>
      </c>
      <c r="E27">
        <v>133.37725830078119</v>
      </c>
      <c r="F27">
        <v>69.676490783691406</v>
      </c>
      <c r="G27">
        <v>129.93113708496091</v>
      </c>
      <c r="H27">
        <v>4136.1298828125</v>
      </c>
      <c r="I27">
        <f t="shared" si="3"/>
        <v>-4.2337059807742118E-3</v>
      </c>
      <c r="J27">
        <f t="shared" si="3"/>
        <v>-6.39815670969593E-3</v>
      </c>
      <c r="K27">
        <f t="shared" si="3"/>
        <v>-4.3722526953752462E-3</v>
      </c>
      <c r="L27">
        <f t="shared" si="3"/>
        <v>4.4090819140380601E-3</v>
      </c>
      <c r="M27">
        <f t="shared" si="3"/>
        <v>5.406899898674977E-3</v>
      </c>
      <c r="N27">
        <f t="shared" si="3"/>
        <v>-5.6562051473644393E-3</v>
      </c>
      <c r="O27">
        <f t="shared" si="3"/>
        <v>-2.8045385549376243E-4</v>
      </c>
      <c r="Y27" s="38"/>
      <c r="Z27" s="55"/>
      <c r="AB27" s="25" t="s">
        <v>19</v>
      </c>
      <c r="AC27" s="22">
        <f t="array" ref="AC27">MMULT(AC25:AH25,MMULT(AC13:AH18,TRANSPOSE(AC25:AH25)))</f>
        <v>1.3370003219135878E-2</v>
      </c>
      <c r="AD27" s="18"/>
      <c r="AE27" s="18"/>
      <c r="AF27" s="18"/>
      <c r="AG27" s="18"/>
      <c r="AH27" s="18"/>
      <c r="AI27" s="18"/>
      <c r="AJ27" s="39"/>
    </row>
    <row r="28" spans="1:36" x14ac:dyDescent="0.35">
      <c r="A28" s="2">
        <v>44972</v>
      </c>
      <c r="B28">
        <v>153.255126953125</v>
      </c>
      <c r="C28">
        <v>491.56744384765619</v>
      </c>
      <c r="D28">
        <v>145.47654724121091</v>
      </c>
      <c r="E28">
        <v>133.9361267089844</v>
      </c>
      <c r="F28">
        <v>70.510467529296875</v>
      </c>
      <c r="G28">
        <v>129.63261413574219</v>
      </c>
      <c r="H28">
        <v>4147.60009765625</v>
      </c>
      <c r="I28">
        <f t="shared" si="3"/>
        <v>1.3807624969399865E-2</v>
      </c>
      <c r="J28">
        <f t="shared" si="3"/>
        <v>1.5889920268855148E-2</v>
      </c>
      <c r="K28">
        <f t="shared" si="3"/>
        <v>-1.6614703180285226E-2</v>
      </c>
      <c r="L28">
        <f t="shared" si="3"/>
        <v>4.181378515336137E-3</v>
      </c>
      <c r="M28">
        <f t="shared" si="3"/>
        <v>1.1898205000953541E-2</v>
      </c>
      <c r="N28">
        <f t="shared" si="3"/>
        <v>-2.3001908350876316E-3</v>
      </c>
      <c r="O28">
        <f t="shared" si="3"/>
        <v>2.7693375330766889E-3</v>
      </c>
      <c r="Y28" s="38"/>
      <c r="Z28" s="55"/>
      <c r="AB28" s="25" t="s">
        <v>22</v>
      </c>
      <c r="AC28" s="22">
        <f>SQRT(AC27)</f>
        <v>0.11562873007663743</v>
      </c>
      <c r="AD28" s="18"/>
      <c r="AE28" s="18"/>
      <c r="AF28" s="18"/>
      <c r="AG28" s="18"/>
      <c r="AH28" s="18"/>
      <c r="AI28" s="18"/>
      <c r="AJ28" s="39"/>
    </row>
    <row r="29" spans="1:36" x14ac:dyDescent="0.35">
      <c r="A29" s="2">
        <v>44973</v>
      </c>
      <c r="B29">
        <v>151.6567687988281</v>
      </c>
      <c r="C29">
        <v>484.66433715820313</v>
      </c>
      <c r="D29">
        <v>144.445068359375</v>
      </c>
      <c r="E29">
        <v>132.0919189453125</v>
      </c>
      <c r="F29">
        <v>69.36492919921875</v>
      </c>
      <c r="G29">
        <v>127.9347686767578</v>
      </c>
      <c r="H29">
        <v>4090.409912109375</v>
      </c>
      <c r="I29">
        <f t="shared" si="3"/>
        <v>-1.0484161603306636E-2</v>
      </c>
      <c r="J29">
        <f t="shared" si="3"/>
        <v>-1.4142587616005193E-2</v>
      </c>
      <c r="K29">
        <f t="shared" si="3"/>
        <v>-7.1156007587036144E-3</v>
      </c>
      <c r="L29">
        <f t="shared" si="3"/>
        <v>-1.3864984068946748E-2</v>
      </c>
      <c r="M29">
        <f t="shared" si="3"/>
        <v>-1.6379777556438199E-2</v>
      </c>
      <c r="N29">
        <f t="shared" si="3"/>
        <v>-1.318389023448481E-2</v>
      </c>
      <c r="O29">
        <f t="shared" si="3"/>
        <v>-1.3884689204881605E-2</v>
      </c>
      <c r="Y29" s="38"/>
      <c r="Z29" s="55"/>
      <c r="AB29" s="25" t="s">
        <v>23</v>
      </c>
      <c r="AC29" s="22">
        <f>SUMPRODUCT(AC25:AH25,S4:X4)</f>
        <v>0.12857438677616689</v>
      </c>
      <c r="AD29" s="18"/>
      <c r="AE29" s="18"/>
      <c r="AF29" s="18"/>
      <c r="AG29" s="18"/>
      <c r="AH29" s="18"/>
      <c r="AI29" s="18"/>
      <c r="AJ29" s="39"/>
    </row>
    <row r="30" spans="1:36" x14ac:dyDescent="0.35">
      <c r="A30" s="2">
        <v>44974</v>
      </c>
      <c r="B30">
        <v>150.51226806640619</v>
      </c>
      <c r="C30">
        <v>487.9139404296875</v>
      </c>
      <c r="D30">
        <v>147.46064758300781</v>
      </c>
      <c r="E30">
        <v>132.48309326171881</v>
      </c>
      <c r="F30">
        <v>69.713172912597656</v>
      </c>
      <c r="G30">
        <v>130.61213684082031</v>
      </c>
      <c r="H30">
        <v>4079.090087890625</v>
      </c>
      <c r="I30">
        <f t="shared" si="3"/>
        <v>-7.5752712280685048E-3</v>
      </c>
      <c r="J30">
        <f t="shared" si="3"/>
        <v>6.6824757226768786E-3</v>
      </c>
      <c r="K30">
        <f t="shared" si="3"/>
        <v>2.0662058620935137E-2</v>
      </c>
      <c r="L30">
        <f t="shared" si="3"/>
        <v>2.9570033706099903E-3</v>
      </c>
      <c r="M30">
        <f t="shared" si="3"/>
        <v>5.0078975179004516E-3</v>
      </c>
      <c r="N30">
        <f t="shared" si="3"/>
        <v>2.0711629617798297E-2</v>
      </c>
      <c r="O30">
        <f t="shared" si="3"/>
        <v>-2.7712421722827342E-3</v>
      </c>
      <c r="Y30" s="38"/>
      <c r="Z30" s="55"/>
      <c r="AB30" s="25" t="s">
        <v>25</v>
      </c>
      <c r="AC30" s="23">
        <f>(AC29-AC22)/AC28</f>
        <v>0.75132181006041943</v>
      </c>
      <c r="AD30" s="18"/>
      <c r="AE30" s="18"/>
      <c r="AF30" s="18"/>
      <c r="AG30" s="18"/>
      <c r="AH30" s="18"/>
      <c r="AI30" s="18"/>
      <c r="AJ30" s="39"/>
    </row>
    <row r="31" spans="1:36" x14ac:dyDescent="0.35">
      <c r="A31" s="2">
        <v>44978</v>
      </c>
      <c r="B31">
        <v>146.4966125488281</v>
      </c>
      <c r="C31">
        <v>482.395263671875</v>
      </c>
      <c r="D31">
        <v>145.2633361816406</v>
      </c>
      <c r="E31">
        <v>130.05216979980469</v>
      </c>
      <c r="F31">
        <v>67.504562377929688</v>
      </c>
      <c r="G31">
        <v>130.5188293457031</v>
      </c>
      <c r="H31">
        <v>3997.340087890625</v>
      </c>
      <c r="I31">
        <f t="shared" si="3"/>
        <v>-2.7042290601939224E-2</v>
      </c>
      <c r="J31">
        <f t="shared" si="3"/>
        <v>-1.1375211617059271E-2</v>
      </c>
      <c r="K31">
        <f t="shared" si="3"/>
        <v>-1.5013137254689951E-2</v>
      </c>
      <c r="L31">
        <f t="shared" si="3"/>
        <v>-1.8519363154043879E-2</v>
      </c>
      <c r="M31">
        <f t="shared" si="3"/>
        <v>-3.2194107972665205E-2</v>
      </c>
      <c r="N31">
        <f t="shared" si="3"/>
        <v>-7.1464139585550584E-4</v>
      </c>
      <c r="O31">
        <f t="shared" si="3"/>
        <v>-2.0244783973471698E-2</v>
      </c>
      <c r="Y31" s="38"/>
      <c r="Z31" s="55"/>
      <c r="AJ31" s="39"/>
    </row>
    <row r="32" spans="1:36" x14ac:dyDescent="0.35">
      <c r="A32" s="2">
        <v>44979</v>
      </c>
      <c r="B32">
        <v>146.9208984375</v>
      </c>
      <c r="C32">
        <v>478.21295166015619</v>
      </c>
      <c r="D32">
        <v>145.0610656738281</v>
      </c>
      <c r="E32">
        <v>129.0555114746094</v>
      </c>
      <c r="F32">
        <v>67.522880554199219</v>
      </c>
      <c r="G32">
        <v>131.06925964355469</v>
      </c>
      <c r="H32">
        <v>3991.050048828125</v>
      </c>
      <c r="I32">
        <f t="shared" si="3"/>
        <v>2.8920304242729981E-3</v>
      </c>
      <c r="J32">
        <f t="shared" si="3"/>
        <v>-8.7076882573146174E-3</v>
      </c>
      <c r="K32">
        <f t="shared" si="3"/>
        <v>-1.3934105383290498E-3</v>
      </c>
      <c r="L32">
        <f t="shared" si="3"/>
        <v>-7.6930427976237507E-3</v>
      </c>
      <c r="M32">
        <f t="shared" si="3"/>
        <v>2.7132523558369475E-4</v>
      </c>
      <c r="N32">
        <f t="shared" si="3"/>
        <v>4.2083805294265194E-3</v>
      </c>
      <c r="O32">
        <f t="shared" si="3"/>
        <v>-1.5747954856433837E-3</v>
      </c>
      <c r="Y32" s="38"/>
      <c r="Z32" s="55"/>
      <c r="AB32" s="11"/>
      <c r="AC32" s="28" t="s">
        <v>1</v>
      </c>
      <c r="AD32" s="28" t="s">
        <v>2</v>
      </c>
      <c r="AE32" s="28" t="s">
        <v>3</v>
      </c>
      <c r="AF32" s="28" t="s">
        <v>4</v>
      </c>
      <c r="AG32" s="28" t="s">
        <v>5</v>
      </c>
      <c r="AH32" s="28" t="s">
        <v>6</v>
      </c>
      <c r="AI32" s="10" t="s">
        <v>21</v>
      </c>
      <c r="AJ32" s="39"/>
    </row>
    <row r="33" spans="1:36" x14ac:dyDescent="0.35">
      <c r="A33" s="2">
        <v>44980</v>
      </c>
      <c r="B33">
        <v>147.4043273925781</v>
      </c>
      <c r="C33">
        <v>474.12677001953119</v>
      </c>
      <c r="D33">
        <v>145.01509094238281</v>
      </c>
      <c r="E33">
        <v>130.0893859863281</v>
      </c>
      <c r="F33">
        <v>66.78057861328125</v>
      </c>
      <c r="G33">
        <v>130.6494445800781</v>
      </c>
      <c r="H33">
        <v>4012.320068359375</v>
      </c>
      <c r="I33">
        <f t="shared" si="3"/>
        <v>3.2850014024284357E-3</v>
      </c>
      <c r="J33">
        <f t="shared" si="3"/>
        <v>-8.5814056124839024E-3</v>
      </c>
      <c r="K33">
        <f t="shared" si="3"/>
        <v>-3.1698387324586165E-4</v>
      </c>
      <c r="L33">
        <f t="shared" si="3"/>
        <v>7.9791653793453397E-3</v>
      </c>
      <c r="M33">
        <f t="shared" si="3"/>
        <v>-1.1054212666464601E-2</v>
      </c>
      <c r="N33">
        <f t="shared" si="3"/>
        <v>-3.2081423052239327E-3</v>
      </c>
      <c r="O33">
        <f t="shared" si="3"/>
        <v>5.3152782632377282E-3</v>
      </c>
      <c r="Y33" s="38"/>
      <c r="Z33" s="55"/>
      <c r="AB33" s="29" t="s">
        <v>18</v>
      </c>
      <c r="AC33" s="30">
        <v>0.11895742782282537</v>
      </c>
      <c r="AD33" s="30">
        <v>0.3899829654636684</v>
      </c>
      <c r="AE33" s="30">
        <v>1.5137778503283298E-2</v>
      </c>
      <c r="AF33" s="30">
        <v>0.47592182821022289</v>
      </c>
      <c r="AG33" s="30">
        <v>0</v>
      </c>
      <c r="AH33" s="30">
        <v>0</v>
      </c>
      <c r="AI33" s="30">
        <f>SUM(AC33:AH33)</f>
        <v>1</v>
      </c>
      <c r="AJ33" s="39"/>
    </row>
    <row r="34" spans="1:36" x14ac:dyDescent="0.35">
      <c r="A34" s="2">
        <v>44981</v>
      </c>
      <c r="B34">
        <v>144.7502746582031</v>
      </c>
      <c r="C34">
        <v>469.77145385742188</v>
      </c>
      <c r="D34">
        <v>143.39695739746091</v>
      </c>
      <c r="E34">
        <v>131.2629699707031</v>
      </c>
      <c r="F34">
        <v>66.826393127441406</v>
      </c>
      <c r="G34">
        <v>129.91246032714841</v>
      </c>
      <c r="H34">
        <v>3970.0400390625</v>
      </c>
      <c r="I34">
        <f t="shared" si="3"/>
        <v>-1.8169323565595377E-2</v>
      </c>
      <c r="J34">
        <f t="shared" si="3"/>
        <v>-9.2284251871859613E-3</v>
      </c>
      <c r="K34">
        <f t="shared" si="3"/>
        <v>-1.1221102120312363E-2</v>
      </c>
      <c r="L34">
        <f t="shared" si="3"/>
        <v>8.9809167260089841E-3</v>
      </c>
      <c r="M34">
        <f t="shared" si="3"/>
        <v>6.8581025913440569E-4</v>
      </c>
      <c r="N34">
        <f t="shared" si="3"/>
        <v>-5.6568992195050755E-3</v>
      </c>
      <c r="O34">
        <f t="shared" si="3"/>
        <v>-1.0593464619774184E-2</v>
      </c>
      <c r="Y34" s="38"/>
      <c r="Z34" s="55"/>
      <c r="AB34" s="31"/>
      <c r="AC34" s="11"/>
      <c r="AD34" s="11"/>
      <c r="AE34" s="11"/>
      <c r="AF34" s="11"/>
      <c r="AG34" s="11"/>
      <c r="AH34" s="11"/>
      <c r="AI34" s="11"/>
      <c r="AJ34" s="39"/>
    </row>
    <row r="35" spans="1:36" x14ac:dyDescent="0.35">
      <c r="A35" s="2">
        <v>44984</v>
      </c>
      <c r="B35">
        <v>145.944091796875</v>
      </c>
      <c r="C35">
        <v>468.25244140625</v>
      </c>
      <c r="D35">
        <v>143.0843811035156</v>
      </c>
      <c r="E35">
        <v>132.4085998535156</v>
      </c>
      <c r="F35">
        <v>66.280357360839844</v>
      </c>
      <c r="G35">
        <v>129.80052185058591</v>
      </c>
      <c r="H35">
        <v>3982.239990234375</v>
      </c>
      <c r="I35">
        <f t="shared" si="3"/>
        <v>8.2136015553933052E-3</v>
      </c>
      <c r="J35">
        <f t="shared" si="3"/>
        <v>-3.238752843399501E-3</v>
      </c>
      <c r="K35">
        <f t="shared" si="3"/>
        <v>-2.1821764699844594E-3</v>
      </c>
      <c r="L35">
        <f t="shared" si="3"/>
        <v>8.6898795560380777E-3</v>
      </c>
      <c r="M35">
        <f t="shared" si="3"/>
        <v>-8.2045249785330111E-3</v>
      </c>
      <c r="N35">
        <f t="shared" si="3"/>
        <v>-8.6201685072047525E-4</v>
      </c>
      <c r="O35">
        <f t="shared" si="3"/>
        <v>3.0682925395522777E-3</v>
      </c>
      <c r="Y35" s="38"/>
      <c r="Z35" s="55"/>
      <c r="AB35" s="31" t="s">
        <v>20</v>
      </c>
      <c r="AC35" s="32">
        <f t="array" ref="AC35">MMULT(AC33:AH33,MMULT(AC13:AH18,TRANSPOSE(AC33:AH33)))</f>
        <v>2.6604482496320948E-2</v>
      </c>
      <c r="AD35" s="11"/>
      <c r="AE35" s="11"/>
      <c r="AF35" s="11"/>
      <c r="AG35" s="11"/>
      <c r="AH35" s="11"/>
      <c r="AI35" s="11"/>
      <c r="AJ35" s="39"/>
    </row>
    <row r="36" spans="1:36" x14ac:dyDescent="0.35">
      <c r="A36" s="2">
        <v>44985</v>
      </c>
      <c r="B36">
        <v>145.44091796875</v>
      </c>
      <c r="C36">
        <v>465.51226806640619</v>
      </c>
      <c r="D36">
        <v>140.90541076660159</v>
      </c>
      <c r="E36">
        <v>133.51695251464841</v>
      </c>
      <c r="F36">
        <v>65.514801025390625</v>
      </c>
      <c r="G36">
        <v>128.32655334472659</v>
      </c>
      <c r="H36">
        <v>3970.14990234375</v>
      </c>
      <c r="I36">
        <f t="shared" si="3"/>
        <v>-3.4536733971218736E-3</v>
      </c>
      <c r="J36">
        <f t="shared" si="3"/>
        <v>-5.8691042353532646E-3</v>
      </c>
      <c r="K36">
        <f t="shared" si="3"/>
        <v>-1.5345714245894641E-2</v>
      </c>
      <c r="L36">
        <f t="shared" si="3"/>
        <v>8.3358599369103992E-3</v>
      </c>
      <c r="M36">
        <f t="shared" si="3"/>
        <v>-1.1617497261037665E-2</v>
      </c>
      <c r="N36">
        <f t="shared" si="3"/>
        <v>-1.1420611538434969E-2</v>
      </c>
      <c r="O36">
        <f t="shared" si="3"/>
        <v>-3.0406198309477117E-3</v>
      </c>
      <c r="Y36" s="38"/>
      <c r="Z36" s="55"/>
      <c r="AB36" s="31" t="s">
        <v>26</v>
      </c>
      <c r="AC36" s="32">
        <f>SQRT(AC35)</f>
        <v>0.16310880569828518</v>
      </c>
      <c r="AD36" s="11"/>
      <c r="AE36" s="11"/>
      <c r="AF36" s="11"/>
      <c r="AG36" s="11"/>
      <c r="AH36" s="11"/>
      <c r="AI36" s="11"/>
      <c r="AJ36" s="39"/>
    </row>
    <row r="37" spans="1:36" x14ac:dyDescent="0.35">
      <c r="A37" s="2">
        <v>44986</v>
      </c>
      <c r="B37">
        <v>143.36894226074219</v>
      </c>
      <c r="C37">
        <v>460.2147216796875</v>
      </c>
      <c r="D37">
        <v>140.27107238769531</v>
      </c>
      <c r="E37">
        <v>132.77183532714841</v>
      </c>
      <c r="F37">
        <v>64.444869995117188</v>
      </c>
      <c r="G37">
        <v>128.4198913574219</v>
      </c>
      <c r="H37">
        <v>3951.389892578125</v>
      </c>
      <c r="I37">
        <f t="shared" si="3"/>
        <v>-1.4348618533513382E-2</v>
      </c>
      <c r="J37">
        <f t="shared" si="3"/>
        <v>-1.1445284137558232E-2</v>
      </c>
      <c r="K37">
        <f t="shared" si="3"/>
        <v>-4.5120377634035409E-3</v>
      </c>
      <c r="L37">
        <f t="shared" si="3"/>
        <v>-5.5963237372611795E-3</v>
      </c>
      <c r="M37">
        <f t="shared" si="3"/>
        <v>-1.6465957412204892E-2</v>
      </c>
      <c r="N37">
        <f t="shared" si="3"/>
        <v>7.2708322731035609E-4</v>
      </c>
      <c r="O37">
        <f t="shared" si="3"/>
        <v>-4.7364642034928321E-3</v>
      </c>
      <c r="Y37" s="38"/>
      <c r="Z37" s="55"/>
      <c r="AB37" s="31" t="s">
        <v>27</v>
      </c>
      <c r="AC37" s="32">
        <f>SUMPRODUCT(AC33:AH33,S4:X4)</f>
        <v>0.2691466592049423</v>
      </c>
      <c r="AD37" s="11"/>
      <c r="AE37" s="11"/>
      <c r="AF37" s="11"/>
      <c r="AG37" s="11"/>
      <c r="AH37" s="11"/>
      <c r="AI37" s="11"/>
      <c r="AJ37" s="39"/>
    </row>
    <row r="38" spans="1:36" x14ac:dyDescent="0.35">
      <c r="A38" s="2">
        <v>44987</v>
      </c>
      <c r="B38">
        <v>143.9609680175781</v>
      </c>
      <c r="C38">
        <v>466.96405029296881</v>
      </c>
      <c r="D38">
        <v>140.16072082519531</v>
      </c>
      <c r="E38">
        <v>131.39337158203119</v>
      </c>
      <c r="F38">
        <v>66.603179931640625</v>
      </c>
      <c r="G38">
        <v>130.53749084472659</v>
      </c>
      <c r="H38">
        <v>3981.35009765625</v>
      </c>
      <c r="I38">
        <f t="shared" si="3"/>
        <v>4.1208838582919519E-3</v>
      </c>
      <c r="J38">
        <f t="shared" si="3"/>
        <v>1.4559107772552763E-2</v>
      </c>
      <c r="K38">
        <f t="shared" si="3"/>
        <v>-7.8701182153119442E-4</v>
      </c>
      <c r="L38">
        <f t="shared" si="3"/>
        <v>-1.04364709726205E-2</v>
      </c>
      <c r="M38">
        <f t="shared" si="3"/>
        <v>3.2942193572884186E-2</v>
      </c>
      <c r="N38">
        <f t="shared" si="3"/>
        <v>1.6355175299144934E-2</v>
      </c>
      <c r="O38">
        <f t="shared" si="3"/>
        <v>7.5535937311959735E-3</v>
      </c>
      <c r="Y38" s="38"/>
      <c r="Z38" s="9"/>
      <c r="AB38" s="31" t="s">
        <v>28</v>
      </c>
      <c r="AC38" s="33">
        <f>(AC37-AC22)/AC36</f>
        <v>1.3944474562928733</v>
      </c>
      <c r="AD38" s="11"/>
      <c r="AE38" s="11"/>
      <c r="AF38" s="11"/>
      <c r="AG38" s="11"/>
      <c r="AH38" s="11"/>
      <c r="AI38" s="11"/>
      <c r="AJ38" s="39"/>
    </row>
    <row r="39" spans="1:36" x14ac:dyDescent="0.35">
      <c r="A39" s="2">
        <v>44988</v>
      </c>
      <c r="B39">
        <v>149.01255798339841</v>
      </c>
      <c r="C39">
        <v>456.93621826171881</v>
      </c>
      <c r="D39">
        <v>141.60417175292969</v>
      </c>
      <c r="E39">
        <v>133.80570983886719</v>
      </c>
      <c r="F39">
        <v>68.097396850585938</v>
      </c>
      <c r="G39">
        <v>131.48902893066409</v>
      </c>
      <c r="H39">
        <v>4045.639892578125</v>
      </c>
      <c r="I39">
        <f t="shared" si="3"/>
        <v>3.4488376761373472E-2</v>
      </c>
      <c r="J39">
        <f t="shared" si="3"/>
        <v>-2.1708459618044428E-2</v>
      </c>
      <c r="K39">
        <f t="shared" si="3"/>
        <v>1.0245872308944531E-2</v>
      </c>
      <c r="L39">
        <f t="shared" si="3"/>
        <v>1.8193161017649832E-2</v>
      </c>
      <c r="M39">
        <f t="shared" si="3"/>
        <v>2.2186663901808047E-2</v>
      </c>
      <c r="N39">
        <f t="shared" si="3"/>
        <v>7.2629462817973113E-3</v>
      </c>
      <c r="O39">
        <f t="shared" si="3"/>
        <v>1.601874917648306E-2</v>
      </c>
      <c r="Y39" s="38"/>
      <c r="Z39" s="9"/>
      <c r="AB39" s="31"/>
      <c r="AC39" s="11"/>
      <c r="AD39" s="11"/>
      <c r="AE39" s="11"/>
      <c r="AF39" s="11"/>
      <c r="AG39" s="11"/>
      <c r="AH39" s="11"/>
      <c r="AI39" s="11"/>
      <c r="AJ39" s="39"/>
    </row>
    <row r="40" spans="1:36" x14ac:dyDescent="0.35">
      <c r="A40" s="2">
        <v>44991</v>
      </c>
      <c r="B40">
        <v>151.7751770019531</v>
      </c>
      <c r="C40">
        <v>464.45468139648438</v>
      </c>
      <c r="D40">
        <v>143.0199890136719</v>
      </c>
      <c r="E40">
        <v>133.0233459472656</v>
      </c>
      <c r="F40">
        <v>68.623130798339844</v>
      </c>
      <c r="G40">
        <v>130.92933654785159</v>
      </c>
      <c r="H40">
        <v>4048.419921875</v>
      </c>
      <c r="I40">
        <f t="shared" si="3"/>
        <v>1.8369743066928037E-2</v>
      </c>
      <c r="J40">
        <f t="shared" si="3"/>
        <v>1.632017423694989E-2</v>
      </c>
      <c r="K40">
        <f t="shared" si="3"/>
        <v>9.9487614458951459E-3</v>
      </c>
      <c r="L40">
        <f t="shared" si="3"/>
        <v>-5.8641749589462763E-3</v>
      </c>
      <c r="M40">
        <f t="shared" si="3"/>
        <v>7.6906745178332205E-3</v>
      </c>
      <c r="N40">
        <f t="shared" si="3"/>
        <v>-4.2656559533362053E-3</v>
      </c>
      <c r="O40">
        <f t="shared" si="3"/>
        <v>6.8693077884830116E-4</v>
      </c>
      <c r="Y40" s="38"/>
      <c r="AB40" s="27"/>
      <c r="AJ40" s="39"/>
    </row>
    <row r="41" spans="1:36" x14ac:dyDescent="0.35">
      <c r="A41" s="2">
        <v>44992</v>
      </c>
      <c r="B41">
        <v>149.57496643066409</v>
      </c>
      <c r="C41">
        <v>466.4449462890625</v>
      </c>
      <c r="D41">
        <v>141.66851806640619</v>
      </c>
      <c r="E41">
        <v>129.11140441894531</v>
      </c>
      <c r="F41">
        <v>68.023605346679688</v>
      </c>
      <c r="G41">
        <v>128.32655334472659</v>
      </c>
      <c r="H41">
        <v>3986.3701171875</v>
      </c>
      <c r="I41">
        <f t="shared" si="3"/>
        <v>-1.4602612384044675E-2</v>
      </c>
      <c r="J41">
        <f t="shared" si="3"/>
        <v>4.2760097134612162E-3</v>
      </c>
      <c r="K41">
        <f t="shared" si="3"/>
        <v>-9.4944549285652137E-3</v>
      </c>
      <c r="L41">
        <f t="shared" si="3"/>
        <v>-2.984901443516793E-2</v>
      </c>
      <c r="M41">
        <f t="shared" si="3"/>
        <v>-8.7748791584631083E-3</v>
      </c>
      <c r="N41">
        <f t="shared" si="3"/>
        <v>-2.0079548854916279E-2</v>
      </c>
      <c r="O41">
        <f t="shared" si="3"/>
        <v>-1.5445590479262547E-2</v>
      </c>
      <c r="Y41" s="38"/>
      <c r="AB41" s="27"/>
      <c r="AJ41" s="39"/>
    </row>
    <row r="42" spans="1:36" x14ac:dyDescent="0.35">
      <c r="A42" s="2">
        <v>44993</v>
      </c>
      <c r="B42">
        <v>150.8280029296875</v>
      </c>
      <c r="C42">
        <v>467.30056762695313</v>
      </c>
      <c r="D42">
        <v>140.6296081542969</v>
      </c>
      <c r="E42">
        <v>128.3476867675781</v>
      </c>
      <c r="F42">
        <v>68.484786987304688</v>
      </c>
      <c r="G42">
        <v>128.34521484375</v>
      </c>
      <c r="H42">
        <v>3992.010009765625</v>
      </c>
      <c r="I42">
        <f t="shared" si="3"/>
        <v>8.3424193101215207E-3</v>
      </c>
      <c r="J42">
        <f t="shared" si="3"/>
        <v>1.8326654631641752E-3</v>
      </c>
      <c r="K42">
        <f t="shared" si="3"/>
        <v>-7.3604073559441928E-3</v>
      </c>
      <c r="L42">
        <f t="shared" si="3"/>
        <v>-5.9327475128193637E-3</v>
      </c>
      <c r="M42">
        <f t="shared" si="3"/>
        <v>6.7568504374497075E-3</v>
      </c>
      <c r="N42">
        <f t="shared" si="3"/>
        <v>1.4541138815547295E-4</v>
      </c>
      <c r="O42">
        <f t="shared" si="3"/>
        <v>1.4137941356032722E-3</v>
      </c>
      <c r="Y42" s="45"/>
      <c r="Z42" s="46"/>
      <c r="AA42" s="46"/>
      <c r="AB42" s="47"/>
      <c r="AC42" s="46"/>
      <c r="AD42" s="46"/>
      <c r="AE42" s="46"/>
      <c r="AF42" s="46"/>
      <c r="AG42" s="46"/>
      <c r="AH42" s="46"/>
      <c r="AI42" s="46"/>
      <c r="AJ42" s="48"/>
    </row>
    <row r="43" spans="1:36" x14ac:dyDescent="0.35">
      <c r="A43" s="2">
        <v>44994</v>
      </c>
      <c r="B43">
        <v>148.5784606933594</v>
      </c>
      <c r="C43">
        <v>461.031982421875</v>
      </c>
      <c r="D43">
        <v>139.04826354980469</v>
      </c>
      <c r="E43">
        <v>121.3993835449219</v>
      </c>
      <c r="F43">
        <v>68.032829284667969</v>
      </c>
      <c r="G43">
        <v>127.4029922485352</v>
      </c>
      <c r="H43">
        <v>3918.320068359375</v>
      </c>
      <c r="I43">
        <f t="shared" si="3"/>
        <v>-1.5026960604810156E-2</v>
      </c>
      <c r="J43">
        <f t="shared" si="3"/>
        <v>-1.3505247624087072E-2</v>
      </c>
      <c r="K43">
        <f t="shared" si="3"/>
        <v>-1.1308448872391189E-2</v>
      </c>
      <c r="L43">
        <f t="shared" si="3"/>
        <v>-5.5657083578831479E-2</v>
      </c>
      <c r="M43">
        <f t="shared" si="3"/>
        <v>-6.6212605548042662E-3</v>
      </c>
      <c r="N43">
        <f t="shared" si="3"/>
        <v>-7.3683946327519068E-3</v>
      </c>
      <c r="O43">
        <f t="shared" si="3"/>
        <v>-1.8631857945482354E-2</v>
      </c>
      <c r="Y43" s="38"/>
      <c r="AB43" s="27"/>
      <c r="AJ43" s="39"/>
    </row>
    <row r="44" spans="1:36" x14ac:dyDescent="0.35">
      <c r="A44" s="2">
        <v>44995</v>
      </c>
      <c r="B44">
        <v>146.516357421875</v>
      </c>
      <c r="C44">
        <v>452.97503662109381</v>
      </c>
      <c r="D44">
        <v>139.38844299316409</v>
      </c>
      <c r="E44">
        <v>124.4823303222656</v>
      </c>
      <c r="F44">
        <v>67.341064453125</v>
      </c>
      <c r="G44">
        <v>127.9814071655273</v>
      </c>
      <c r="H44">
        <v>3861.590087890625</v>
      </c>
      <c r="I44">
        <f t="shared" si="3"/>
        <v>-1.3976096568900179E-2</v>
      </c>
      <c r="J44">
        <f t="shared" si="3"/>
        <v>-1.7630399608615725E-2</v>
      </c>
      <c r="K44">
        <f t="shared" si="3"/>
        <v>2.4434968854608399E-3</v>
      </c>
      <c r="L44">
        <f t="shared" si="3"/>
        <v>2.5077979981243614E-2</v>
      </c>
      <c r="M44">
        <f t="shared" si="3"/>
        <v>-1.0220151518949006E-2</v>
      </c>
      <c r="N44">
        <f t="shared" si="3"/>
        <v>4.5297669501345702E-3</v>
      </c>
      <c r="O44">
        <f t="shared" si="3"/>
        <v>-1.458396943606664E-2</v>
      </c>
      <c r="Y44" s="38"/>
      <c r="AB44" s="27" t="s">
        <v>24</v>
      </c>
      <c r="AC44" s="5">
        <v>4.1700000000000001E-2</v>
      </c>
      <c r="AJ44" s="39"/>
    </row>
    <row r="45" spans="1:36" x14ac:dyDescent="0.35">
      <c r="A45" s="2">
        <v>44998</v>
      </c>
      <c r="B45">
        <v>148.46006774902341</v>
      </c>
      <c r="C45">
        <v>453.80194091796881</v>
      </c>
      <c r="D45">
        <v>140.72154235839841</v>
      </c>
      <c r="E45">
        <v>122.24697113037109</v>
      </c>
      <c r="F45">
        <v>67.599327087402344</v>
      </c>
      <c r="G45">
        <v>128.86766052246091</v>
      </c>
      <c r="H45">
        <v>3855.760009765625</v>
      </c>
      <c r="I45">
        <f t="shared" si="3"/>
        <v>1.317894105357841E-2</v>
      </c>
      <c r="J45">
        <f t="shared" si="3"/>
        <v>1.823832202565391E-3</v>
      </c>
      <c r="K45">
        <f t="shared" si="3"/>
        <v>9.5184713146883905E-3</v>
      </c>
      <c r="L45">
        <f t="shared" si="3"/>
        <v>-1.812042869170823E-2</v>
      </c>
      <c r="M45">
        <f t="shared" si="3"/>
        <v>3.8278079182958373E-3</v>
      </c>
      <c r="N45">
        <f t="shared" si="3"/>
        <v>6.9009935066632359E-3</v>
      </c>
      <c r="O45">
        <f t="shared" si="3"/>
        <v>-1.5109018407387679E-3</v>
      </c>
      <c r="Y45" s="38"/>
      <c r="Z45" s="56" t="s">
        <v>34</v>
      </c>
      <c r="AB45" s="27"/>
      <c r="AJ45" s="39"/>
    </row>
    <row r="46" spans="1:36" x14ac:dyDescent="0.35">
      <c r="A46" s="2">
        <v>44999</v>
      </c>
      <c r="B46">
        <v>150.55169677734381</v>
      </c>
      <c r="C46">
        <v>463.33941650390619</v>
      </c>
      <c r="D46">
        <v>141.51222229003909</v>
      </c>
      <c r="E46">
        <v>125.3857803344727</v>
      </c>
      <c r="F46">
        <v>68.761482238769531</v>
      </c>
      <c r="G46">
        <v>130.4628601074219</v>
      </c>
      <c r="H46">
        <v>3919.2900390625</v>
      </c>
      <c r="I46">
        <f t="shared" si="3"/>
        <v>1.3990507353338084E-2</v>
      </c>
      <c r="J46">
        <f t="shared" si="3"/>
        <v>2.0799017145100775E-2</v>
      </c>
      <c r="K46">
        <f t="shared" si="3"/>
        <v>5.6030291143282212E-3</v>
      </c>
      <c r="L46">
        <f t="shared" si="3"/>
        <v>2.5351875288875815E-2</v>
      </c>
      <c r="M46">
        <f t="shared" si="3"/>
        <v>1.7045708312427618E-2</v>
      </c>
      <c r="N46">
        <f t="shared" si="3"/>
        <v>1.2302599023165722E-2</v>
      </c>
      <c r="O46">
        <f t="shared" si="3"/>
        <v>1.6342388235363665E-2</v>
      </c>
      <c r="Y46" s="38"/>
      <c r="Z46" s="56"/>
      <c r="AB46" s="25"/>
      <c r="AC46" s="19" t="s">
        <v>1</v>
      </c>
      <c r="AD46" s="19" t="s">
        <v>2</v>
      </c>
      <c r="AE46" s="19" t="s">
        <v>3</v>
      </c>
      <c r="AF46" s="19" t="s">
        <v>4</v>
      </c>
      <c r="AG46" s="19" t="s">
        <v>5</v>
      </c>
      <c r="AH46" s="19" t="s">
        <v>6</v>
      </c>
      <c r="AI46" s="20" t="s">
        <v>21</v>
      </c>
      <c r="AJ46" s="39"/>
    </row>
    <row r="47" spans="1:36" x14ac:dyDescent="0.35">
      <c r="A47" s="2">
        <v>45000</v>
      </c>
      <c r="B47">
        <v>150.94636535644531</v>
      </c>
      <c r="C47">
        <v>466.93521118164063</v>
      </c>
      <c r="D47">
        <v>141.9075622558594</v>
      </c>
      <c r="E47">
        <v>119.46205139160161</v>
      </c>
      <c r="F47">
        <v>69.656166076660156</v>
      </c>
      <c r="G47">
        <v>132.30995178222659</v>
      </c>
      <c r="H47">
        <v>3891.929931640625</v>
      </c>
      <c r="I47">
        <f t="shared" si="3"/>
        <v>2.618052014903709E-3</v>
      </c>
      <c r="J47">
        <f t="shared" si="3"/>
        <v>7.7306474424486057E-3</v>
      </c>
      <c r="K47">
        <f t="shared" si="3"/>
        <v>2.7897856380170128E-3</v>
      </c>
      <c r="L47">
        <f t="shared" si="3"/>
        <v>-4.8396467945587184E-2</v>
      </c>
      <c r="M47">
        <f t="shared" si="3"/>
        <v>1.2927488780594321E-2</v>
      </c>
      <c r="N47">
        <f t="shared" si="3"/>
        <v>1.4058700244571915E-2</v>
      </c>
      <c r="O47">
        <f t="shared" si="3"/>
        <v>-7.0053639293535972E-3</v>
      </c>
      <c r="Y47" s="38"/>
      <c r="Z47" s="56"/>
      <c r="AB47" s="24" t="s">
        <v>17</v>
      </c>
      <c r="AC47" s="21">
        <v>8.1221066593982358E-2</v>
      </c>
      <c r="AD47" s="21">
        <v>0.18291246548670101</v>
      </c>
      <c r="AE47" s="21">
        <v>0.29176726033214673</v>
      </c>
      <c r="AF47" s="21">
        <v>0.13352018789367637</v>
      </c>
      <c r="AG47" s="21">
        <v>3.9049616897816705E-2</v>
      </c>
      <c r="AH47" s="21">
        <v>0.27152840279567714</v>
      </c>
      <c r="AI47" s="21">
        <f>SUM(AC47:AH47)</f>
        <v>0.9999990000000003</v>
      </c>
      <c r="AJ47" s="39"/>
    </row>
    <row r="48" spans="1:36" x14ac:dyDescent="0.35">
      <c r="A48" s="2">
        <v>45001</v>
      </c>
      <c r="B48">
        <v>153.7681884765625</v>
      </c>
      <c r="C48">
        <v>468.47354125976563</v>
      </c>
      <c r="D48">
        <v>141.61334228515619</v>
      </c>
      <c r="E48">
        <v>121.78126525878911</v>
      </c>
      <c r="F48">
        <v>70.311042785644531</v>
      </c>
      <c r="G48">
        <v>133.298828125</v>
      </c>
      <c r="H48">
        <v>3960.280029296875</v>
      </c>
      <c r="I48">
        <f t="shared" si="3"/>
        <v>1.8521621321561224E-2</v>
      </c>
      <c r="J48">
        <f t="shared" si="3"/>
        <v>3.2891106929376457E-3</v>
      </c>
      <c r="K48">
        <f t="shared" si="3"/>
        <v>-2.0754736007522505E-3</v>
      </c>
      <c r="L48">
        <f t="shared" si="3"/>
        <v>1.922776847402299E-2</v>
      </c>
      <c r="M48">
        <f t="shared" si="3"/>
        <v>9.3576415935602338E-3</v>
      </c>
      <c r="N48">
        <f t="shared" si="3"/>
        <v>7.4461462617545372E-3</v>
      </c>
      <c r="O48">
        <f t="shared" si="3"/>
        <v>1.7409576249031722E-2</v>
      </c>
      <c r="Y48" s="38"/>
      <c r="Z48" s="56"/>
      <c r="AB48" s="25"/>
      <c r="AC48" s="18"/>
      <c r="AD48" s="18"/>
      <c r="AE48" s="18"/>
      <c r="AF48" s="18"/>
      <c r="AG48" s="18"/>
      <c r="AH48" s="18"/>
      <c r="AI48" s="18"/>
      <c r="AJ48" s="39"/>
    </row>
    <row r="49" spans="1:36" x14ac:dyDescent="0.35">
      <c r="A49" s="2">
        <v>45002</v>
      </c>
      <c r="B49">
        <v>152.92951965332031</v>
      </c>
      <c r="C49">
        <v>468.27166748046881</v>
      </c>
      <c r="D49">
        <v>140.09635925292969</v>
      </c>
      <c r="E49">
        <v>117.18011474609381</v>
      </c>
      <c r="F49">
        <v>69.794525146484375</v>
      </c>
      <c r="G49">
        <v>133.33610534667969</v>
      </c>
      <c r="H49">
        <v>3916.639892578125</v>
      </c>
      <c r="I49">
        <f t="shared" si="3"/>
        <v>-5.4690393271237172E-3</v>
      </c>
      <c r="J49">
        <f t="shared" si="3"/>
        <v>-4.310110807900034E-4</v>
      </c>
      <c r="K49">
        <f t="shared" si="3"/>
        <v>-1.0769935767298532E-2</v>
      </c>
      <c r="L49">
        <f t="shared" si="3"/>
        <v>-3.851433449017682E-2</v>
      </c>
      <c r="M49">
        <f t="shared" si="3"/>
        <v>-7.373296962334022E-3</v>
      </c>
      <c r="N49">
        <f t="shared" si="3"/>
        <v>2.796124381543161E-4</v>
      </c>
      <c r="O49">
        <f t="shared" si="3"/>
        <v>-1.1080621273953702E-2</v>
      </c>
      <c r="Y49" s="38"/>
      <c r="Z49" s="56"/>
      <c r="AB49" s="25" t="s">
        <v>19</v>
      </c>
      <c r="AC49" s="22">
        <f t="array" ref="AC49">MMULT(AC47:AH47,MMULT(AC13:AH18,TRANSPOSE(AC47:AH47)))</f>
        <v>1.3369976406983598E-2</v>
      </c>
      <c r="AD49" s="18"/>
      <c r="AE49" s="18"/>
      <c r="AF49" s="18"/>
      <c r="AG49" s="18"/>
      <c r="AH49" s="18"/>
      <c r="AI49" s="18"/>
      <c r="AJ49" s="39"/>
    </row>
    <row r="50" spans="1:36" x14ac:dyDescent="0.35">
      <c r="A50" s="2">
        <v>45005</v>
      </c>
      <c r="B50">
        <v>155.29743957519531</v>
      </c>
      <c r="C50">
        <v>470.42526245117188</v>
      </c>
      <c r="D50">
        <v>141.4846496582031</v>
      </c>
      <c r="E50">
        <v>118.4188766479492</v>
      </c>
      <c r="F50">
        <v>70.071243286132813</v>
      </c>
      <c r="G50">
        <v>135.38844299316409</v>
      </c>
      <c r="H50">
        <v>3951.570068359375</v>
      </c>
      <c r="I50">
        <f t="shared" si="3"/>
        <v>1.536508366198913E-2</v>
      </c>
      <c r="J50">
        <f t="shared" si="3"/>
        <v>4.5884857626563606E-3</v>
      </c>
      <c r="K50">
        <f t="shared" si="3"/>
        <v>9.8607619866270396E-3</v>
      </c>
      <c r="L50">
        <f t="shared" si="3"/>
        <v>1.0515947544829237E-2</v>
      </c>
      <c r="M50">
        <f t="shared" si="3"/>
        <v>3.9569153167563166E-3</v>
      </c>
      <c r="N50">
        <f t="shared" si="3"/>
        <v>1.5274953955751795E-2</v>
      </c>
      <c r="O50">
        <f t="shared" si="3"/>
        <v>8.8788696359408531E-3</v>
      </c>
      <c r="Y50" s="38"/>
      <c r="Z50" s="56"/>
      <c r="AB50" s="25" t="s">
        <v>22</v>
      </c>
      <c r="AC50" s="22">
        <f>SQRT(AC49)</f>
        <v>0.11562861413587727</v>
      </c>
      <c r="AD50" s="18"/>
      <c r="AE50" s="18"/>
      <c r="AF50" s="18"/>
      <c r="AG50" s="18"/>
      <c r="AH50" s="18"/>
      <c r="AI50" s="18"/>
      <c r="AJ50" s="39"/>
    </row>
    <row r="51" spans="1:36" x14ac:dyDescent="0.35">
      <c r="A51" s="2">
        <v>45006</v>
      </c>
      <c r="B51">
        <v>157.15232849121091</v>
      </c>
      <c r="C51">
        <v>471.925048828125</v>
      </c>
      <c r="D51">
        <v>141.4846496582031</v>
      </c>
      <c r="E51">
        <v>121.59498596191411</v>
      </c>
      <c r="F51">
        <v>69.508590698242188</v>
      </c>
      <c r="G51">
        <v>134.408935546875</v>
      </c>
      <c r="H51">
        <v>4002.8701171875</v>
      </c>
      <c r="I51">
        <f t="shared" si="3"/>
        <v>1.1873337072381687E-2</v>
      </c>
      <c r="J51">
        <f t="shared" si="3"/>
        <v>3.1830787878349802E-3</v>
      </c>
      <c r="K51">
        <f t="shared" si="3"/>
        <v>0</v>
      </c>
      <c r="L51">
        <f t="shared" si="3"/>
        <v>2.6467593925759418E-2</v>
      </c>
      <c r="M51">
        <f t="shared" si="3"/>
        <v>-8.0621336110483985E-3</v>
      </c>
      <c r="N51">
        <f t="shared" si="3"/>
        <v>-7.2610916768004533E-3</v>
      </c>
      <c r="O51">
        <f t="shared" si="3"/>
        <v>1.2898647518559103E-2</v>
      </c>
      <c r="Y51" s="38"/>
      <c r="Z51" s="56"/>
      <c r="AB51" s="25" t="s">
        <v>23</v>
      </c>
      <c r="AC51" s="22">
        <f>SUMPRODUCT(AC47:AH47,S4:X4)</f>
        <v>0.12857059498211637</v>
      </c>
      <c r="AD51" s="18"/>
      <c r="AE51" s="18"/>
      <c r="AF51" s="18"/>
      <c r="AG51" s="18"/>
      <c r="AH51" s="18"/>
      <c r="AI51" s="18"/>
      <c r="AJ51" s="39"/>
    </row>
    <row r="52" spans="1:36" x14ac:dyDescent="0.35">
      <c r="A52" s="2">
        <v>45007</v>
      </c>
      <c r="B52">
        <v>155.7217712402344</v>
      </c>
      <c r="C52">
        <v>468.7235107421875</v>
      </c>
      <c r="D52">
        <v>138.8735656738281</v>
      </c>
      <c r="E52">
        <v>118.4561386108398</v>
      </c>
      <c r="F52">
        <v>68.374092102050781</v>
      </c>
      <c r="G52">
        <v>134.32496643066409</v>
      </c>
      <c r="H52">
        <v>3936.969970703125</v>
      </c>
      <c r="I52">
        <f t="shared" si="3"/>
        <v>-9.1446829342110153E-3</v>
      </c>
      <c r="J52">
        <f t="shared" si="3"/>
        <v>-6.8071128494699073E-3</v>
      </c>
      <c r="K52">
        <f t="shared" si="3"/>
        <v>-1.8627308492489041E-2</v>
      </c>
      <c r="L52">
        <f t="shared" si="3"/>
        <v>-2.6152981064143377E-2</v>
      </c>
      <c r="M52">
        <f t="shared" si="3"/>
        <v>-1.6456369661952533E-2</v>
      </c>
      <c r="N52">
        <f t="shared" si="3"/>
        <v>-6.2492389926023918E-4</v>
      </c>
      <c r="O52">
        <f t="shared" si="3"/>
        <v>-1.6600248639842885E-2</v>
      </c>
      <c r="Y52" s="38"/>
      <c r="Z52" s="56"/>
      <c r="AB52" s="25" t="s">
        <v>25</v>
      </c>
      <c r="AC52" s="23">
        <f>(AC51-AC44)/AC50</f>
        <v>0.751289770540994</v>
      </c>
      <c r="AD52" s="18"/>
      <c r="AE52" s="18"/>
      <c r="AF52" s="18"/>
      <c r="AG52" s="18"/>
      <c r="AH52" s="18"/>
      <c r="AI52" s="18"/>
      <c r="AJ52" s="39"/>
    </row>
    <row r="53" spans="1:36" x14ac:dyDescent="0.35">
      <c r="A53" s="2">
        <v>45008</v>
      </c>
      <c r="B53">
        <v>156.80702209472659</v>
      </c>
      <c r="C53">
        <v>468.95425415039063</v>
      </c>
      <c r="D53">
        <v>138.94712829589841</v>
      </c>
      <c r="E53">
        <v>118.13946533203119</v>
      </c>
      <c r="F53">
        <v>68.078948974609375</v>
      </c>
      <c r="G53">
        <v>134.13841247558591</v>
      </c>
      <c r="H53">
        <v>3948.719970703125</v>
      </c>
      <c r="I53">
        <f t="shared" si="3"/>
        <v>6.9449934834961901E-3</v>
      </c>
      <c r="J53">
        <f t="shared" si="3"/>
        <v>4.9215929288266077E-4</v>
      </c>
      <c r="K53">
        <f t="shared" si="3"/>
        <v>5.295690737674208E-4</v>
      </c>
      <c r="L53">
        <f t="shared" si="3"/>
        <v>-2.6769175980870911E-3</v>
      </c>
      <c r="M53">
        <f t="shared" si="3"/>
        <v>-4.3259363863412253E-3</v>
      </c>
      <c r="N53">
        <f t="shared" si="3"/>
        <v>-1.3897909343607994E-3</v>
      </c>
      <c r="O53">
        <f t="shared" si="3"/>
        <v>2.9800838691824228E-3</v>
      </c>
      <c r="Y53" s="38"/>
      <c r="Z53" s="56"/>
      <c r="AB53" s="27"/>
      <c r="AJ53" s="39"/>
    </row>
    <row r="54" spans="1:36" x14ac:dyDescent="0.35">
      <c r="A54" s="2">
        <v>45009</v>
      </c>
      <c r="B54">
        <v>158.10939025878909</v>
      </c>
      <c r="C54">
        <v>476.1746826171875</v>
      </c>
      <c r="D54">
        <v>140.34458923339841</v>
      </c>
      <c r="E54">
        <v>116.3418502807617</v>
      </c>
      <c r="F54">
        <v>69.81298828125</v>
      </c>
      <c r="G54">
        <v>136.87171936035159</v>
      </c>
      <c r="H54">
        <v>3970.989990234375</v>
      </c>
      <c r="I54">
        <f t="shared" si="3"/>
        <v>8.2712461969572902E-3</v>
      </c>
      <c r="J54">
        <f t="shared" si="3"/>
        <v>1.5279542634770037E-2</v>
      </c>
      <c r="K54">
        <f t="shared" ref="K54:O104" si="8">LN(D54/D53)</f>
        <v>1.0007261312790172E-2</v>
      </c>
      <c r="L54">
        <f t="shared" si="8"/>
        <v>-1.5332993716899893E-2</v>
      </c>
      <c r="M54">
        <f t="shared" si="8"/>
        <v>2.5152024933133517E-2</v>
      </c>
      <c r="N54">
        <f t="shared" si="8"/>
        <v>2.0171936370785598E-2</v>
      </c>
      <c r="O54">
        <f t="shared" si="8"/>
        <v>5.6239630843032068E-3</v>
      </c>
      <c r="Y54" s="38"/>
      <c r="Z54" s="56"/>
      <c r="AB54" s="31"/>
      <c r="AC54" s="28" t="s">
        <v>1</v>
      </c>
      <c r="AD54" s="28" t="s">
        <v>2</v>
      </c>
      <c r="AE54" s="28" t="s">
        <v>3</v>
      </c>
      <c r="AF54" s="28" t="s">
        <v>4</v>
      </c>
      <c r="AG54" s="28" t="s">
        <v>5</v>
      </c>
      <c r="AH54" s="28" t="s">
        <v>6</v>
      </c>
      <c r="AI54" s="10" t="s">
        <v>21</v>
      </c>
      <c r="AJ54" s="39"/>
    </row>
    <row r="55" spans="1:36" x14ac:dyDescent="0.35">
      <c r="A55" s="2">
        <v>45012</v>
      </c>
      <c r="B55">
        <v>156.16571044921881</v>
      </c>
      <c r="C55">
        <v>474.2037353515625</v>
      </c>
      <c r="D55">
        <v>140.94219970703119</v>
      </c>
      <c r="E55">
        <v>119.67629241943359</v>
      </c>
      <c r="F55">
        <v>69.582389831542969</v>
      </c>
      <c r="G55">
        <v>136.1534118652344</v>
      </c>
      <c r="H55">
        <v>3977.530029296875</v>
      </c>
      <c r="I55">
        <f t="shared" ref="I55:O118" si="9">LN(B55/B54)</f>
        <v>-1.236944694356632E-2</v>
      </c>
      <c r="J55">
        <f t="shared" si="9"/>
        <v>-4.1477164337221416E-3</v>
      </c>
      <c r="K55">
        <f t="shared" si="8"/>
        <v>4.2491250658559772E-3</v>
      </c>
      <c r="L55">
        <f t="shared" si="8"/>
        <v>2.8257692193649982E-2</v>
      </c>
      <c r="M55">
        <f t="shared" si="8"/>
        <v>-3.3085553220417859E-3</v>
      </c>
      <c r="N55">
        <f t="shared" si="8"/>
        <v>-5.2618537290924769E-3</v>
      </c>
      <c r="O55">
        <f t="shared" si="8"/>
        <v>1.6455995637670831E-3</v>
      </c>
      <c r="Y55" s="38"/>
      <c r="Z55" s="56"/>
      <c r="AB55" s="29" t="s">
        <v>18</v>
      </c>
      <c r="AC55" s="30">
        <v>0.19030378191311484</v>
      </c>
      <c r="AD55" s="30">
        <v>0.632582945410188</v>
      </c>
      <c r="AE55" s="30">
        <v>0.25682481202706198</v>
      </c>
      <c r="AF55" s="30">
        <v>0.61138200245943264</v>
      </c>
      <c r="AG55" s="30">
        <v>-0.11893125978719629</v>
      </c>
      <c r="AH55" s="30">
        <v>-0.57216228202260133</v>
      </c>
      <c r="AI55" s="30">
        <f>SUM(AC55:AH55)</f>
        <v>0.99999999999999978</v>
      </c>
      <c r="AJ55" s="39"/>
    </row>
    <row r="56" spans="1:36" x14ac:dyDescent="0.35">
      <c r="A56" s="2">
        <v>45013</v>
      </c>
      <c r="B56">
        <v>155.54412841796881</v>
      </c>
      <c r="C56">
        <v>468.00241088867188</v>
      </c>
      <c r="D56">
        <v>139.5815124511719</v>
      </c>
      <c r="E56">
        <v>120.03952789306641</v>
      </c>
      <c r="F56">
        <v>69.397911071777344</v>
      </c>
      <c r="G56">
        <v>136.53590393066409</v>
      </c>
      <c r="H56">
        <v>3971.27001953125</v>
      </c>
      <c r="I56">
        <f t="shared" si="9"/>
        <v>-3.9882145357247618E-3</v>
      </c>
      <c r="J56">
        <f t="shared" si="9"/>
        <v>-1.3163603389211576E-2</v>
      </c>
      <c r="K56">
        <f t="shared" si="8"/>
        <v>-9.701125917470306E-3</v>
      </c>
      <c r="L56">
        <f t="shared" si="8"/>
        <v>3.0305530203479053E-3</v>
      </c>
      <c r="M56">
        <f t="shared" si="8"/>
        <v>-2.6547484343078442E-3</v>
      </c>
      <c r="N56">
        <f t="shared" si="8"/>
        <v>2.8053340862373402E-3</v>
      </c>
      <c r="O56">
        <f t="shared" si="8"/>
        <v>-1.5750832883878866E-3</v>
      </c>
      <c r="Y56" s="38"/>
      <c r="Z56" s="56"/>
      <c r="AB56" s="31"/>
      <c r="AC56" s="11"/>
      <c r="AD56" s="11"/>
      <c r="AE56" s="11"/>
      <c r="AF56" s="11"/>
      <c r="AG56" s="11"/>
      <c r="AH56" s="11"/>
      <c r="AI56" s="11"/>
      <c r="AJ56" s="39"/>
    </row>
    <row r="57" spans="1:36" x14ac:dyDescent="0.35">
      <c r="A57" s="2">
        <v>45014</v>
      </c>
      <c r="B57">
        <v>158.6224365234375</v>
      </c>
      <c r="C57">
        <v>471.9443359375</v>
      </c>
      <c r="D57">
        <v>140.95140075683591</v>
      </c>
      <c r="E57">
        <v>120.2817001342773</v>
      </c>
      <c r="F57">
        <v>70.200355529785156</v>
      </c>
      <c r="G57">
        <v>136.9556884765625</v>
      </c>
      <c r="H57">
        <v>4027.81005859375</v>
      </c>
      <c r="I57">
        <f t="shared" si="9"/>
        <v>1.9597289896621076E-2</v>
      </c>
      <c r="J57">
        <f t="shared" si="9"/>
        <v>8.3875989192864486E-3</v>
      </c>
      <c r="K57">
        <f t="shared" si="8"/>
        <v>9.7664062203423885E-3</v>
      </c>
      <c r="L57">
        <f t="shared" si="8"/>
        <v>2.0154051739098167E-3</v>
      </c>
      <c r="M57">
        <f t="shared" si="8"/>
        <v>1.1496608316342565E-2</v>
      </c>
      <c r="N57">
        <f t="shared" si="8"/>
        <v>3.0698192355161601E-3</v>
      </c>
      <c r="O57">
        <f t="shared" si="8"/>
        <v>1.4136870775046802E-2</v>
      </c>
      <c r="Y57" s="38"/>
      <c r="Z57" s="56"/>
      <c r="AB57" s="31" t="s">
        <v>20</v>
      </c>
      <c r="AC57" s="32">
        <f t="array" ref="AC57">MMULT(AC55:AH55,MMULT(AC13:AH18,TRANSPOSE(AC55:AH55)))</f>
        <v>5.5454749873444502E-2</v>
      </c>
      <c r="AD57" s="11"/>
      <c r="AE57" s="11"/>
      <c r="AF57" s="11"/>
      <c r="AG57" s="11"/>
      <c r="AH57" s="11"/>
      <c r="AI57" s="11"/>
      <c r="AJ57" s="39"/>
    </row>
    <row r="58" spans="1:36" x14ac:dyDescent="0.35">
      <c r="A58" s="2">
        <v>45015</v>
      </c>
      <c r="B58">
        <v>160.1911926269531</v>
      </c>
      <c r="C58">
        <v>472.53082275390619</v>
      </c>
      <c r="D58">
        <v>141.06172180175781</v>
      </c>
      <c r="E58">
        <v>119.91844177246089</v>
      </c>
      <c r="F58">
        <v>70.643089294433594</v>
      </c>
      <c r="G58">
        <v>137.552734375</v>
      </c>
      <c r="H58">
        <v>4050.830078125</v>
      </c>
      <c r="I58">
        <f t="shared" si="9"/>
        <v>9.8412904678844906E-3</v>
      </c>
      <c r="J58">
        <f t="shared" si="9"/>
        <v>1.2419318526103633E-3</v>
      </c>
      <c r="K58">
        <f t="shared" si="8"/>
        <v>7.823823909219995E-4</v>
      </c>
      <c r="L58">
        <f t="shared" si="8"/>
        <v>-3.0246330070330422E-3</v>
      </c>
      <c r="M58">
        <f t="shared" si="8"/>
        <v>6.28691272731085E-3</v>
      </c>
      <c r="N58">
        <f t="shared" si="8"/>
        <v>4.3499345752206235E-3</v>
      </c>
      <c r="O58">
        <f t="shared" si="8"/>
        <v>5.6989991994826524E-3</v>
      </c>
      <c r="Y58" s="38"/>
      <c r="Z58" s="56"/>
      <c r="AB58" s="31" t="s">
        <v>26</v>
      </c>
      <c r="AC58" s="32">
        <f>SQRT(AC57)</f>
        <v>0.2354883221593897</v>
      </c>
      <c r="AD58" s="11"/>
      <c r="AE58" s="11"/>
      <c r="AF58" s="11"/>
      <c r="AG58" s="11"/>
      <c r="AH58" s="11"/>
      <c r="AI58" s="11"/>
      <c r="AJ58" s="39"/>
    </row>
    <row r="59" spans="1:36" x14ac:dyDescent="0.35">
      <c r="A59" s="2">
        <v>45016</v>
      </c>
      <c r="B59">
        <v>162.697265625</v>
      </c>
      <c r="C59">
        <v>477.7130126953125</v>
      </c>
      <c r="D59">
        <v>142.50517272949219</v>
      </c>
      <c r="E59">
        <v>121.371452331543</v>
      </c>
      <c r="F59">
        <v>71.095039367675781</v>
      </c>
      <c r="G59">
        <v>138.7095031738281</v>
      </c>
      <c r="H59">
        <v>4109.31005859375</v>
      </c>
      <c r="I59">
        <f t="shared" si="9"/>
        <v>1.5523152082184948E-2</v>
      </c>
      <c r="J59">
        <f t="shared" si="9"/>
        <v>1.0907182185488404E-2</v>
      </c>
      <c r="K59">
        <f t="shared" si="8"/>
        <v>1.0180761034557088E-2</v>
      </c>
      <c r="L59">
        <f t="shared" si="8"/>
        <v>1.2043837378162893E-2</v>
      </c>
      <c r="M59">
        <f t="shared" si="8"/>
        <v>6.3772763084746784E-3</v>
      </c>
      <c r="N59">
        <f t="shared" si="8"/>
        <v>8.3744746991810705E-3</v>
      </c>
      <c r="O59">
        <f t="shared" si="8"/>
        <v>1.4333327782036555E-2</v>
      </c>
      <c r="Y59" s="38"/>
      <c r="Z59" s="56"/>
      <c r="AB59" s="31" t="s">
        <v>27</v>
      </c>
      <c r="AC59" s="32">
        <f>SUMPRODUCT(AC55:AH55,S4:X4)</f>
        <v>0.40202707706753277</v>
      </c>
      <c r="AD59" s="11"/>
      <c r="AE59" s="11"/>
      <c r="AF59" s="11"/>
      <c r="AG59" s="11"/>
      <c r="AH59" s="11"/>
      <c r="AI59" s="11"/>
      <c r="AJ59" s="39"/>
    </row>
    <row r="60" spans="1:36" x14ac:dyDescent="0.35">
      <c r="A60" s="2">
        <v>45019</v>
      </c>
      <c r="B60">
        <v>163.95033264160159</v>
      </c>
      <c r="C60">
        <v>477.86685180664063</v>
      </c>
      <c r="D60">
        <v>144.20600891113281</v>
      </c>
      <c r="E60">
        <v>121.2317352294922</v>
      </c>
      <c r="F60">
        <v>70.716880798339844</v>
      </c>
      <c r="G60">
        <v>139.4744567871094</v>
      </c>
      <c r="H60">
        <v>4124.509765625</v>
      </c>
      <c r="I60">
        <f t="shared" si="9"/>
        <v>7.6723243643311862E-3</v>
      </c>
      <c r="J60">
        <f t="shared" si="9"/>
        <v>3.2198064938782648E-4</v>
      </c>
      <c r="K60">
        <f t="shared" si="8"/>
        <v>1.1864595750281173E-2</v>
      </c>
      <c r="L60">
        <f t="shared" si="8"/>
        <v>-1.151816007877489E-3</v>
      </c>
      <c r="M60">
        <f t="shared" si="8"/>
        <v>-5.3332535832230363E-3</v>
      </c>
      <c r="N60">
        <f t="shared" si="8"/>
        <v>5.4996380197801101E-3</v>
      </c>
      <c r="O60">
        <f t="shared" si="8"/>
        <v>3.6920225658028231E-3</v>
      </c>
      <c r="Y60" s="38"/>
      <c r="AB60" s="31" t="s">
        <v>28</v>
      </c>
      <c r="AC60" s="33">
        <f>(AC59-AC44)/AC58</f>
        <v>1.5301271577435005</v>
      </c>
      <c r="AD60" s="11"/>
      <c r="AE60" s="11"/>
      <c r="AF60" s="11"/>
      <c r="AG60" s="11"/>
      <c r="AH60" s="11"/>
      <c r="AI60" s="11"/>
      <c r="AJ60" s="39"/>
    </row>
    <row r="61" spans="1:36" x14ac:dyDescent="0.35">
      <c r="A61" s="2">
        <v>45020</v>
      </c>
      <c r="B61">
        <v>163.41754150390619</v>
      </c>
      <c r="C61">
        <v>478.53988647460938</v>
      </c>
      <c r="D61">
        <v>145.7138366699219</v>
      </c>
      <c r="E61">
        <v>119.61106872558589</v>
      </c>
      <c r="F61">
        <v>71.168838500976563</v>
      </c>
      <c r="G61">
        <v>140.1461486816406</v>
      </c>
      <c r="H61">
        <v>4100.60009765625</v>
      </c>
      <c r="I61">
        <f t="shared" si="9"/>
        <v>-3.2550024005745188E-3</v>
      </c>
      <c r="J61">
        <f t="shared" si="9"/>
        <v>1.4074237500170575E-3</v>
      </c>
      <c r="K61">
        <f t="shared" si="8"/>
        <v>1.0401780885000456E-2</v>
      </c>
      <c r="L61">
        <f t="shared" si="8"/>
        <v>-1.3458496081086157E-2</v>
      </c>
      <c r="M61">
        <f t="shared" si="8"/>
        <v>6.3707501146853789E-3</v>
      </c>
      <c r="N61">
        <f t="shared" si="8"/>
        <v>4.804318232374879E-3</v>
      </c>
      <c r="O61">
        <f t="shared" si="8"/>
        <v>-5.8138397451625292E-3</v>
      </c>
      <c r="Y61" s="38"/>
      <c r="AB61" s="27"/>
      <c r="AJ61" s="39"/>
    </row>
    <row r="62" spans="1:36" x14ac:dyDescent="0.35">
      <c r="A62" s="2">
        <v>45021</v>
      </c>
      <c r="B62">
        <v>161.572509765625</v>
      </c>
      <c r="C62">
        <v>477.96298217773438</v>
      </c>
      <c r="D62">
        <v>152.2598571777344</v>
      </c>
      <c r="E62">
        <v>119.7894287109375</v>
      </c>
      <c r="F62">
        <v>72.248001098632813</v>
      </c>
      <c r="G62">
        <v>141.10697937011719</v>
      </c>
      <c r="H62">
        <v>4090.3798828125</v>
      </c>
      <c r="I62">
        <f t="shared" si="9"/>
        <v>-1.1354511029360441E-2</v>
      </c>
      <c r="J62">
        <f t="shared" si="9"/>
        <v>-1.2062783829235426E-3</v>
      </c>
      <c r="K62">
        <f t="shared" si="8"/>
        <v>4.394397232071022E-2</v>
      </c>
      <c r="L62">
        <f t="shared" si="8"/>
        <v>1.4900555367429039E-3</v>
      </c>
      <c r="M62">
        <f t="shared" si="8"/>
        <v>1.5049599041866295E-2</v>
      </c>
      <c r="N62">
        <f t="shared" si="8"/>
        <v>6.8325243742685011E-3</v>
      </c>
      <c r="O62">
        <f t="shared" si="8"/>
        <v>-2.4954816571214232E-3</v>
      </c>
      <c r="Y62" s="45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8"/>
    </row>
    <row r="63" spans="1:36" x14ac:dyDescent="0.35">
      <c r="A63" s="2">
        <v>45022</v>
      </c>
      <c r="B63">
        <v>162.4604797363281</v>
      </c>
      <c r="C63">
        <v>467.24285888671881</v>
      </c>
      <c r="D63">
        <v>151.83692932128909</v>
      </c>
      <c r="E63">
        <v>119.6580123901367</v>
      </c>
      <c r="F63">
        <v>72.838294982910156</v>
      </c>
      <c r="G63">
        <v>142.00254821777341</v>
      </c>
      <c r="H63">
        <v>4105.02001953125</v>
      </c>
      <c r="I63">
        <f t="shared" si="9"/>
        <v>5.4807517891991304E-3</v>
      </c>
      <c r="J63">
        <f t="shared" si="9"/>
        <v>-2.2684123412384793E-2</v>
      </c>
      <c r="K63">
        <f t="shared" si="8"/>
        <v>-2.7815363259513165E-3</v>
      </c>
      <c r="L63">
        <f t="shared" si="8"/>
        <v>-1.0976632983956758E-3</v>
      </c>
      <c r="M63">
        <f t="shared" si="8"/>
        <v>8.137186727488116E-3</v>
      </c>
      <c r="N63">
        <f t="shared" si="8"/>
        <v>6.3266810023741892E-3</v>
      </c>
      <c r="O63">
        <f t="shared" si="8"/>
        <v>3.5727731328032467E-3</v>
      </c>
      <c r="Y63" s="38"/>
      <c r="AJ63" s="39"/>
    </row>
    <row r="64" spans="1:36" x14ac:dyDescent="0.35">
      <c r="A64" s="2">
        <v>45026</v>
      </c>
      <c r="B64">
        <v>159.86561584472659</v>
      </c>
      <c r="C64">
        <v>474.79019165039063</v>
      </c>
      <c r="D64">
        <v>151.07386779785159</v>
      </c>
      <c r="E64">
        <v>120.05226898193359</v>
      </c>
      <c r="F64">
        <v>72.340225219726563</v>
      </c>
      <c r="G64">
        <v>140.82713317871091</v>
      </c>
      <c r="H64">
        <v>4109.10986328125</v>
      </c>
      <c r="I64">
        <f t="shared" si="9"/>
        <v>-1.6101209219960111E-2</v>
      </c>
      <c r="J64">
        <f t="shared" si="9"/>
        <v>1.6023841729638971E-2</v>
      </c>
      <c r="K64">
        <f t="shared" si="8"/>
        <v>-5.0382036216034386E-3</v>
      </c>
      <c r="L64">
        <f t="shared" si="8"/>
        <v>3.2894454509252557E-3</v>
      </c>
      <c r="M64">
        <f t="shared" si="8"/>
        <v>-6.8615070134635048E-3</v>
      </c>
      <c r="N64">
        <f t="shared" si="8"/>
        <v>-8.3118702423844466E-3</v>
      </c>
      <c r="O64">
        <f t="shared" si="8"/>
        <v>9.9580701701008434E-4</v>
      </c>
      <c r="Y64" s="38"/>
      <c r="AB64" s="57" t="s">
        <v>36</v>
      </c>
      <c r="AC64" s="57"/>
      <c r="AD64" s="57"/>
      <c r="AE64" s="57"/>
      <c r="AF64" s="57"/>
      <c r="AG64" s="57"/>
      <c r="AH64" s="57"/>
      <c r="AJ64" s="39"/>
    </row>
    <row r="65" spans="1:36" x14ac:dyDescent="0.35">
      <c r="A65" s="2">
        <v>45027</v>
      </c>
      <c r="B65">
        <v>158.65205383300781</v>
      </c>
      <c r="C65">
        <v>479.42437744140619</v>
      </c>
      <c r="D65">
        <v>151.02789306640619</v>
      </c>
      <c r="E65">
        <v>120.643669128418</v>
      </c>
      <c r="F65">
        <v>72.257225036621094</v>
      </c>
      <c r="G65">
        <v>140.5472717285156</v>
      </c>
      <c r="H65">
        <v>4108.93994140625</v>
      </c>
      <c r="I65">
        <f t="shared" si="9"/>
        <v>-7.6200977179951054E-3</v>
      </c>
      <c r="J65">
        <f t="shared" si="9"/>
        <v>9.7131659390879681E-3</v>
      </c>
      <c r="K65">
        <f t="shared" si="8"/>
        <v>-3.0436586446094745E-4</v>
      </c>
      <c r="L65">
        <f t="shared" si="8"/>
        <v>4.9140948637296285E-3</v>
      </c>
      <c r="M65">
        <f t="shared" si="8"/>
        <v>-1.1480173692429527E-3</v>
      </c>
      <c r="N65">
        <f t="shared" si="8"/>
        <v>-1.9892466237238387E-3</v>
      </c>
      <c r="O65">
        <f t="shared" si="8"/>
        <v>-4.1353332983520818E-5</v>
      </c>
      <c r="Y65" s="38"/>
      <c r="AJ65" s="39"/>
    </row>
    <row r="66" spans="1:36" x14ac:dyDescent="0.35">
      <c r="A66" s="2">
        <v>45028</v>
      </c>
      <c r="B66">
        <v>157.9613952636719</v>
      </c>
      <c r="C66">
        <v>470.48294067382813</v>
      </c>
      <c r="D66">
        <v>150.70611572265619</v>
      </c>
      <c r="E66">
        <v>120.624885559082</v>
      </c>
      <c r="F66">
        <v>72.487808227539063</v>
      </c>
      <c r="G66">
        <v>140.9297790527344</v>
      </c>
      <c r="H66">
        <v>4091.949951171875</v>
      </c>
      <c r="I66">
        <f t="shared" si="9"/>
        <v>-4.362794232551679E-3</v>
      </c>
      <c r="J66">
        <f t="shared" si="9"/>
        <v>-1.8826470104471089E-2</v>
      </c>
      <c r="K66">
        <f t="shared" si="8"/>
        <v>-2.1328551396887162E-3</v>
      </c>
      <c r="L66">
        <f t="shared" si="8"/>
        <v>-1.5570673433402997E-4</v>
      </c>
      <c r="M66">
        <f t="shared" si="8"/>
        <v>3.1860628412888744E-3</v>
      </c>
      <c r="N66">
        <f t="shared" si="8"/>
        <v>2.7178596522497685E-3</v>
      </c>
      <c r="O66">
        <f t="shared" si="8"/>
        <v>-4.1434563234613855E-3</v>
      </c>
      <c r="Y66" s="38"/>
      <c r="AC66" s="14" t="s">
        <v>1</v>
      </c>
      <c r="AD66" s="14" t="s">
        <v>2</v>
      </c>
      <c r="AE66" s="14" t="s">
        <v>3</v>
      </c>
      <c r="AF66" s="14" t="s">
        <v>4</v>
      </c>
      <c r="AG66" s="14" t="s">
        <v>5</v>
      </c>
      <c r="AH66" s="14" t="s">
        <v>6</v>
      </c>
      <c r="AI66" s="17" t="s">
        <v>21</v>
      </c>
      <c r="AJ66" s="39"/>
    </row>
    <row r="67" spans="1:36" x14ac:dyDescent="0.35">
      <c r="A67" s="2">
        <v>45029</v>
      </c>
      <c r="B67">
        <v>163.34846496582031</v>
      </c>
      <c r="C67">
        <v>478.69369506835938</v>
      </c>
      <c r="D67">
        <v>152.71955871582031</v>
      </c>
      <c r="E67">
        <v>121.08485412597661</v>
      </c>
      <c r="F67">
        <v>72.727615356445313</v>
      </c>
      <c r="G67">
        <v>141.58274841308591</v>
      </c>
      <c r="H67">
        <v>4146.22021484375</v>
      </c>
      <c r="I67">
        <f t="shared" si="9"/>
        <v>3.3535071394998242E-2</v>
      </c>
      <c r="J67">
        <f t="shared" si="9"/>
        <v>1.7301224864526607E-2</v>
      </c>
      <c r="K67">
        <f t="shared" si="8"/>
        <v>1.3271603004767865E-2</v>
      </c>
      <c r="L67">
        <f t="shared" si="8"/>
        <v>3.8059626618908229E-3</v>
      </c>
      <c r="M67">
        <f t="shared" si="8"/>
        <v>3.3027806686030487E-3</v>
      </c>
      <c r="N67">
        <f t="shared" si="8"/>
        <v>4.6225951744519964E-3</v>
      </c>
      <c r="O67">
        <f t="shared" si="8"/>
        <v>1.3175510497831548E-2</v>
      </c>
      <c r="Y67" s="38"/>
      <c r="AB67" s="26" t="s">
        <v>29</v>
      </c>
      <c r="AC67" s="16">
        <f>1/6</f>
        <v>0.16666666666666666</v>
      </c>
      <c r="AD67" s="16">
        <f t="shared" ref="AD67:AH67" si="10">1/6</f>
        <v>0.16666666666666666</v>
      </c>
      <c r="AE67" s="16">
        <f t="shared" si="10"/>
        <v>0.16666666666666666</v>
      </c>
      <c r="AF67" s="16">
        <f t="shared" si="10"/>
        <v>0.16666666666666666</v>
      </c>
      <c r="AG67" s="16">
        <f t="shared" si="10"/>
        <v>0.16666666666666666</v>
      </c>
      <c r="AH67" s="16">
        <f t="shared" si="10"/>
        <v>0.16666666666666666</v>
      </c>
      <c r="AI67" s="16">
        <f>SUM(AC67:AH67)</f>
        <v>0.99999999999999989</v>
      </c>
      <c r="AJ67" s="39"/>
    </row>
    <row r="68" spans="1:36" x14ac:dyDescent="0.35">
      <c r="A68" s="2">
        <v>45030</v>
      </c>
      <c r="B68">
        <v>163.003173828125</v>
      </c>
      <c r="C68">
        <v>472.3577880859375</v>
      </c>
      <c r="D68">
        <v>152.4713134765625</v>
      </c>
      <c r="E68">
        <v>130.2279357910156</v>
      </c>
      <c r="F68">
        <v>71.962059020996094</v>
      </c>
      <c r="G68">
        <v>140.86445617675781</v>
      </c>
      <c r="H68">
        <v>4137.64013671875</v>
      </c>
      <c r="I68">
        <f t="shared" si="9"/>
        <v>-2.1160688379885401E-3</v>
      </c>
      <c r="J68">
        <f t="shared" si="9"/>
        <v>-1.3324201331112494E-2</v>
      </c>
      <c r="K68">
        <f t="shared" si="8"/>
        <v>-1.6268199125603902E-3</v>
      </c>
      <c r="L68">
        <f t="shared" si="8"/>
        <v>7.2794693778920561E-2</v>
      </c>
      <c r="M68">
        <f t="shared" si="8"/>
        <v>-1.0582143926432223E-2</v>
      </c>
      <c r="N68">
        <f t="shared" si="8"/>
        <v>-5.0862162779388657E-3</v>
      </c>
      <c r="O68">
        <f t="shared" si="8"/>
        <v>-2.0715175845779886E-3</v>
      </c>
      <c r="Y68" s="38"/>
      <c r="AB68" s="27"/>
      <c r="AJ68" s="39"/>
    </row>
    <row r="69" spans="1:36" x14ac:dyDescent="0.35">
      <c r="A69" s="2">
        <v>45033</v>
      </c>
      <c r="B69">
        <v>163.02287292480469</v>
      </c>
      <c r="C69">
        <v>474.89596557617188</v>
      </c>
      <c r="D69">
        <v>152.31500244140619</v>
      </c>
      <c r="E69">
        <v>131.2605285644531</v>
      </c>
      <c r="F69">
        <v>72.441688537597656</v>
      </c>
      <c r="G69">
        <v>140.9111022949219</v>
      </c>
      <c r="H69">
        <v>4151.31982421875</v>
      </c>
      <c r="I69">
        <f t="shared" si="9"/>
        <v>1.2084369883854622E-4</v>
      </c>
      <c r="J69">
        <f t="shared" si="9"/>
        <v>5.359036171604283E-3</v>
      </c>
      <c r="K69">
        <f t="shared" si="8"/>
        <v>-1.0257090997659289E-3</v>
      </c>
      <c r="L69">
        <f t="shared" si="8"/>
        <v>7.8978485218867221E-3</v>
      </c>
      <c r="M69">
        <f t="shared" si="8"/>
        <v>6.6429201247531931E-3</v>
      </c>
      <c r="N69">
        <f t="shared" si="8"/>
        <v>3.3108704561310702E-4</v>
      </c>
      <c r="O69">
        <f t="shared" si="8"/>
        <v>3.3007035826147536E-3</v>
      </c>
      <c r="Y69" s="38"/>
      <c r="AB69" s="27" t="s">
        <v>30</v>
      </c>
      <c r="AC69" s="5">
        <f t="array" ref="AC69">MMULT(AC67:AH67,MMULT(AC13:AH18,TRANSPOSE(AC67:AH67)))</f>
        <v>1.5442758964390976E-2</v>
      </c>
      <c r="AJ69" s="39"/>
    </row>
    <row r="70" spans="1:36" x14ac:dyDescent="0.35">
      <c r="A70" s="2">
        <v>45034</v>
      </c>
      <c r="B70">
        <v>164.2463073730469</v>
      </c>
      <c r="C70">
        <v>477.74185180664063</v>
      </c>
      <c r="D70">
        <v>148.03068542480469</v>
      </c>
      <c r="E70">
        <v>132.73429870605469</v>
      </c>
      <c r="F70">
        <v>72.220344543457031</v>
      </c>
      <c r="G70">
        <v>141.06037902832031</v>
      </c>
      <c r="H70">
        <v>4154.8701171875</v>
      </c>
      <c r="I70">
        <f t="shared" si="9"/>
        <v>7.4766597107238453E-3</v>
      </c>
      <c r="J70">
        <f t="shared" si="9"/>
        <v>5.9747674184987493E-3</v>
      </c>
      <c r="K70">
        <f t="shared" si="8"/>
        <v>-2.8531174677910862E-2</v>
      </c>
      <c r="L70">
        <f t="shared" si="8"/>
        <v>1.1165260071157061E-2</v>
      </c>
      <c r="M70">
        <f t="shared" si="8"/>
        <v>-3.0601556214665186E-3</v>
      </c>
      <c r="N70">
        <f t="shared" si="8"/>
        <v>1.0588074130314469E-3</v>
      </c>
      <c r="O70">
        <f t="shared" si="8"/>
        <v>8.5485480346597534E-4</v>
      </c>
      <c r="Y70" s="38"/>
      <c r="AB70" s="27" t="s">
        <v>31</v>
      </c>
      <c r="AC70" s="5">
        <f>SQRT(AC69)</f>
        <v>0.12426889781594981</v>
      </c>
      <c r="AJ70" s="39"/>
    </row>
    <row r="71" spans="1:36" x14ac:dyDescent="0.35">
      <c r="A71" s="2">
        <v>45035</v>
      </c>
      <c r="B71">
        <v>165.39085388183591</v>
      </c>
      <c r="C71">
        <v>476.90542602539063</v>
      </c>
      <c r="D71">
        <v>149.42816162109381</v>
      </c>
      <c r="E71">
        <v>132.56536865234381</v>
      </c>
      <c r="F71">
        <v>72.810623168945313</v>
      </c>
      <c r="G71">
        <v>141.0883483886719</v>
      </c>
      <c r="H71">
        <v>4154.52001953125</v>
      </c>
      <c r="I71">
        <f t="shared" si="9"/>
        <v>6.9443087297808665E-3</v>
      </c>
      <c r="J71">
        <f t="shared" si="9"/>
        <v>-1.7523246851545381E-3</v>
      </c>
      <c r="K71">
        <f t="shared" si="8"/>
        <v>9.3961668435491377E-3</v>
      </c>
      <c r="L71">
        <f t="shared" si="8"/>
        <v>-1.2735038699745709E-3</v>
      </c>
      <c r="M71">
        <f t="shared" si="8"/>
        <v>8.1400806208769289E-3</v>
      </c>
      <c r="N71">
        <f t="shared" si="8"/>
        <v>1.9825969586505154E-4</v>
      </c>
      <c r="O71">
        <f t="shared" si="8"/>
        <v>-8.4265547939628261E-5</v>
      </c>
      <c r="Y71" s="38"/>
      <c r="AB71" s="27" t="s">
        <v>32</v>
      </c>
      <c r="AC71" s="5">
        <f>SUMPRODUCT(AC67:AH67,S4:X4)</f>
        <v>0.14599177864166651</v>
      </c>
      <c r="AJ71" s="39"/>
    </row>
    <row r="72" spans="1:36" x14ac:dyDescent="0.35">
      <c r="A72" s="2">
        <v>45036</v>
      </c>
      <c r="B72">
        <v>164.42388916015619</v>
      </c>
      <c r="C72">
        <v>486.087158203125</v>
      </c>
      <c r="D72">
        <v>150.3935241699219</v>
      </c>
      <c r="E72">
        <v>132.18046569824219</v>
      </c>
      <c r="F72">
        <v>72.635383605957031</v>
      </c>
      <c r="G72">
        <v>141.6055603027344</v>
      </c>
      <c r="H72">
        <v>4129.7900390625</v>
      </c>
      <c r="I72">
        <f t="shared" si="9"/>
        <v>-5.8637008361368493E-3</v>
      </c>
      <c r="J72">
        <f t="shared" si="9"/>
        <v>1.9069742747893654E-2</v>
      </c>
      <c r="K72">
        <f t="shared" si="8"/>
        <v>6.4396001395712445E-3</v>
      </c>
      <c r="L72">
        <f t="shared" si="8"/>
        <v>-2.9077188408758261E-3</v>
      </c>
      <c r="M72">
        <f t="shared" si="8"/>
        <v>-2.4096866138762934E-3</v>
      </c>
      <c r="N72">
        <f t="shared" si="8"/>
        <v>3.6591696903430374E-3</v>
      </c>
      <c r="O72">
        <f t="shared" si="8"/>
        <v>-5.9703351883111308E-3</v>
      </c>
      <c r="Y72" s="38"/>
      <c r="AB72" s="27" t="s">
        <v>33</v>
      </c>
      <c r="AC72" s="7">
        <f>(AC71-AC22)/AC70</f>
        <v>0.83924280712724519</v>
      </c>
      <c r="AJ72" s="39"/>
    </row>
    <row r="73" spans="1:36" x14ac:dyDescent="0.35">
      <c r="A73" s="2">
        <v>45037</v>
      </c>
      <c r="B73">
        <v>162.8157043457031</v>
      </c>
      <c r="C73">
        <v>486.8275146484375</v>
      </c>
      <c r="D73">
        <v>149.57525634765619</v>
      </c>
      <c r="E73">
        <v>131.92701721191409</v>
      </c>
      <c r="F73">
        <v>72.856742858886719</v>
      </c>
      <c r="G73">
        <v>146.50567626953119</v>
      </c>
      <c r="H73">
        <v>4133.52001953125</v>
      </c>
      <c r="I73">
        <f t="shared" si="9"/>
        <v>-9.8288703025660416E-3</v>
      </c>
      <c r="J73">
        <f t="shared" si="9"/>
        <v>1.521935291712694E-3</v>
      </c>
      <c r="K73">
        <f t="shared" si="8"/>
        <v>-5.455700093023149E-3</v>
      </c>
      <c r="L73">
        <f t="shared" si="8"/>
        <v>-1.9192834775952343E-3</v>
      </c>
      <c r="M73">
        <f t="shared" si="8"/>
        <v>3.0429058824067729E-3</v>
      </c>
      <c r="N73">
        <f t="shared" si="8"/>
        <v>3.4018725410285049E-2</v>
      </c>
      <c r="O73">
        <f t="shared" si="8"/>
        <v>9.0278125730088607E-4</v>
      </c>
      <c r="Y73" s="38"/>
      <c r="AJ73" s="39"/>
    </row>
    <row r="74" spans="1:36" x14ac:dyDescent="0.35">
      <c r="A74" s="2">
        <v>45040</v>
      </c>
      <c r="B74">
        <v>163.1215515136719</v>
      </c>
      <c r="C74">
        <v>491.70205688476563</v>
      </c>
      <c r="D74">
        <v>150.4854431152344</v>
      </c>
      <c r="E74">
        <v>132.1053771972656</v>
      </c>
      <c r="F74">
        <v>72.902854919433594</v>
      </c>
      <c r="G74">
        <v>146.7685241699219</v>
      </c>
      <c r="H74">
        <v>4137.0400390625</v>
      </c>
      <c r="I74">
        <f t="shared" si="9"/>
        <v>1.8767247514002315E-3</v>
      </c>
      <c r="J74">
        <f t="shared" si="9"/>
        <v>9.9630766403691062E-3</v>
      </c>
      <c r="K74">
        <f t="shared" si="8"/>
        <v>6.0667029092155616E-3</v>
      </c>
      <c r="L74">
        <f t="shared" si="8"/>
        <v>1.3510464341396885E-3</v>
      </c>
      <c r="M74">
        <f t="shared" si="8"/>
        <v>6.3271390410021833E-4</v>
      </c>
      <c r="N74">
        <f t="shared" si="8"/>
        <v>1.7925066056006409E-3</v>
      </c>
      <c r="O74">
        <f t="shared" si="8"/>
        <v>8.5121677827231261E-4</v>
      </c>
      <c r="Y74" s="38"/>
      <c r="AJ74" s="39"/>
    </row>
    <row r="75" spans="1:36" ht="15" thickBot="1" x14ac:dyDescent="0.4">
      <c r="A75" s="2">
        <v>45041</v>
      </c>
      <c r="B75">
        <v>161.58238220214841</v>
      </c>
      <c r="C75">
        <v>483.7701416015625</v>
      </c>
      <c r="D75">
        <v>151.8645324707031</v>
      </c>
      <c r="E75">
        <v>129.2329406738281</v>
      </c>
      <c r="F75">
        <v>71.777595520019531</v>
      </c>
      <c r="G75">
        <v>146.80604553222659</v>
      </c>
      <c r="H75">
        <v>4071.6298828125</v>
      </c>
      <c r="I75">
        <f t="shared" si="9"/>
        <v>-9.4805185899675942E-3</v>
      </c>
      <c r="J75">
        <f t="shared" si="9"/>
        <v>-1.6263077757094929E-2</v>
      </c>
      <c r="K75">
        <f t="shared" si="8"/>
        <v>9.1225336918836601E-3</v>
      </c>
      <c r="L75">
        <f t="shared" si="8"/>
        <v>-2.1983398577454683E-2</v>
      </c>
      <c r="M75">
        <f t="shared" si="8"/>
        <v>-1.5555413131559838E-2</v>
      </c>
      <c r="N75">
        <f t="shared" si="8"/>
        <v>2.5561725286395035E-4</v>
      </c>
      <c r="O75">
        <f t="shared" si="8"/>
        <v>-1.593718381857645E-2</v>
      </c>
      <c r="Y75" s="40"/>
      <c r="Z75" s="3"/>
      <c r="AA75" s="3"/>
      <c r="AB75" s="53" t="s">
        <v>53</v>
      </c>
      <c r="AC75" s="53"/>
      <c r="AD75" s="53"/>
      <c r="AE75" s="53"/>
      <c r="AF75" s="3"/>
      <c r="AG75" s="3"/>
      <c r="AH75" s="3"/>
      <c r="AI75" s="3"/>
      <c r="AJ75" s="41"/>
    </row>
    <row r="76" spans="1:36" x14ac:dyDescent="0.35">
      <c r="A76" s="2">
        <v>45042</v>
      </c>
      <c r="B76">
        <v>161.572509765625</v>
      </c>
      <c r="C76">
        <v>475.58819580078119</v>
      </c>
      <c r="D76">
        <v>149.51087951660159</v>
      </c>
      <c r="E76">
        <v>126.9424514770508</v>
      </c>
      <c r="F76">
        <v>68.318771362304688</v>
      </c>
      <c r="G76">
        <v>145.10700988769531</v>
      </c>
      <c r="H76">
        <v>4055.989990234375</v>
      </c>
      <c r="I76">
        <f t="shared" si="9"/>
        <v>-6.1100337775247681E-5</v>
      </c>
      <c r="J76">
        <f t="shared" si="9"/>
        <v>-1.7057534948921597E-2</v>
      </c>
      <c r="K76">
        <f t="shared" si="8"/>
        <v>-1.5619726846745605E-2</v>
      </c>
      <c r="L76">
        <f t="shared" si="8"/>
        <v>-1.7882671843220236E-2</v>
      </c>
      <c r="M76">
        <f t="shared" si="8"/>
        <v>-4.9387821502600016E-2</v>
      </c>
      <c r="N76">
        <f t="shared" si="8"/>
        <v>-1.1640827973553243E-2</v>
      </c>
      <c r="O76">
        <f t="shared" si="8"/>
        <v>-3.8485835033448754E-3</v>
      </c>
    </row>
    <row r="77" spans="1:36" x14ac:dyDescent="0.35">
      <c r="A77" s="2">
        <v>45043</v>
      </c>
      <c r="B77">
        <v>166.16038513183591</v>
      </c>
      <c r="C77">
        <v>481.94332885742188</v>
      </c>
      <c r="D77">
        <v>149.86024475097659</v>
      </c>
      <c r="E77">
        <v>128.65093994140619</v>
      </c>
      <c r="F77">
        <v>69.960548400878906</v>
      </c>
      <c r="G77">
        <v>146.88116455078119</v>
      </c>
      <c r="H77">
        <v>4135.35009765625</v>
      </c>
      <c r="I77">
        <f t="shared" si="9"/>
        <v>2.7999478622725091E-2</v>
      </c>
      <c r="J77">
        <f t="shared" si="9"/>
        <v>1.3274187239559487E-2</v>
      </c>
      <c r="K77">
        <f t="shared" si="8"/>
        <v>2.3339952630900391E-3</v>
      </c>
      <c r="L77">
        <f t="shared" si="8"/>
        <v>1.3368999106975114E-2</v>
      </c>
      <c r="M77">
        <f t="shared" si="8"/>
        <v>2.3746923151465454E-2</v>
      </c>
      <c r="N77">
        <f t="shared" si="8"/>
        <v>1.2152385968683644E-2</v>
      </c>
      <c r="O77">
        <f t="shared" si="8"/>
        <v>1.9377193402696356E-2</v>
      </c>
    </row>
    <row r="78" spans="1:36" x14ac:dyDescent="0.35">
      <c r="A78" s="2">
        <v>45044</v>
      </c>
      <c r="B78">
        <v>167.41340637207031</v>
      </c>
      <c r="C78">
        <v>483.81820678710938</v>
      </c>
      <c r="D78">
        <v>150.50384521484381</v>
      </c>
      <c r="E78">
        <v>129.76799011230469</v>
      </c>
      <c r="F78">
        <v>70.67999267578125</v>
      </c>
      <c r="G78">
        <v>146.7966613769531</v>
      </c>
      <c r="H78">
        <v>4169.47998046875</v>
      </c>
      <c r="I78">
        <f t="shared" si="9"/>
        <v>7.512743300924025E-3</v>
      </c>
      <c r="J78">
        <f t="shared" si="9"/>
        <v>3.8826981938248932E-3</v>
      </c>
      <c r="K78">
        <f t="shared" si="8"/>
        <v>4.2854753305100511E-3</v>
      </c>
      <c r="L78">
        <f t="shared" si="8"/>
        <v>8.6453196610864185E-3</v>
      </c>
      <c r="M78">
        <f t="shared" si="8"/>
        <v>1.0231054929187475E-2</v>
      </c>
      <c r="N78">
        <f t="shared" si="8"/>
        <v>-5.7548216923286794E-4</v>
      </c>
      <c r="O78">
        <f t="shared" si="8"/>
        <v>8.2193313132434675E-3</v>
      </c>
    </row>
    <row r="79" spans="1:36" x14ac:dyDescent="0.35">
      <c r="A79" s="2">
        <v>45047</v>
      </c>
      <c r="B79">
        <v>167.3246154785156</v>
      </c>
      <c r="C79">
        <v>474.55950927734381</v>
      </c>
      <c r="D79">
        <v>150.41188049316409</v>
      </c>
      <c r="E79">
        <v>132.5466003417969</v>
      </c>
      <c r="F79">
        <v>70.836799621582031</v>
      </c>
      <c r="G79">
        <v>146.9750671386719</v>
      </c>
      <c r="H79">
        <v>4167.8701171875</v>
      </c>
      <c r="I79">
        <f t="shared" si="9"/>
        <v>-5.3050977087264336E-4</v>
      </c>
      <c r="J79">
        <f t="shared" si="9"/>
        <v>-1.9322205456503514E-2</v>
      </c>
      <c r="K79">
        <f t="shared" si="8"/>
        <v>-6.1123242613220598E-4</v>
      </c>
      <c r="L79">
        <f t="shared" si="8"/>
        <v>2.1186119734255611E-2</v>
      </c>
      <c r="M79">
        <f t="shared" si="8"/>
        <v>2.2160905067050989E-3</v>
      </c>
      <c r="N79">
        <f t="shared" si="8"/>
        <v>1.2145878335714584E-3</v>
      </c>
      <c r="O79">
        <f t="shared" si="8"/>
        <v>-3.8618104851078711E-4</v>
      </c>
    </row>
    <row r="80" spans="1:36" x14ac:dyDescent="0.35">
      <c r="A80" s="2">
        <v>45048</v>
      </c>
      <c r="B80">
        <v>166.28865051269531</v>
      </c>
      <c r="C80">
        <v>475.732421875</v>
      </c>
      <c r="D80">
        <v>151.72662353515619</v>
      </c>
      <c r="E80">
        <v>130.4062805175781</v>
      </c>
      <c r="F80">
        <v>70.043571472167969</v>
      </c>
      <c r="G80">
        <v>146.84361267089841</v>
      </c>
      <c r="H80">
        <v>4119.580078125</v>
      </c>
      <c r="I80">
        <f t="shared" si="9"/>
        <v>-6.2105941298942549E-3</v>
      </c>
      <c r="J80">
        <f t="shared" si="9"/>
        <v>2.4685323631949028E-3</v>
      </c>
      <c r="K80">
        <f t="shared" si="8"/>
        <v>8.7029711397869462E-3</v>
      </c>
      <c r="L80">
        <f t="shared" si="8"/>
        <v>-1.627947247580314E-2</v>
      </c>
      <c r="M80">
        <f t="shared" si="8"/>
        <v>-1.1261136322786882E-2</v>
      </c>
      <c r="N80">
        <f t="shared" si="8"/>
        <v>-8.9479999453829845E-4</v>
      </c>
      <c r="O80">
        <f t="shared" si="8"/>
        <v>-1.1653906680571788E-2</v>
      </c>
    </row>
    <row r="81" spans="1:15" x14ac:dyDescent="0.35">
      <c r="A81" s="2">
        <v>45049</v>
      </c>
      <c r="B81">
        <v>165.2132263183594</v>
      </c>
      <c r="C81">
        <v>471.16552734375</v>
      </c>
      <c r="D81">
        <v>149.7407531738281</v>
      </c>
      <c r="E81">
        <v>127.6464920043945</v>
      </c>
      <c r="F81">
        <v>69.536270141601563</v>
      </c>
      <c r="G81">
        <v>146.6558532714844</v>
      </c>
      <c r="H81">
        <v>4090.75</v>
      </c>
      <c r="I81">
        <f t="shared" si="9"/>
        <v>-6.4882164607158507E-3</v>
      </c>
      <c r="J81">
        <f t="shared" si="9"/>
        <v>-9.64608688038604E-3</v>
      </c>
      <c r="K81">
        <f t="shared" si="8"/>
        <v>-1.3174885509293403E-2</v>
      </c>
      <c r="L81">
        <f t="shared" si="8"/>
        <v>-2.1390149861227573E-2</v>
      </c>
      <c r="M81">
        <f t="shared" si="8"/>
        <v>-7.2690090266947574E-3</v>
      </c>
      <c r="N81">
        <f t="shared" si="8"/>
        <v>-1.2794532652702392E-3</v>
      </c>
      <c r="O81">
        <f t="shared" si="8"/>
        <v>-7.0229080548929708E-3</v>
      </c>
    </row>
    <row r="82" spans="1:15" x14ac:dyDescent="0.35">
      <c r="A82" s="2">
        <v>45050</v>
      </c>
      <c r="B82">
        <v>163.57537841796881</v>
      </c>
      <c r="C82">
        <v>472.41806030273438</v>
      </c>
      <c r="D82">
        <v>149.06037902832031</v>
      </c>
      <c r="E82">
        <v>125.90048980712891</v>
      </c>
      <c r="F82">
        <v>69.646965026855469</v>
      </c>
      <c r="G82">
        <v>145.97999572753909</v>
      </c>
      <c r="H82">
        <v>4061.219970703125</v>
      </c>
      <c r="I82">
        <f t="shared" si="9"/>
        <v>-9.9630061669392245E-3</v>
      </c>
      <c r="J82">
        <f t="shared" si="9"/>
        <v>2.6548441729118432E-3</v>
      </c>
      <c r="K82">
        <f t="shared" si="8"/>
        <v>-4.5540344265945915E-3</v>
      </c>
      <c r="L82">
        <f t="shared" si="8"/>
        <v>-1.3772830461306562E-2</v>
      </c>
      <c r="M82">
        <f t="shared" si="8"/>
        <v>1.5906356603828475E-3</v>
      </c>
      <c r="N82">
        <f t="shared" si="8"/>
        <v>-4.6191110757068752E-3</v>
      </c>
      <c r="O82">
        <f t="shared" si="8"/>
        <v>-7.2449134550627422E-3</v>
      </c>
    </row>
    <row r="83" spans="1:15" x14ac:dyDescent="0.35">
      <c r="A83" s="2">
        <v>45051</v>
      </c>
      <c r="B83">
        <v>171.25146484375</v>
      </c>
      <c r="C83">
        <v>480.8193359375</v>
      </c>
      <c r="D83">
        <v>149.5660705566406</v>
      </c>
      <c r="E83">
        <v>128.35992431640619</v>
      </c>
      <c r="F83">
        <v>69.646965026855469</v>
      </c>
      <c r="G83">
        <v>146.46812438964841</v>
      </c>
      <c r="H83">
        <v>4136.25</v>
      </c>
      <c r="I83">
        <f t="shared" si="9"/>
        <v>4.5859116762954233E-2</v>
      </c>
      <c r="J83">
        <f t="shared" si="9"/>
        <v>1.7627284041953684E-2</v>
      </c>
      <c r="K83">
        <f t="shared" si="8"/>
        <v>3.3867864845423786E-3</v>
      </c>
      <c r="L83">
        <f t="shared" si="8"/>
        <v>1.9346395133156207E-2</v>
      </c>
      <c r="M83">
        <f t="shared" si="8"/>
        <v>0</v>
      </c>
      <c r="N83">
        <f t="shared" si="8"/>
        <v>3.3382270688742922E-3</v>
      </c>
      <c r="O83">
        <f t="shared" si="8"/>
        <v>1.8306166381879797E-2</v>
      </c>
    </row>
    <row r="84" spans="1:15" x14ac:dyDescent="0.35">
      <c r="A84" s="2">
        <v>45054</v>
      </c>
      <c r="B84">
        <v>171.1824035644531</v>
      </c>
      <c r="C84">
        <v>480.8193359375</v>
      </c>
      <c r="D84">
        <v>149.22590637207031</v>
      </c>
      <c r="E84">
        <v>128.66969299316409</v>
      </c>
      <c r="F84">
        <v>70.154251098632813</v>
      </c>
      <c r="G84">
        <v>145.78285217285159</v>
      </c>
      <c r="H84">
        <v>4138.1201171875</v>
      </c>
      <c r="I84">
        <f t="shared" si="9"/>
        <v>-4.0335543066616602E-4</v>
      </c>
      <c r="J84">
        <f t="shared" si="9"/>
        <v>0</v>
      </c>
      <c r="K84">
        <f t="shared" si="8"/>
        <v>-2.2769308267878291E-3</v>
      </c>
      <c r="L84">
        <f t="shared" si="8"/>
        <v>2.410374570662887E-3</v>
      </c>
      <c r="M84">
        <f t="shared" si="8"/>
        <v>7.2572801913755227E-3</v>
      </c>
      <c r="N84">
        <f t="shared" si="8"/>
        <v>-4.6896231503790698E-3</v>
      </c>
      <c r="O84">
        <f t="shared" si="8"/>
        <v>4.5202648488206561E-4</v>
      </c>
    </row>
    <row r="85" spans="1:15" x14ac:dyDescent="0.35">
      <c r="A85" s="2">
        <v>45055</v>
      </c>
      <c r="B85">
        <v>169.4754943847656</v>
      </c>
      <c r="C85">
        <v>482.48614501953119</v>
      </c>
      <c r="D85">
        <v>148.06745910644531</v>
      </c>
      <c r="E85">
        <v>128.05012512207031</v>
      </c>
      <c r="F85">
        <v>69.711509704589844</v>
      </c>
      <c r="G85">
        <v>144.29029846191409</v>
      </c>
      <c r="H85">
        <v>4119.169921875</v>
      </c>
      <c r="I85">
        <f t="shared" si="9"/>
        <v>-1.0021335039887435E-2</v>
      </c>
      <c r="J85">
        <f t="shared" si="9"/>
        <v>3.4606067928161016E-3</v>
      </c>
      <c r="K85">
        <f t="shared" si="8"/>
        <v>-7.793333208403792E-3</v>
      </c>
      <c r="L85">
        <f t="shared" si="8"/>
        <v>-4.8268114128363097E-3</v>
      </c>
      <c r="M85">
        <f t="shared" si="8"/>
        <v>-6.3309686416260155E-3</v>
      </c>
      <c r="N85">
        <f t="shared" si="8"/>
        <v>-1.0290968881036602E-2</v>
      </c>
      <c r="O85">
        <f t="shared" si="8"/>
        <v>-4.5899389490595948E-3</v>
      </c>
    </row>
    <row r="86" spans="1:15" x14ac:dyDescent="0.35">
      <c r="A86" s="2">
        <v>45056</v>
      </c>
      <c r="B86">
        <v>171.24159240722659</v>
      </c>
      <c r="C86">
        <v>481.39739990234381</v>
      </c>
      <c r="D86">
        <v>148.61906433105469</v>
      </c>
      <c r="E86">
        <v>128.11582946777341</v>
      </c>
      <c r="F86">
        <v>70.919807434082031</v>
      </c>
      <c r="G86">
        <v>144.59071350097659</v>
      </c>
      <c r="H86">
        <v>4137.64013671875</v>
      </c>
      <c r="I86">
        <f t="shared" si="9"/>
        <v>1.0367040037547058E-2</v>
      </c>
      <c r="J86">
        <f t="shared" si="9"/>
        <v>-2.2590811638040181E-3</v>
      </c>
      <c r="K86">
        <f t="shared" si="8"/>
        <v>3.7184423060183259E-3</v>
      </c>
      <c r="L86">
        <f t="shared" si="8"/>
        <v>5.1298266585920462E-4</v>
      </c>
      <c r="M86">
        <f t="shared" si="8"/>
        <v>1.7184329753057469E-2</v>
      </c>
      <c r="N86">
        <f t="shared" si="8"/>
        <v>2.0798538838925377E-3</v>
      </c>
      <c r="O86">
        <f t="shared" si="8"/>
        <v>4.4739422419144319E-3</v>
      </c>
    </row>
    <row r="87" spans="1:15" x14ac:dyDescent="0.35">
      <c r="A87" s="2">
        <v>45057</v>
      </c>
      <c r="B87">
        <v>171.42909240722659</v>
      </c>
      <c r="C87">
        <v>483.54595947265619</v>
      </c>
      <c r="D87">
        <v>148.0122985839844</v>
      </c>
      <c r="E87">
        <v>127.7122039794922</v>
      </c>
      <c r="F87">
        <v>70.191139221191406</v>
      </c>
      <c r="G87">
        <v>144.9286193847656</v>
      </c>
      <c r="H87">
        <v>4130.6201171875</v>
      </c>
      <c r="I87">
        <f t="shared" si="9"/>
        <v>1.0943452534546419E-3</v>
      </c>
      <c r="J87">
        <f t="shared" si="9"/>
        <v>4.4532419445671E-3</v>
      </c>
      <c r="K87">
        <f t="shared" si="8"/>
        <v>-4.0910481439140976E-3</v>
      </c>
      <c r="L87">
        <f t="shared" si="8"/>
        <v>-3.1554463969038224E-3</v>
      </c>
      <c r="M87">
        <f t="shared" si="8"/>
        <v>-1.0327684802092228E-2</v>
      </c>
      <c r="N87">
        <f t="shared" si="8"/>
        <v>2.3342554284808302E-3</v>
      </c>
      <c r="O87">
        <f t="shared" si="8"/>
        <v>-1.6980648897067581E-3</v>
      </c>
    </row>
    <row r="88" spans="1:15" x14ac:dyDescent="0.35">
      <c r="A88" s="2">
        <v>45058</v>
      </c>
      <c r="B88">
        <v>170.50035095214841</v>
      </c>
      <c r="C88">
        <v>485.646240234375</v>
      </c>
      <c r="D88">
        <v>147.81919860839841</v>
      </c>
      <c r="E88">
        <v>125.88169860839839</v>
      </c>
      <c r="F88">
        <v>71.906715393066406</v>
      </c>
      <c r="G88">
        <v>146.40245056152341</v>
      </c>
      <c r="H88">
        <v>4124.080078125</v>
      </c>
      <c r="I88">
        <f t="shared" si="9"/>
        <v>-5.4323706664906784E-3</v>
      </c>
      <c r="J88">
        <f t="shared" si="9"/>
        <v>4.3340919377061991E-3</v>
      </c>
      <c r="K88">
        <f t="shared" si="8"/>
        <v>-1.3054729117284592E-3</v>
      </c>
      <c r="L88">
        <f t="shared" si="8"/>
        <v>-1.4436760072988795E-2</v>
      </c>
      <c r="M88">
        <f t="shared" si="8"/>
        <v>2.4147578289895204E-2</v>
      </c>
      <c r="N88">
        <f t="shared" si="8"/>
        <v>1.0117999089461399E-2</v>
      </c>
      <c r="O88">
        <f t="shared" si="8"/>
        <v>-1.5845615894390477E-3</v>
      </c>
    </row>
    <row r="89" spans="1:15" x14ac:dyDescent="0.35">
      <c r="A89" s="2">
        <v>45061</v>
      </c>
      <c r="B89">
        <v>170.00634765625</v>
      </c>
      <c r="C89">
        <v>483.69039916992188</v>
      </c>
      <c r="D89">
        <v>146.68836975097659</v>
      </c>
      <c r="E89">
        <v>126.9424514770508</v>
      </c>
      <c r="F89">
        <v>71.519317626953125</v>
      </c>
      <c r="G89">
        <v>146.4493408203125</v>
      </c>
      <c r="H89">
        <v>4136.27978515625</v>
      </c>
      <c r="I89">
        <f t="shared" si="9"/>
        <v>-2.9015795842403315E-3</v>
      </c>
      <c r="J89">
        <f t="shared" si="9"/>
        <v>-4.0354271965626458E-3</v>
      </c>
      <c r="K89">
        <f t="shared" si="8"/>
        <v>-7.6794930685971773E-3</v>
      </c>
      <c r="L89">
        <f t="shared" si="8"/>
        <v>8.3912798090705794E-3</v>
      </c>
      <c r="M89">
        <f t="shared" si="8"/>
        <v>-5.402069625073635E-3</v>
      </c>
      <c r="N89">
        <f t="shared" si="8"/>
        <v>3.2023201202594013E-4</v>
      </c>
      <c r="O89">
        <f t="shared" si="8"/>
        <v>2.9537976803169349E-3</v>
      </c>
    </row>
    <row r="90" spans="1:15" x14ac:dyDescent="0.35">
      <c r="A90" s="2">
        <v>45062</v>
      </c>
      <c r="B90">
        <v>170.00634765625</v>
      </c>
      <c r="C90">
        <v>478.01571655273438</v>
      </c>
      <c r="D90">
        <v>146.49530029296881</v>
      </c>
      <c r="E90">
        <v>126.08823394775391</v>
      </c>
      <c r="F90">
        <v>69.951332092285156</v>
      </c>
      <c r="G90">
        <v>146.1958923339844</v>
      </c>
      <c r="H90">
        <v>4109.89990234375</v>
      </c>
      <c r="I90">
        <f t="shared" si="9"/>
        <v>0</v>
      </c>
      <c r="J90">
        <f t="shared" si="9"/>
        <v>-1.180141913487404E-2</v>
      </c>
      <c r="K90">
        <f t="shared" si="8"/>
        <v>-1.3170548406571988E-3</v>
      </c>
      <c r="L90">
        <f t="shared" si="8"/>
        <v>-6.7519144807085072E-3</v>
      </c>
      <c r="M90">
        <f t="shared" si="8"/>
        <v>-2.2167845387132096E-2</v>
      </c>
      <c r="N90">
        <f t="shared" si="8"/>
        <v>-1.7321214971696695E-3</v>
      </c>
      <c r="O90">
        <f t="shared" si="8"/>
        <v>-6.3981076819174627E-3</v>
      </c>
    </row>
    <row r="91" spans="1:15" x14ac:dyDescent="0.35">
      <c r="A91" s="2">
        <v>45063</v>
      </c>
      <c r="B91">
        <v>170.61888122558591</v>
      </c>
      <c r="C91">
        <v>476.90774536132813</v>
      </c>
      <c r="D91">
        <v>146.17353820800781</v>
      </c>
      <c r="E91">
        <v>129.965087890625</v>
      </c>
      <c r="F91">
        <v>69.490142822265625</v>
      </c>
      <c r="G91">
        <v>145.57633972167969</v>
      </c>
      <c r="H91">
        <v>4158.77001953125</v>
      </c>
      <c r="I91">
        <f t="shared" si="9"/>
        <v>3.5965288396733477E-3</v>
      </c>
      <c r="J91">
        <f t="shared" si="9"/>
        <v>-2.3205455364582483E-3</v>
      </c>
      <c r="K91">
        <f t="shared" si="8"/>
        <v>-2.1988143066173044E-3</v>
      </c>
      <c r="L91">
        <f t="shared" si="8"/>
        <v>3.0283928396948052E-2</v>
      </c>
      <c r="M91">
        <f t="shared" si="8"/>
        <v>-6.6148318059705653E-3</v>
      </c>
      <c r="N91">
        <f t="shared" si="8"/>
        <v>-4.2468300640164311E-3</v>
      </c>
      <c r="O91">
        <f t="shared" si="8"/>
        <v>1.1820688622071574E-2</v>
      </c>
    </row>
    <row r="92" spans="1:15" x14ac:dyDescent="0.35">
      <c r="A92" s="2">
        <v>45064</v>
      </c>
      <c r="B92">
        <v>172.95060729980469</v>
      </c>
      <c r="C92">
        <v>479.89447021484381</v>
      </c>
      <c r="D92">
        <v>145.7046203613281</v>
      </c>
      <c r="E92">
        <v>130.95075988769531</v>
      </c>
      <c r="F92">
        <v>69.268791198730469</v>
      </c>
      <c r="G92">
        <v>143.18260192871091</v>
      </c>
      <c r="H92">
        <v>4198.0498046875</v>
      </c>
      <c r="I92">
        <f t="shared" si="9"/>
        <v>1.3573742448110887E-2</v>
      </c>
      <c r="J92">
        <f t="shared" si="9"/>
        <v>6.2431597795852061E-3</v>
      </c>
      <c r="K92">
        <f t="shared" si="8"/>
        <v>-3.2131095550732422E-3</v>
      </c>
      <c r="L92">
        <f t="shared" si="8"/>
        <v>7.5555141203405302E-3</v>
      </c>
      <c r="M92">
        <f t="shared" si="8"/>
        <v>-3.1904513083499137E-3</v>
      </c>
      <c r="N92">
        <f t="shared" si="8"/>
        <v>-1.6579868411974768E-2</v>
      </c>
      <c r="O92">
        <f t="shared" si="8"/>
        <v>9.4007230637271552E-3</v>
      </c>
    </row>
    <row r="93" spans="1:15" x14ac:dyDescent="0.35">
      <c r="A93" s="2">
        <v>45065</v>
      </c>
      <c r="B93">
        <v>173.05926513671881</v>
      </c>
      <c r="C93">
        <v>478.3721923828125</v>
      </c>
      <c r="D93">
        <v>146.09992980957031</v>
      </c>
      <c r="E93">
        <v>130.65032958984381</v>
      </c>
      <c r="F93">
        <v>68.696937561035156</v>
      </c>
      <c r="G93">
        <v>143.78338623046881</v>
      </c>
      <c r="H93">
        <v>4191.97998046875</v>
      </c>
      <c r="I93">
        <f t="shared" si="9"/>
        <v>6.2806208227959989E-4</v>
      </c>
      <c r="J93">
        <f t="shared" si="9"/>
        <v>-3.177151354573401E-3</v>
      </c>
      <c r="K93">
        <f t="shared" si="8"/>
        <v>2.7094141598460277E-3</v>
      </c>
      <c r="L93">
        <f t="shared" si="8"/>
        <v>-2.2968591646902571E-3</v>
      </c>
      <c r="M93">
        <f t="shared" si="8"/>
        <v>-8.2898400597947036E-3</v>
      </c>
      <c r="N93">
        <f t="shared" si="8"/>
        <v>4.1871525149703784E-3</v>
      </c>
      <c r="O93">
        <f t="shared" si="8"/>
        <v>-1.4469138806754414E-3</v>
      </c>
    </row>
    <row r="94" spans="1:15" x14ac:dyDescent="0.35">
      <c r="A94" s="2">
        <v>45068</v>
      </c>
      <c r="B94">
        <v>172.11077880859381</v>
      </c>
      <c r="C94">
        <v>473.89215087890619</v>
      </c>
      <c r="D94">
        <v>145.31257629394531</v>
      </c>
      <c r="E94">
        <v>129.57084655761719</v>
      </c>
      <c r="F94">
        <v>68.789161682128906</v>
      </c>
      <c r="G94">
        <v>140.01914978027341</v>
      </c>
      <c r="H94">
        <v>4192.6298828125</v>
      </c>
      <c r="I94">
        <f t="shared" si="9"/>
        <v>-5.4957765429920549E-3</v>
      </c>
      <c r="J94">
        <f t="shared" si="9"/>
        <v>-9.4093086420068001E-3</v>
      </c>
      <c r="K94">
        <f t="shared" si="8"/>
        <v>-5.4037175140906621E-3</v>
      </c>
      <c r="L94">
        <f t="shared" si="8"/>
        <v>-8.29670544430435E-3</v>
      </c>
      <c r="M94">
        <f t="shared" si="8"/>
        <v>1.3415775912437107E-3</v>
      </c>
      <c r="N94">
        <f t="shared" si="8"/>
        <v>-2.6528707349158159E-2</v>
      </c>
      <c r="O94">
        <f t="shared" si="8"/>
        <v>1.5502267980239146E-4</v>
      </c>
    </row>
    <row r="95" spans="1:15" x14ac:dyDescent="0.35">
      <c r="A95" s="2">
        <v>45069</v>
      </c>
      <c r="B95">
        <v>169.50245666503909</v>
      </c>
      <c r="C95">
        <v>467.14797973632813</v>
      </c>
      <c r="D95">
        <v>145.25703430175781</v>
      </c>
      <c r="E95">
        <v>128.2190856933594</v>
      </c>
      <c r="F95">
        <v>68.401779174804688</v>
      </c>
      <c r="G95">
        <v>138.5078125</v>
      </c>
      <c r="H95">
        <v>4145.580078125</v>
      </c>
      <c r="I95">
        <f t="shared" si="9"/>
        <v>-1.5270912020131932E-2</v>
      </c>
      <c r="J95">
        <f t="shared" si="9"/>
        <v>-1.4333685442626374E-2</v>
      </c>
      <c r="K95">
        <f t="shared" si="8"/>
        <v>-3.8229732799717519E-4</v>
      </c>
      <c r="L95">
        <f t="shared" si="8"/>
        <v>-1.0487401443101575E-2</v>
      </c>
      <c r="M95">
        <f t="shared" si="8"/>
        <v>-5.6473632218061402E-3</v>
      </c>
      <c r="N95">
        <f t="shared" si="8"/>
        <v>-1.0852465421252877E-2</v>
      </c>
      <c r="O95">
        <f t="shared" si="8"/>
        <v>-1.1285468768284297E-2</v>
      </c>
    </row>
    <row r="96" spans="1:15" x14ac:dyDescent="0.35">
      <c r="A96" s="2">
        <v>45070</v>
      </c>
      <c r="B96">
        <v>169.7790832519531</v>
      </c>
      <c r="C96">
        <v>465.11514282226563</v>
      </c>
      <c r="D96">
        <v>145.11808776855469</v>
      </c>
      <c r="E96">
        <v>127.0457305908203</v>
      </c>
      <c r="F96">
        <v>68.475555419921875</v>
      </c>
      <c r="G96">
        <v>137.36256408691409</v>
      </c>
      <c r="H96">
        <v>4115.240234375</v>
      </c>
      <c r="I96">
        <f t="shared" si="9"/>
        <v>1.630661357401326E-3</v>
      </c>
      <c r="J96">
        <f t="shared" si="9"/>
        <v>-4.3610866648301919E-3</v>
      </c>
      <c r="K96">
        <f t="shared" si="8"/>
        <v>-9.5701410518421036E-4</v>
      </c>
      <c r="L96">
        <f t="shared" si="8"/>
        <v>-9.1933027326482949E-3</v>
      </c>
      <c r="M96">
        <f t="shared" si="8"/>
        <v>1.0779907788243178E-3</v>
      </c>
      <c r="N96">
        <f t="shared" si="8"/>
        <v>-8.3028486526285847E-3</v>
      </c>
      <c r="O96">
        <f t="shared" si="8"/>
        <v>-7.3455126783052108E-3</v>
      </c>
    </row>
    <row r="97" spans="1:15" x14ac:dyDescent="0.35">
      <c r="A97" s="2">
        <v>45071</v>
      </c>
      <c r="B97">
        <v>170.9153137207031</v>
      </c>
      <c r="C97">
        <v>468.76657104492188</v>
      </c>
      <c r="D97">
        <v>143.03385925292969</v>
      </c>
      <c r="E97">
        <v>127.3554763793945</v>
      </c>
      <c r="F97">
        <v>67.691551208496094</v>
      </c>
      <c r="G97">
        <v>136.48016357421881</v>
      </c>
      <c r="H97">
        <v>4151.27978515625</v>
      </c>
      <c r="I97">
        <f t="shared" si="9"/>
        <v>6.6701107588117772E-3</v>
      </c>
      <c r="J97">
        <f t="shared" si="9"/>
        <v>7.8199343148159517E-3</v>
      </c>
      <c r="K97">
        <f t="shared" si="8"/>
        <v>-1.4466429157020497E-2</v>
      </c>
      <c r="L97">
        <f t="shared" si="8"/>
        <v>2.4350980509996226E-3</v>
      </c>
      <c r="M97">
        <f t="shared" si="8"/>
        <v>-1.1515451777358316E-2</v>
      </c>
      <c r="N97">
        <f t="shared" si="8"/>
        <v>-6.4446010619511641E-3</v>
      </c>
      <c r="O97">
        <f t="shared" si="8"/>
        <v>8.7194560790118825E-3</v>
      </c>
    </row>
    <row r="98" spans="1:15" x14ac:dyDescent="0.35">
      <c r="A98" s="2">
        <v>45072</v>
      </c>
      <c r="B98">
        <v>173.32603454589841</v>
      </c>
      <c r="C98">
        <v>488.71969604492188</v>
      </c>
      <c r="D98">
        <v>142.97825622558591</v>
      </c>
      <c r="E98">
        <v>128.54768371582031</v>
      </c>
      <c r="F98">
        <v>68.61798095703125</v>
      </c>
      <c r="G98">
        <v>136.48954772949219</v>
      </c>
      <c r="H98">
        <v>4205.4501953125</v>
      </c>
      <c r="I98">
        <f t="shared" si="9"/>
        <v>1.400622120099505E-2</v>
      </c>
      <c r="J98">
        <f t="shared" si="9"/>
        <v>4.1684178177900745E-2</v>
      </c>
      <c r="K98">
        <f t="shared" si="8"/>
        <v>-3.8881589299979589E-4</v>
      </c>
      <c r="L98">
        <f t="shared" si="8"/>
        <v>9.3177119154411129E-3</v>
      </c>
      <c r="M98">
        <f t="shared" si="8"/>
        <v>1.3593238843229995E-2</v>
      </c>
      <c r="N98">
        <f t="shared" si="8"/>
        <v>6.875601862385756E-5</v>
      </c>
      <c r="O98">
        <f t="shared" si="8"/>
        <v>1.2964680931640788E-2</v>
      </c>
    </row>
    <row r="99" spans="1:15" x14ac:dyDescent="0.35">
      <c r="A99" s="2">
        <v>45076</v>
      </c>
      <c r="B99">
        <v>175.17362976074219</v>
      </c>
      <c r="C99">
        <v>489.46151733398438</v>
      </c>
      <c r="D99">
        <v>142.99676513671881</v>
      </c>
      <c r="E99">
        <v>129.0357666015625</v>
      </c>
      <c r="F99">
        <v>67.476203918457031</v>
      </c>
      <c r="G99">
        <v>134.4056396484375</v>
      </c>
      <c r="H99">
        <v>4205.52001953125</v>
      </c>
      <c r="I99">
        <f t="shared" si="9"/>
        <v>1.0603238477772579E-2</v>
      </c>
      <c r="J99">
        <f t="shared" si="9"/>
        <v>1.5167362061936703E-3</v>
      </c>
      <c r="K99">
        <f t="shared" si="8"/>
        <v>1.2944425055418739E-4</v>
      </c>
      <c r="L99">
        <f t="shared" si="8"/>
        <v>3.7897114064661627E-3</v>
      </c>
      <c r="M99">
        <f t="shared" si="8"/>
        <v>-1.677961228026879E-2</v>
      </c>
      <c r="N99">
        <f t="shared" si="8"/>
        <v>-1.5385649404202738E-2</v>
      </c>
      <c r="O99">
        <f t="shared" si="8"/>
        <v>1.660313066576836E-5</v>
      </c>
    </row>
    <row r="100" spans="1:15" x14ac:dyDescent="0.35">
      <c r="A100" s="2">
        <v>45077</v>
      </c>
      <c r="B100">
        <v>175.12422180175781</v>
      </c>
      <c r="C100">
        <v>492.86245727539063</v>
      </c>
      <c r="D100">
        <v>143.63594055175781</v>
      </c>
      <c r="E100">
        <v>127.3930587768555</v>
      </c>
      <c r="F100">
        <v>68.190956115722656</v>
      </c>
      <c r="G100">
        <v>133.76728820800781</v>
      </c>
      <c r="H100">
        <v>4179.830078125</v>
      </c>
      <c r="I100">
        <f t="shared" si="9"/>
        <v>-2.820911352531966E-4</v>
      </c>
      <c r="J100">
        <f t="shared" si="9"/>
        <v>6.9243011831982698E-3</v>
      </c>
      <c r="K100">
        <f t="shared" si="8"/>
        <v>4.459899110074857E-3</v>
      </c>
      <c r="L100">
        <f t="shared" si="8"/>
        <v>-1.2812368453696973E-2</v>
      </c>
      <c r="M100">
        <f t="shared" si="8"/>
        <v>1.0536946600103512E-2</v>
      </c>
      <c r="N100">
        <f t="shared" si="8"/>
        <v>-4.760753825571562E-3</v>
      </c>
      <c r="O100">
        <f t="shared" si="8"/>
        <v>-6.1273581862140991E-3</v>
      </c>
    </row>
    <row r="101" spans="1:15" x14ac:dyDescent="0.35">
      <c r="A101" s="2">
        <v>45078</v>
      </c>
      <c r="B101">
        <v>177.93016052246091</v>
      </c>
      <c r="C101">
        <v>493.86444091796881</v>
      </c>
      <c r="D101">
        <v>143.15423583984381</v>
      </c>
      <c r="E101">
        <v>129.1484375</v>
      </c>
      <c r="F101">
        <v>67.726829528808594</v>
      </c>
      <c r="G101">
        <v>135.13783264160159</v>
      </c>
      <c r="H101">
        <v>4221.02001953125</v>
      </c>
      <c r="I101">
        <f t="shared" si="9"/>
        <v>1.5895555710448747E-2</v>
      </c>
      <c r="J101">
        <f t="shared" si="9"/>
        <v>2.0309246435174246E-3</v>
      </c>
      <c r="K101">
        <f t="shared" si="8"/>
        <v>-3.3592863672672105E-3</v>
      </c>
      <c r="L101">
        <f t="shared" si="8"/>
        <v>1.3685163177774072E-2</v>
      </c>
      <c r="M101">
        <f t="shared" si="8"/>
        <v>-6.8295460924630369E-3</v>
      </c>
      <c r="N101">
        <f t="shared" si="8"/>
        <v>1.0193605067602567E-2</v>
      </c>
      <c r="O101">
        <f t="shared" si="8"/>
        <v>9.806215085853812E-3</v>
      </c>
    </row>
    <row r="102" spans="1:15" x14ac:dyDescent="0.35">
      <c r="A102" s="2">
        <v>45079</v>
      </c>
      <c r="B102">
        <v>178.77983093261719</v>
      </c>
      <c r="C102">
        <v>493.8548583984375</v>
      </c>
      <c r="D102">
        <v>145.40521240234381</v>
      </c>
      <c r="E102">
        <v>131.861328125</v>
      </c>
      <c r="F102">
        <v>68.553001403808594</v>
      </c>
      <c r="G102">
        <v>137.54093933105469</v>
      </c>
      <c r="H102">
        <v>4282.3701171875</v>
      </c>
      <c r="I102">
        <f t="shared" si="9"/>
        <v>4.7639373017607494E-3</v>
      </c>
      <c r="J102">
        <f t="shared" si="9"/>
        <v>-1.9403325495874222E-5</v>
      </c>
      <c r="K102">
        <f t="shared" si="8"/>
        <v>1.560179184094908E-2</v>
      </c>
      <c r="L102">
        <f t="shared" si="8"/>
        <v>2.0788404736738424E-2</v>
      </c>
      <c r="M102">
        <f t="shared" si="8"/>
        <v>1.2124787514744729E-2</v>
      </c>
      <c r="N102">
        <f t="shared" si="8"/>
        <v>1.7626373259545799E-2</v>
      </c>
      <c r="O102">
        <f t="shared" si="8"/>
        <v>1.4429812390107408E-2</v>
      </c>
    </row>
    <row r="103" spans="1:15" x14ac:dyDescent="0.35">
      <c r="A103" s="2">
        <v>45082</v>
      </c>
      <c r="B103">
        <v>177.42626953125</v>
      </c>
      <c r="C103">
        <v>499.30792236328119</v>
      </c>
      <c r="D103">
        <v>146.65576171875</v>
      </c>
      <c r="E103">
        <v>130.56585693359381</v>
      </c>
      <c r="F103">
        <v>68.3116455078125</v>
      </c>
      <c r="G103">
        <v>136.99647521972659</v>
      </c>
      <c r="H103">
        <v>4273.7900390625</v>
      </c>
      <c r="I103">
        <f t="shared" si="9"/>
        <v>-7.5999142889102691E-3</v>
      </c>
      <c r="J103">
        <f t="shared" si="9"/>
        <v>1.0981319213380688E-2</v>
      </c>
      <c r="K103">
        <f t="shared" si="8"/>
        <v>8.5636703960935388E-3</v>
      </c>
      <c r="L103">
        <f t="shared" si="8"/>
        <v>-9.8730755686561606E-3</v>
      </c>
      <c r="M103">
        <f t="shared" si="8"/>
        <v>-3.5269319233680488E-3</v>
      </c>
      <c r="N103">
        <f t="shared" si="8"/>
        <v>-3.9664162061991415E-3</v>
      </c>
      <c r="O103">
        <f t="shared" si="8"/>
        <v>-2.005591490657713E-3</v>
      </c>
    </row>
    <row r="104" spans="1:15" x14ac:dyDescent="0.35">
      <c r="A104" s="2">
        <v>45083</v>
      </c>
      <c r="B104">
        <v>177.06071472167969</v>
      </c>
      <c r="C104">
        <v>497.39071655273438</v>
      </c>
      <c r="D104">
        <v>146.52607727050781</v>
      </c>
      <c r="E104">
        <v>130.80055236816409</v>
      </c>
      <c r="F104">
        <v>68.116706848144531</v>
      </c>
      <c r="G104">
        <v>135.63531494140619</v>
      </c>
      <c r="H104">
        <v>4283.85009765625</v>
      </c>
      <c r="I104">
        <f t="shared" si="9"/>
        <v>-2.0624449155452144E-3</v>
      </c>
      <c r="J104">
        <f t="shared" si="9"/>
        <v>-3.847117072889053E-3</v>
      </c>
      <c r="K104">
        <f t="shared" si="8"/>
        <v>-8.8466909919991178E-4</v>
      </c>
      <c r="L104">
        <f t="shared" si="8"/>
        <v>1.7959117109005677E-3</v>
      </c>
      <c r="M104">
        <f t="shared" si="8"/>
        <v>-2.8577460471949879E-3</v>
      </c>
      <c r="N104">
        <f t="shared" si="8"/>
        <v>-9.9854209037720312E-3</v>
      </c>
      <c r="O104">
        <f t="shared" si="8"/>
        <v>2.3511302338505759E-3</v>
      </c>
    </row>
    <row r="105" spans="1:15" x14ac:dyDescent="0.35">
      <c r="A105" s="2">
        <v>45084</v>
      </c>
      <c r="B105">
        <v>175.6874084472656</v>
      </c>
      <c r="C105">
        <v>492.54458618164063</v>
      </c>
      <c r="D105">
        <v>146.8410339355469</v>
      </c>
      <c r="E105">
        <v>132.06781005859381</v>
      </c>
      <c r="F105">
        <v>68.850044250488281</v>
      </c>
      <c r="G105">
        <v>135.92634582519531</v>
      </c>
      <c r="H105">
        <v>4267.52001953125</v>
      </c>
      <c r="I105">
        <f t="shared" si="9"/>
        <v>-7.7863672266506069E-3</v>
      </c>
      <c r="J105">
        <f t="shared" si="9"/>
        <v>-9.7908804155010572E-3</v>
      </c>
      <c r="K105">
        <f t="shared" si="9"/>
        <v>2.1471853797840096E-3</v>
      </c>
      <c r="L105">
        <f t="shared" si="9"/>
        <v>9.6418412339701488E-3</v>
      </c>
      <c r="M105">
        <f t="shared" si="9"/>
        <v>1.0708356649055183E-2</v>
      </c>
      <c r="N105">
        <f t="shared" si="9"/>
        <v>2.143387946491407E-3</v>
      </c>
      <c r="O105">
        <f t="shared" si="9"/>
        <v>-3.8192939264206169E-3</v>
      </c>
    </row>
    <row r="106" spans="1:15" x14ac:dyDescent="0.35">
      <c r="A106" s="2">
        <v>45085</v>
      </c>
      <c r="B106">
        <v>178.4043884277344</v>
      </c>
      <c r="C106">
        <v>501.08071899414063</v>
      </c>
      <c r="D106">
        <v>148.45281982421881</v>
      </c>
      <c r="E106">
        <v>132.1053771972656</v>
      </c>
      <c r="F106">
        <v>69.527679443359375</v>
      </c>
      <c r="G106">
        <v>137.4658203125</v>
      </c>
      <c r="H106">
        <v>4293.93017578125</v>
      </c>
      <c r="I106">
        <f t="shared" si="9"/>
        <v>1.5346491098178336E-2</v>
      </c>
      <c r="J106">
        <f t="shared" si="9"/>
        <v>1.7182217031309194E-2</v>
      </c>
      <c r="K106">
        <f t="shared" si="9"/>
        <v>1.0916596297375557E-2</v>
      </c>
      <c r="L106">
        <f t="shared" si="9"/>
        <v>2.8441295890208382E-4</v>
      </c>
      <c r="M106">
        <f t="shared" si="9"/>
        <v>9.7940707731468402E-3</v>
      </c>
      <c r="N106">
        <f t="shared" si="9"/>
        <v>1.126214244345366E-2</v>
      </c>
      <c r="O106">
        <f t="shared" si="9"/>
        <v>6.16957160752325E-3</v>
      </c>
    </row>
    <row r="107" spans="1:15" x14ac:dyDescent="0.35">
      <c r="A107" s="2">
        <v>45086</v>
      </c>
      <c r="B107">
        <v>178.78971862792969</v>
      </c>
      <c r="C107">
        <v>498.37344360351563</v>
      </c>
      <c r="D107">
        <v>148.2212219238281</v>
      </c>
      <c r="E107">
        <v>132.36820983886719</v>
      </c>
      <c r="F107">
        <v>68.757225036621094</v>
      </c>
      <c r="G107">
        <v>137.57844543457031</v>
      </c>
      <c r="H107">
        <v>4298.85986328125</v>
      </c>
      <c r="I107">
        <f t="shared" si="9"/>
        <v>2.1575403516418843E-3</v>
      </c>
      <c r="J107">
        <f t="shared" si="9"/>
        <v>-5.4175211097721729E-3</v>
      </c>
      <c r="K107">
        <f t="shared" si="9"/>
        <v>-1.5612956635653692E-3</v>
      </c>
      <c r="L107">
        <f t="shared" si="9"/>
        <v>1.9875915101708256E-3</v>
      </c>
      <c r="M107">
        <f t="shared" si="9"/>
        <v>-1.1143116189497841E-2</v>
      </c>
      <c r="N107">
        <f t="shared" si="9"/>
        <v>8.1896001764777276E-4</v>
      </c>
      <c r="O107">
        <f t="shared" si="9"/>
        <v>1.1474010230505239E-3</v>
      </c>
    </row>
    <row r="108" spans="1:15" x14ac:dyDescent="0.35">
      <c r="A108" s="2">
        <v>45089</v>
      </c>
      <c r="B108">
        <v>181.58576965332031</v>
      </c>
      <c r="C108">
        <v>501.92855834960938</v>
      </c>
      <c r="D108">
        <v>148.1193542480469</v>
      </c>
      <c r="E108">
        <v>132.35882568359381</v>
      </c>
      <c r="F108">
        <v>68.673683166503906</v>
      </c>
      <c r="G108">
        <v>136.49894714355469</v>
      </c>
      <c r="H108">
        <v>4338.93017578125</v>
      </c>
      <c r="I108">
        <f t="shared" si="9"/>
        <v>1.5517743151772366E-2</v>
      </c>
      <c r="J108">
        <f t="shared" si="9"/>
        <v>7.1081127654112064E-3</v>
      </c>
      <c r="K108">
        <f t="shared" si="9"/>
        <v>-6.8750409484608489E-4</v>
      </c>
      <c r="L108">
        <f t="shared" si="9"/>
        <v>-7.0896841033162377E-5</v>
      </c>
      <c r="M108">
        <f t="shared" si="9"/>
        <v>-1.2157655290159204E-3</v>
      </c>
      <c r="N108">
        <f t="shared" si="9"/>
        <v>-7.8773653165673391E-3</v>
      </c>
      <c r="O108">
        <f t="shared" si="9"/>
        <v>9.2779749817541602E-3</v>
      </c>
    </row>
    <row r="109" spans="1:15" x14ac:dyDescent="0.35">
      <c r="A109" s="2">
        <v>45090</v>
      </c>
      <c r="B109">
        <v>181.1115417480469</v>
      </c>
      <c r="C109">
        <v>502.94015502929688</v>
      </c>
      <c r="D109">
        <v>148.89747619628909</v>
      </c>
      <c r="E109">
        <v>133.3163146972656</v>
      </c>
      <c r="F109">
        <v>69.017127990722656</v>
      </c>
      <c r="G109">
        <v>136.17039489746091</v>
      </c>
      <c r="H109">
        <v>4369.009765625</v>
      </c>
      <c r="I109">
        <f t="shared" si="9"/>
        <v>-2.6150079452339492E-3</v>
      </c>
      <c r="J109">
        <f t="shared" si="9"/>
        <v>2.0133914171047156E-3</v>
      </c>
      <c r="K109">
        <f t="shared" si="9"/>
        <v>5.2395935088785563E-3</v>
      </c>
      <c r="L109">
        <f t="shared" si="9"/>
        <v>7.2079996483278572E-3</v>
      </c>
      <c r="M109">
        <f t="shared" si="9"/>
        <v>4.9886486047525797E-3</v>
      </c>
      <c r="N109">
        <f t="shared" si="9"/>
        <v>-2.4098961961969345E-3</v>
      </c>
      <c r="O109">
        <f t="shared" si="9"/>
        <v>6.9085707259088974E-3</v>
      </c>
    </row>
    <row r="110" spans="1:15" x14ac:dyDescent="0.35">
      <c r="A110" s="2">
        <v>45091</v>
      </c>
      <c r="B110">
        <v>181.74383544921881</v>
      </c>
      <c r="C110">
        <v>507.930908203125</v>
      </c>
      <c r="D110">
        <v>149.65704345703119</v>
      </c>
      <c r="E110">
        <v>132.81880187988281</v>
      </c>
      <c r="F110">
        <v>68.135269165039063</v>
      </c>
      <c r="G110">
        <v>137.4470520019531</v>
      </c>
      <c r="H110">
        <v>4372.58984375</v>
      </c>
      <c r="I110">
        <f t="shared" si="9"/>
        <v>3.485103878242587E-3</v>
      </c>
      <c r="J110">
        <f t="shared" si="9"/>
        <v>9.8742439178367246E-3</v>
      </c>
      <c r="K110">
        <f t="shared" si="9"/>
        <v>5.0883095017039207E-3</v>
      </c>
      <c r="L110">
        <f t="shared" si="9"/>
        <v>-3.7388030811395826E-3</v>
      </c>
      <c r="M110">
        <f t="shared" si="9"/>
        <v>-1.2859723881919045E-2</v>
      </c>
      <c r="N110">
        <f t="shared" si="9"/>
        <v>9.3317614312188081E-3</v>
      </c>
      <c r="O110">
        <f t="shared" si="9"/>
        <v>8.1908998012658412E-4</v>
      </c>
    </row>
    <row r="111" spans="1:15" x14ac:dyDescent="0.35">
      <c r="A111" s="2">
        <v>45092</v>
      </c>
      <c r="B111">
        <v>183.7791442871094</v>
      </c>
      <c r="C111">
        <v>509.83840942382813</v>
      </c>
      <c r="D111">
        <v>151.6671447753906</v>
      </c>
      <c r="E111">
        <v>134.32075500488281</v>
      </c>
      <c r="F111">
        <v>69.026420593261719</v>
      </c>
      <c r="G111">
        <v>139.35264587402341</v>
      </c>
      <c r="H111">
        <v>4425.83984375</v>
      </c>
      <c r="I111">
        <f t="shared" si="9"/>
        <v>1.1136535791233786E-2</v>
      </c>
      <c r="J111">
        <f t="shared" si="9"/>
        <v>3.7484003911545135E-3</v>
      </c>
      <c r="K111">
        <f t="shared" si="9"/>
        <v>1.3341983250611334E-2</v>
      </c>
      <c r="L111">
        <f t="shared" si="9"/>
        <v>1.1244826253564995E-2</v>
      </c>
      <c r="M111">
        <f t="shared" si="9"/>
        <v>1.2994356795205044E-2</v>
      </c>
      <c r="N111">
        <f t="shared" si="9"/>
        <v>1.3768974406725077E-2</v>
      </c>
      <c r="O111">
        <f t="shared" si="9"/>
        <v>1.2104580493589997E-2</v>
      </c>
    </row>
    <row r="112" spans="1:15" x14ac:dyDescent="0.35">
      <c r="A112" s="2">
        <v>45093</v>
      </c>
      <c r="B112">
        <v>182.70222473144531</v>
      </c>
      <c r="C112">
        <v>504.51065063476563</v>
      </c>
      <c r="D112">
        <v>152.13035583496091</v>
      </c>
      <c r="E112">
        <v>134.48033142089841</v>
      </c>
      <c r="F112">
        <v>70.168174743652344</v>
      </c>
      <c r="G112">
        <v>140.3758544921875</v>
      </c>
      <c r="H112">
        <v>4409.58984375</v>
      </c>
      <c r="I112">
        <f t="shared" si="9"/>
        <v>-5.8770936066974665E-3</v>
      </c>
      <c r="J112">
        <f t="shared" si="9"/>
        <v>-1.0504880406675703E-2</v>
      </c>
      <c r="K112">
        <f t="shared" si="9"/>
        <v>3.0494748482200965E-3</v>
      </c>
      <c r="L112">
        <f t="shared" si="9"/>
        <v>1.1873198645443704E-3</v>
      </c>
      <c r="M112">
        <f t="shared" si="9"/>
        <v>1.640551855125771E-2</v>
      </c>
      <c r="N112">
        <f t="shared" si="9"/>
        <v>7.3157592476943362E-3</v>
      </c>
      <c r="O112">
        <f t="shared" si="9"/>
        <v>-3.6783764677510893E-3</v>
      </c>
    </row>
    <row r="113" spans="1:15" x14ac:dyDescent="0.35">
      <c r="A113" s="2">
        <v>45097</v>
      </c>
      <c r="B113">
        <v>182.7911376953125</v>
      </c>
      <c r="C113">
        <v>500.70498657226563</v>
      </c>
      <c r="D113">
        <v>152.03770446777341</v>
      </c>
      <c r="E113">
        <v>133.79505920410159</v>
      </c>
      <c r="F113">
        <v>69.397735595703125</v>
      </c>
      <c r="G113">
        <v>139.0804138183594</v>
      </c>
      <c r="H113">
        <v>4388.7099609375</v>
      </c>
      <c r="I113">
        <f t="shared" si="9"/>
        <v>4.8653669128634867E-4</v>
      </c>
      <c r="J113">
        <f t="shared" si="9"/>
        <v>-7.5718723509866385E-3</v>
      </c>
      <c r="K113">
        <f t="shared" si="9"/>
        <v>-6.0921169672337584E-4</v>
      </c>
      <c r="L113">
        <f t="shared" si="9"/>
        <v>-5.1087332730635334E-3</v>
      </c>
      <c r="M113">
        <f t="shared" si="9"/>
        <v>-1.1040618330549128E-2</v>
      </c>
      <c r="N113">
        <f t="shared" si="9"/>
        <v>-9.2712177174026772E-3</v>
      </c>
      <c r="O113">
        <f t="shared" si="9"/>
        <v>-4.7463538352360479E-3</v>
      </c>
    </row>
    <row r="114" spans="1:15" x14ac:dyDescent="0.35">
      <c r="A114" s="2">
        <v>45098</v>
      </c>
      <c r="B114">
        <v>181.75376892089841</v>
      </c>
      <c r="C114">
        <v>500.62786865234381</v>
      </c>
      <c r="D114">
        <v>151.8061218261719</v>
      </c>
      <c r="E114">
        <v>133.59794616699219</v>
      </c>
      <c r="F114">
        <v>70.344558715820313</v>
      </c>
      <c r="G114">
        <v>140.28199768066409</v>
      </c>
      <c r="H114">
        <v>4365.68994140625</v>
      </c>
      <c r="I114">
        <f t="shared" si="9"/>
        <v>-5.6913239258992521E-3</v>
      </c>
      <c r="J114">
        <f t="shared" si="9"/>
        <v>-1.5403053973895529E-4</v>
      </c>
      <c r="K114">
        <f t="shared" si="9"/>
        <v>-1.524353410561766E-3</v>
      </c>
      <c r="L114">
        <f t="shared" si="9"/>
        <v>-1.4743323037975584E-3</v>
      </c>
      <c r="M114">
        <f t="shared" si="9"/>
        <v>1.3551195990964719E-2</v>
      </c>
      <c r="N114">
        <f t="shared" si="9"/>
        <v>8.6023833035740131E-3</v>
      </c>
      <c r="O114">
        <f t="shared" si="9"/>
        <v>-5.2590863669252008E-3</v>
      </c>
    </row>
    <row r="115" spans="1:15" x14ac:dyDescent="0.35">
      <c r="A115" s="2">
        <v>45099</v>
      </c>
      <c r="B115">
        <v>184.75727844238281</v>
      </c>
      <c r="C115">
        <v>505.04049682617188</v>
      </c>
      <c r="D115">
        <v>153.4179382324219</v>
      </c>
      <c r="E115">
        <v>131.02587890625</v>
      </c>
      <c r="F115">
        <v>69.741195678710938</v>
      </c>
      <c r="G115">
        <v>140.76072692871091</v>
      </c>
      <c r="H115">
        <v>4381.89013671875</v>
      </c>
      <c r="I115">
        <f t="shared" si="9"/>
        <v>1.6390102182288695E-2</v>
      </c>
      <c r="J115">
        <f t="shared" si="9"/>
        <v>8.7755698469516672E-3</v>
      </c>
      <c r="K115">
        <f t="shared" si="9"/>
        <v>1.0561627342333428E-2</v>
      </c>
      <c r="L115">
        <f t="shared" si="9"/>
        <v>-1.9440035389215855E-2</v>
      </c>
      <c r="M115">
        <f t="shared" si="9"/>
        <v>-8.6142487617379138E-3</v>
      </c>
      <c r="N115">
        <f t="shared" si="9"/>
        <v>3.4068109162938261E-3</v>
      </c>
      <c r="O115">
        <f t="shared" si="9"/>
        <v>3.7039303873345254E-3</v>
      </c>
    </row>
    <row r="116" spans="1:15" x14ac:dyDescent="0.35">
      <c r="A116" s="2">
        <v>45100</v>
      </c>
      <c r="B116">
        <v>184.44111633300781</v>
      </c>
      <c r="C116">
        <v>505.27175903320313</v>
      </c>
      <c r="D116">
        <v>153.28822326660159</v>
      </c>
      <c r="E116">
        <v>130.340576171875</v>
      </c>
      <c r="F116">
        <v>68.850044250488281</v>
      </c>
      <c r="G116">
        <v>139.36204528808591</v>
      </c>
      <c r="H116">
        <v>4348.330078125</v>
      </c>
      <c r="I116">
        <f t="shared" si="9"/>
        <v>-1.7126953482622491E-3</v>
      </c>
      <c r="J116">
        <f t="shared" si="9"/>
        <v>4.5780343597554251E-4</v>
      </c>
      <c r="K116">
        <f t="shared" si="9"/>
        <v>-8.4585828286150061E-4</v>
      </c>
      <c r="L116">
        <f t="shared" si="9"/>
        <v>-5.2440111691843747E-3</v>
      </c>
      <c r="M116">
        <f t="shared" si="9"/>
        <v>-1.2860318022607103E-2</v>
      </c>
      <c r="N116">
        <f t="shared" si="9"/>
        <v>-9.9862874644097727E-3</v>
      </c>
      <c r="O116">
        <f t="shared" si="9"/>
        <v>-7.6882880565021577E-3</v>
      </c>
    </row>
    <row r="117" spans="1:15" x14ac:dyDescent="0.35">
      <c r="A117" s="2">
        <v>45103</v>
      </c>
      <c r="B117">
        <v>183.04803466796881</v>
      </c>
      <c r="C117">
        <v>504.28903198242188</v>
      </c>
      <c r="D117">
        <v>151.5745544433594</v>
      </c>
      <c r="E117">
        <v>130.6597595214844</v>
      </c>
      <c r="F117">
        <v>68.961448669433594</v>
      </c>
      <c r="G117">
        <v>139.50285339355469</v>
      </c>
      <c r="H117">
        <v>4328.81982421875</v>
      </c>
      <c r="I117">
        <f t="shared" si="9"/>
        <v>-7.5816569511016514E-3</v>
      </c>
      <c r="J117">
        <f t="shared" si="9"/>
        <v>-1.9468413787866149E-3</v>
      </c>
      <c r="K117">
        <f t="shared" si="9"/>
        <v>-1.1242349002737944E-2</v>
      </c>
      <c r="L117">
        <f t="shared" si="9"/>
        <v>2.4458474957811541E-3</v>
      </c>
      <c r="M117">
        <f t="shared" si="9"/>
        <v>1.6167656390893169E-3</v>
      </c>
      <c r="N117">
        <f t="shared" si="9"/>
        <v>1.0098661975826821E-3</v>
      </c>
      <c r="O117">
        <f t="shared" si="9"/>
        <v>-4.4969343631321712E-3</v>
      </c>
    </row>
    <row r="118" spans="1:15" x14ac:dyDescent="0.35">
      <c r="A118" s="2">
        <v>45104</v>
      </c>
      <c r="B118">
        <v>185.8045654296875</v>
      </c>
      <c r="C118">
        <v>510.9464111328125</v>
      </c>
      <c r="D118">
        <v>151.25956726074219</v>
      </c>
      <c r="E118">
        <v>130.6691589355469</v>
      </c>
      <c r="F118">
        <v>68.608695983886719</v>
      </c>
      <c r="G118">
        <v>140.826416015625</v>
      </c>
      <c r="H118">
        <v>4378.41015625</v>
      </c>
      <c r="I118">
        <f t="shared" si="9"/>
        <v>1.4946794897181538E-2</v>
      </c>
      <c r="J118">
        <f t="shared" si="9"/>
        <v>1.3115134270462979E-2</v>
      </c>
      <c r="K118">
        <f t="shared" si="9"/>
        <v>-2.0802629138143808E-3</v>
      </c>
      <c r="L118">
        <f t="shared" si="9"/>
        <v>7.1935506579594606E-5</v>
      </c>
      <c r="M118">
        <f t="shared" si="9"/>
        <v>-5.1283432106431015E-3</v>
      </c>
      <c r="N118">
        <f t="shared" si="9"/>
        <v>9.4429843877055272E-3</v>
      </c>
      <c r="O118">
        <f t="shared" si="9"/>
        <v>1.139073352418076E-2</v>
      </c>
    </row>
    <row r="119" spans="1:15" x14ac:dyDescent="0.35">
      <c r="A119" s="2">
        <v>45105</v>
      </c>
      <c r="B119">
        <v>186.98028564453119</v>
      </c>
      <c r="C119">
        <v>513.32611083984375</v>
      </c>
      <c r="D119">
        <v>150.95391845703119</v>
      </c>
      <c r="E119">
        <v>130.0965270996094</v>
      </c>
      <c r="F119">
        <v>68.172386169433594</v>
      </c>
      <c r="G119">
        <v>140.79827880859381</v>
      </c>
      <c r="H119">
        <v>4376.85986328125</v>
      </c>
      <c r="I119">
        <f t="shared" ref="I119:O155" si="11">LN(B119/B118)</f>
        <v>6.307789116265867E-3</v>
      </c>
      <c r="J119">
        <f t="shared" si="11"/>
        <v>4.6466227252522857E-3</v>
      </c>
      <c r="K119">
        <f t="shared" si="11"/>
        <v>-2.0227350688700762E-3</v>
      </c>
      <c r="L119">
        <f t="shared" si="11"/>
        <v>-4.3919333490964685E-3</v>
      </c>
      <c r="M119">
        <f t="shared" si="11"/>
        <v>-6.379702330507768E-3</v>
      </c>
      <c r="N119">
        <f t="shared" si="11"/>
        <v>-1.9982059557933235E-4</v>
      </c>
      <c r="O119">
        <f t="shared" si="11"/>
        <v>-3.541393883898215E-4</v>
      </c>
    </row>
    <row r="120" spans="1:15" x14ac:dyDescent="0.35">
      <c r="A120" s="2">
        <v>45106</v>
      </c>
      <c r="B120">
        <v>187.31622314453119</v>
      </c>
      <c r="C120">
        <v>512.2567138671875</v>
      </c>
      <c r="D120">
        <v>152.0099182128906</v>
      </c>
      <c r="E120">
        <v>134.6399230957031</v>
      </c>
      <c r="F120">
        <v>67.58758544921875</v>
      </c>
      <c r="G120">
        <v>140.22564697265619</v>
      </c>
      <c r="H120">
        <v>4396.43994140625</v>
      </c>
      <c r="I120">
        <f t="shared" si="11"/>
        <v>1.7950345905721646E-3</v>
      </c>
      <c r="J120">
        <f t="shared" si="11"/>
        <v>-2.0854431928216208E-3</v>
      </c>
      <c r="K120">
        <f t="shared" si="11"/>
        <v>6.9711556600233404E-3</v>
      </c>
      <c r="L120">
        <f t="shared" si="11"/>
        <v>3.4327287620081831E-2</v>
      </c>
      <c r="M120">
        <f t="shared" si="11"/>
        <v>-8.6152689982125445E-3</v>
      </c>
      <c r="N120">
        <f t="shared" si="11"/>
        <v>-4.0753300764906266E-3</v>
      </c>
      <c r="O120">
        <f t="shared" si="11"/>
        <v>4.4635681144900002E-3</v>
      </c>
    </row>
    <row r="121" spans="1:15" x14ac:dyDescent="0.35">
      <c r="A121" s="2">
        <v>45107</v>
      </c>
      <c r="B121">
        <v>191.64369201660159</v>
      </c>
      <c r="C121">
        <v>518.7021484375</v>
      </c>
      <c r="D121">
        <v>153.3253173828125</v>
      </c>
      <c r="E121">
        <v>136.52674865722659</v>
      </c>
      <c r="F121">
        <v>68.877891540527344</v>
      </c>
      <c r="G121">
        <v>142.44105529785159</v>
      </c>
      <c r="H121">
        <v>4450.3798828125</v>
      </c>
      <c r="I121">
        <f t="shared" si="11"/>
        <v>2.2839655678234667E-2</v>
      </c>
      <c r="J121">
        <f t="shared" si="11"/>
        <v>1.250392965901643E-2</v>
      </c>
      <c r="K121">
        <f t="shared" si="11"/>
        <v>8.6161513922202188E-3</v>
      </c>
      <c r="L121">
        <f t="shared" si="11"/>
        <v>1.3916577588226254E-2</v>
      </c>
      <c r="M121">
        <f t="shared" si="11"/>
        <v>1.8910930048638707E-2</v>
      </c>
      <c r="N121">
        <f t="shared" si="11"/>
        <v>1.5675377898600944E-2</v>
      </c>
      <c r="O121">
        <f t="shared" si="11"/>
        <v>1.2194350261885799E-2</v>
      </c>
    </row>
    <row r="122" spans="1:15" x14ac:dyDescent="0.35">
      <c r="A122" s="2">
        <v>45110</v>
      </c>
      <c r="B122">
        <v>190.15177917480469</v>
      </c>
      <c r="C122">
        <v>521.26495361328125</v>
      </c>
      <c r="D122">
        <v>151.315185546875</v>
      </c>
      <c r="E122">
        <v>137.62504577636719</v>
      </c>
      <c r="F122">
        <v>69.04498291015625</v>
      </c>
      <c r="G122">
        <v>143.1544494628906</v>
      </c>
      <c r="H122">
        <v>4455.58984375</v>
      </c>
      <c r="I122">
        <f t="shared" si="11"/>
        <v>-7.8152861835060344E-3</v>
      </c>
      <c r="J122">
        <f t="shared" si="11"/>
        <v>4.9286373743617782E-3</v>
      </c>
      <c r="K122">
        <f t="shared" si="11"/>
        <v>-1.3196938621745256E-2</v>
      </c>
      <c r="L122">
        <f t="shared" si="11"/>
        <v>8.0123713734479192E-3</v>
      </c>
      <c r="M122">
        <f t="shared" si="11"/>
        <v>2.4229693883742473E-3</v>
      </c>
      <c r="N122">
        <f t="shared" si="11"/>
        <v>4.9958464815869769E-3</v>
      </c>
      <c r="O122">
        <f t="shared" si="11"/>
        <v>1.1699930926736418E-3</v>
      </c>
    </row>
    <row r="123" spans="1:15" x14ac:dyDescent="0.35">
      <c r="A123" s="2">
        <v>45112</v>
      </c>
      <c r="B123">
        <v>189.0353698730469</v>
      </c>
      <c r="C123">
        <v>521.3516845703125</v>
      </c>
      <c r="D123">
        <v>150.81495666503909</v>
      </c>
      <c r="E123">
        <v>136.70823669433591</v>
      </c>
      <c r="F123">
        <v>69.574111938476563</v>
      </c>
      <c r="G123">
        <v>142.910400390625</v>
      </c>
      <c r="H123">
        <v>4446.81982421875</v>
      </c>
      <c r="I123">
        <f t="shared" si="11"/>
        <v>-5.8884512853917565E-3</v>
      </c>
      <c r="J123">
        <f t="shared" si="11"/>
        <v>1.6637171143261701E-4</v>
      </c>
      <c r="K123">
        <f t="shared" si="11"/>
        <v>-3.3113501040273421E-3</v>
      </c>
      <c r="L123">
        <f t="shared" si="11"/>
        <v>-6.6839319456351697E-3</v>
      </c>
      <c r="M123">
        <f t="shared" si="11"/>
        <v>7.634324821230185E-3</v>
      </c>
      <c r="N123">
        <f t="shared" si="11"/>
        <v>-1.7062503946129863E-3</v>
      </c>
      <c r="O123">
        <f t="shared" si="11"/>
        <v>-1.9702580976127164E-3</v>
      </c>
    </row>
    <row r="124" spans="1:15" x14ac:dyDescent="0.35">
      <c r="A124" s="2">
        <v>45113</v>
      </c>
      <c r="B124">
        <v>189.5096130371094</v>
      </c>
      <c r="C124">
        <v>517.72918701171875</v>
      </c>
      <c r="D124">
        <v>149.694091796875</v>
      </c>
      <c r="E124">
        <v>135.35662841796881</v>
      </c>
      <c r="F124">
        <v>67.782524108886719</v>
      </c>
      <c r="G124">
        <v>142.67572021484381</v>
      </c>
      <c r="H124">
        <v>4411.58984375</v>
      </c>
      <c r="I124">
        <f t="shared" si="11"/>
        <v>2.5056119276945089E-3</v>
      </c>
      <c r="J124">
        <f t="shared" si="11"/>
        <v>-6.9725318474433166E-3</v>
      </c>
      <c r="K124">
        <f t="shared" si="11"/>
        <v>-7.4598090925409276E-3</v>
      </c>
      <c r="L124">
        <f t="shared" si="11"/>
        <v>-9.9360084257982522E-3</v>
      </c>
      <c r="M124">
        <f t="shared" si="11"/>
        <v>-2.608813802570676E-2</v>
      </c>
      <c r="N124">
        <f t="shared" si="11"/>
        <v>-1.6434988374643268E-3</v>
      </c>
      <c r="O124">
        <f t="shared" si="11"/>
        <v>-7.9540611758947624E-3</v>
      </c>
    </row>
    <row r="125" spans="1:15" x14ac:dyDescent="0.35">
      <c r="A125" s="2">
        <v>45114</v>
      </c>
      <c r="B125">
        <v>188.39312744140619</v>
      </c>
      <c r="C125">
        <v>505.85943603515619</v>
      </c>
      <c r="D125">
        <v>147.51725769042969</v>
      </c>
      <c r="E125">
        <v>136.42466735839841</v>
      </c>
      <c r="F125">
        <v>66.882102966308594</v>
      </c>
      <c r="G125">
        <v>139.68119812011719</v>
      </c>
      <c r="H125">
        <v>4398.9501953125</v>
      </c>
      <c r="I125">
        <f t="shared" si="11"/>
        <v>-5.9088687357509769E-3</v>
      </c>
      <c r="J125">
        <f t="shared" si="11"/>
        <v>-2.3193464254087935E-2</v>
      </c>
      <c r="K125">
        <f t="shared" si="11"/>
        <v>-1.4648653465193041E-2</v>
      </c>
      <c r="L125">
        <f t="shared" si="11"/>
        <v>7.859587506790942E-3</v>
      </c>
      <c r="M125">
        <f t="shared" si="11"/>
        <v>-1.3372993059007325E-2</v>
      </c>
      <c r="N125">
        <f t="shared" si="11"/>
        <v>-2.1211694688761148E-2</v>
      </c>
      <c r="O125">
        <f t="shared" si="11"/>
        <v>-2.869212795733482E-3</v>
      </c>
    </row>
    <row r="126" spans="1:15" x14ac:dyDescent="0.35">
      <c r="A126" s="2">
        <v>45117</v>
      </c>
      <c r="B126">
        <v>186.34797668457031</v>
      </c>
      <c r="C126">
        <v>507.747802734375</v>
      </c>
      <c r="D126">
        <v>147.75807189941409</v>
      </c>
      <c r="E126">
        <v>137.19023132324219</v>
      </c>
      <c r="F126">
        <v>66.566490173339844</v>
      </c>
      <c r="G126">
        <v>139.737548828125</v>
      </c>
      <c r="H126">
        <v>4409.52978515625</v>
      </c>
      <c r="I126">
        <f t="shared" si="11"/>
        <v>-1.0915114670741593E-2</v>
      </c>
      <c r="J126">
        <f t="shared" si="11"/>
        <v>3.7260366969135233E-3</v>
      </c>
      <c r="K126">
        <f t="shared" si="11"/>
        <v>1.6311167120548523E-3</v>
      </c>
      <c r="L126">
        <f t="shared" si="11"/>
        <v>5.5959376942097891E-3</v>
      </c>
      <c r="M126">
        <f t="shared" si="11"/>
        <v>-4.7301117831521633E-3</v>
      </c>
      <c r="N126">
        <f t="shared" si="11"/>
        <v>4.03342362580942E-4</v>
      </c>
      <c r="O126">
        <f t="shared" si="11"/>
        <v>2.4021386106263119E-3</v>
      </c>
    </row>
    <row r="127" spans="1:15" x14ac:dyDescent="0.35">
      <c r="A127" s="2">
        <v>45118</v>
      </c>
      <c r="B127">
        <v>185.82432556152341</v>
      </c>
      <c r="C127">
        <v>510.28167724609381</v>
      </c>
      <c r="D127">
        <v>146.94293212890619</v>
      </c>
      <c r="E127">
        <v>139.33573913574219</v>
      </c>
      <c r="F127">
        <v>67.012054443359375</v>
      </c>
      <c r="G127">
        <v>139.0053405761719</v>
      </c>
      <c r="H127">
        <v>4439.259765625</v>
      </c>
      <c r="I127">
        <f t="shared" si="11"/>
        <v>-2.8140270806918644E-3</v>
      </c>
      <c r="J127">
        <f t="shared" si="11"/>
        <v>4.9780085824947416E-3</v>
      </c>
      <c r="K127">
        <f t="shared" si="11"/>
        <v>-5.5319923459410947E-3</v>
      </c>
      <c r="L127">
        <f t="shared" si="11"/>
        <v>1.5517897743036016E-2</v>
      </c>
      <c r="M127">
        <f t="shared" si="11"/>
        <v>6.6712198997201733E-3</v>
      </c>
      <c r="N127">
        <f t="shared" si="11"/>
        <v>-5.2536582199641593E-3</v>
      </c>
      <c r="O127">
        <f t="shared" si="11"/>
        <v>6.7195839982548741E-3</v>
      </c>
    </row>
    <row r="128" spans="1:15" x14ac:dyDescent="0.35">
      <c r="A128" s="2">
        <v>45119</v>
      </c>
      <c r="B128">
        <v>187.4940490722656</v>
      </c>
      <c r="C128">
        <v>518.3360595703125</v>
      </c>
      <c r="D128">
        <v>146.4334411621094</v>
      </c>
      <c r="E128">
        <v>140.02571105957031</v>
      </c>
      <c r="F128">
        <v>68.20025634765625</v>
      </c>
      <c r="G128">
        <v>139.7281188964844</v>
      </c>
      <c r="H128">
        <v>4472.16015625</v>
      </c>
      <c r="I128">
        <f t="shared" si="11"/>
        <v>8.9453654488740666E-3</v>
      </c>
      <c r="J128">
        <f t="shared" si="11"/>
        <v>1.5660913974636242E-2</v>
      </c>
      <c r="K128">
        <f t="shared" si="11"/>
        <v>-3.473295911872227E-3</v>
      </c>
      <c r="L128">
        <f t="shared" si="11"/>
        <v>4.9396459410840894E-3</v>
      </c>
      <c r="M128">
        <f t="shared" si="11"/>
        <v>1.7575803332743223E-2</v>
      </c>
      <c r="N128">
        <f t="shared" si="11"/>
        <v>5.1861727809049832E-3</v>
      </c>
      <c r="O128">
        <f t="shared" si="11"/>
        <v>7.3839052353896787E-3</v>
      </c>
    </row>
    <row r="129" spans="1:15" x14ac:dyDescent="0.35">
      <c r="A129" s="2">
        <v>45120</v>
      </c>
      <c r="B129">
        <v>188.25482177734381</v>
      </c>
      <c r="C129">
        <v>518.76971435546875</v>
      </c>
      <c r="D129">
        <v>147.10966491699219</v>
      </c>
      <c r="E129">
        <v>140.70625305175781</v>
      </c>
      <c r="F129">
        <v>68.42303466796875</v>
      </c>
      <c r="G129">
        <v>139.8219909667969</v>
      </c>
      <c r="H129">
        <v>4510.0400390625</v>
      </c>
      <c r="I129">
        <f t="shared" si="11"/>
        <v>4.0493734175019707E-3</v>
      </c>
      <c r="J129">
        <f t="shared" si="11"/>
        <v>8.3627884702299447E-4</v>
      </c>
      <c r="K129">
        <f t="shared" si="11"/>
        <v>4.6073298066901455E-3</v>
      </c>
      <c r="L129">
        <f t="shared" si="11"/>
        <v>4.848349402872743E-3</v>
      </c>
      <c r="M129">
        <f t="shared" si="11"/>
        <v>3.2612084821350869E-3</v>
      </c>
      <c r="N129">
        <f t="shared" si="11"/>
        <v>6.7159389697071369E-4</v>
      </c>
      <c r="O129">
        <f t="shared" si="11"/>
        <v>8.4344829896271113E-3</v>
      </c>
    </row>
    <row r="130" spans="1:15" x14ac:dyDescent="0.35">
      <c r="A130" s="2">
        <v>45121</v>
      </c>
      <c r="B130">
        <v>188.40301513671881</v>
      </c>
      <c r="C130">
        <v>526.7181396484375</v>
      </c>
      <c r="D130">
        <v>148.09156799316409</v>
      </c>
      <c r="E130">
        <v>141.55690002441409</v>
      </c>
      <c r="F130">
        <v>67.949623107910156</v>
      </c>
      <c r="G130">
        <v>140.8545837402344</v>
      </c>
      <c r="H130">
        <v>4505.419921875</v>
      </c>
      <c r="I130">
        <f t="shared" si="11"/>
        <v>7.8688588155114477E-4</v>
      </c>
      <c r="J130">
        <f t="shared" si="11"/>
        <v>1.5205491687388346E-2</v>
      </c>
      <c r="K130">
        <f t="shared" si="11"/>
        <v>6.6524566153113194E-3</v>
      </c>
      <c r="L130">
        <f t="shared" si="11"/>
        <v>6.0273509924630353E-3</v>
      </c>
      <c r="M130">
        <f t="shared" si="11"/>
        <v>-6.9429381151272195E-3</v>
      </c>
      <c r="N130">
        <f t="shared" si="11"/>
        <v>7.3579167277082799E-3</v>
      </c>
      <c r="O130">
        <f t="shared" si="11"/>
        <v>-1.0249321969074839E-3</v>
      </c>
    </row>
    <row r="131" spans="1:15" x14ac:dyDescent="0.35">
      <c r="A131" s="2">
        <v>45124</v>
      </c>
      <c r="B131">
        <v>191.66343688964841</v>
      </c>
      <c r="C131">
        <v>532.7493896484375</v>
      </c>
      <c r="D131">
        <v>147.3504943847656</v>
      </c>
      <c r="E131">
        <v>144.96893310546881</v>
      </c>
      <c r="F131">
        <v>67.448356628417969</v>
      </c>
      <c r="G131">
        <v>139.8595886230469</v>
      </c>
      <c r="H131">
        <v>4522.7900390625</v>
      </c>
      <c r="I131">
        <f t="shared" si="11"/>
        <v>1.7157535052132245E-2</v>
      </c>
      <c r="J131">
        <f t="shared" si="11"/>
        <v>1.1385559228836569E-2</v>
      </c>
      <c r="K131">
        <f t="shared" si="11"/>
        <v>-5.0167207518106976E-3</v>
      </c>
      <c r="L131">
        <f t="shared" si="11"/>
        <v>2.3817708451301902E-2</v>
      </c>
      <c r="M131">
        <f t="shared" si="11"/>
        <v>-7.4043759089819092E-3</v>
      </c>
      <c r="N131">
        <f t="shared" si="11"/>
        <v>-7.0890562862617754E-3</v>
      </c>
      <c r="O131">
        <f t="shared" si="11"/>
        <v>3.8479695744204137E-3</v>
      </c>
    </row>
    <row r="132" spans="1:15" x14ac:dyDescent="0.35">
      <c r="A132" s="2">
        <v>45125</v>
      </c>
      <c r="B132">
        <v>191.40653991699219</v>
      </c>
      <c r="C132">
        <v>533.35626220703125</v>
      </c>
      <c r="D132">
        <v>147.34123229980469</v>
      </c>
      <c r="E132">
        <v>145.23358154296881</v>
      </c>
      <c r="F132">
        <v>66.882102966308594</v>
      </c>
      <c r="G132">
        <v>140.12239074707031</v>
      </c>
      <c r="H132">
        <v>4554.97998046875</v>
      </c>
      <c r="I132">
        <f t="shared" si="11"/>
        <v>-1.3412536963094267E-3</v>
      </c>
      <c r="J132">
        <f t="shared" si="11"/>
        <v>1.138484958009964E-3</v>
      </c>
      <c r="K132">
        <f t="shared" si="11"/>
        <v>-6.2859484167818335E-5</v>
      </c>
      <c r="L132">
        <f t="shared" si="11"/>
        <v>1.8238884744666184E-3</v>
      </c>
      <c r="M132">
        <f t="shared" si="11"/>
        <v>-8.4308059073369811E-3</v>
      </c>
      <c r="N132">
        <f t="shared" si="11"/>
        <v>1.8772794005868028E-3</v>
      </c>
      <c r="O132">
        <f t="shared" si="11"/>
        <v>7.0920669414283382E-3</v>
      </c>
    </row>
    <row r="133" spans="1:15" x14ac:dyDescent="0.35">
      <c r="A133" s="2">
        <v>45126</v>
      </c>
      <c r="B133">
        <v>192.76011657714841</v>
      </c>
      <c r="C133">
        <v>533.85723876953125</v>
      </c>
      <c r="D133">
        <v>147.04481506347659</v>
      </c>
      <c r="E133">
        <v>145.79121398925781</v>
      </c>
      <c r="F133">
        <v>66.92852783203125</v>
      </c>
      <c r="G133">
        <v>141.07987976074219</v>
      </c>
      <c r="H133">
        <v>4565.72021484375</v>
      </c>
      <c r="I133">
        <f t="shared" si="11"/>
        <v>7.046849270259942E-3</v>
      </c>
      <c r="J133">
        <f t="shared" si="11"/>
        <v>9.3884981559912931E-4</v>
      </c>
      <c r="K133">
        <f t="shared" si="11"/>
        <v>-2.01380017264392E-3</v>
      </c>
      <c r="L133">
        <f t="shared" si="11"/>
        <v>3.8322035598937266E-3</v>
      </c>
      <c r="M133">
        <f t="shared" si="11"/>
        <v>6.9388907754804898E-4</v>
      </c>
      <c r="N133">
        <f t="shared" si="11"/>
        <v>6.8099927665300547E-3</v>
      </c>
      <c r="O133">
        <f t="shared" si="11"/>
        <v>2.3551348272336388E-3</v>
      </c>
    </row>
    <row r="134" spans="1:15" x14ac:dyDescent="0.35">
      <c r="A134" s="2">
        <v>45127</v>
      </c>
      <c r="B134">
        <v>190.81376647949219</v>
      </c>
      <c r="C134">
        <v>536.60302734375</v>
      </c>
      <c r="D134">
        <v>155.9745788574219</v>
      </c>
      <c r="E134">
        <v>147.58705139160159</v>
      </c>
      <c r="F134">
        <v>68.785079956054688</v>
      </c>
      <c r="G134">
        <v>142.2238464355469</v>
      </c>
      <c r="H134">
        <v>4534.8701171875</v>
      </c>
      <c r="I134">
        <f t="shared" si="11"/>
        <v>-1.0148588779257336E-2</v>
      </c>
      <c r="J134">
        <f t="shared" si="11"/>
        <v>5.1301196002104879E-3</v>
      </c>
      <c r="K134">
        <f t="shared" si="11"/>
        <v>5.8955633234164737E-2</v>
      </c>
      <c r="L134">
        <f t="shared" si="11"/>
        <v>1.2242623564766542E-2</v>
      </c>
      <c r="M134">
        <f t="shared" si="11"/>
        <v>2.7361559083795194E-2</v>
      </c>
      <c r="N134">
        <f t="shared" si="11"/>
        <v>8.0759466718161397E-3</v>
      </c>
      <c r="O134">
        <f t="shared" si="11"/>
        <v>-6.7798273962576911E-3</v>
      </c>
    </row>
    <row r="135" spans="1:15" x14ac:dyDescent="0.35">
      <c r="A135" s="2">
        <v>45128</v>
      </c>
      <c r="B135">
        <v>189.63801574707031</v>
      </c>
      <c r="C135">
        <v>537.47021484375</v>
      </c>
      <c r="D135">
        <v>157.65122985839841</v>
      </c>
      <c r="E135">
        <v>146.45281982421881</v>
      </c>
      <c r="F135">
        <v>70.455963134765625</v>
      </c>
      <c r="G135">
        <v>144.46260070800781</v>
      </c>
      <c r="H135">
        <v>4536.33984375</v>
      </c>
      <c r="I135">
        <f t="shared" si="11"/>
        <v>-6.1808330538458993E-3</v>
      </c>
      <c r="J135">
        <f t="shared" si="11"/>
        <v>1.6147645325638048E-3</v>
      </c>
      <c r="K135">
        <f t="shared" si="11"/>
        <v>1.06921492270915E-2</v>
      </c>
      <c r="L135">
        <f t="shared" si="11"/>
        <v>-7.714853012125553E-3</v>
      </c>
      <c r="M135">
        <f t="shared" si="11"/>
        <v>2.4001017947663503E-2</v>
      </c>
      <c r="N135">
        <f t="shared" si="11"/>
        <v>1.5618455661289318E-2</v>
      </c>
      <c r="O135">
        <f t="shared" si="11"/>
        <v>3.2404201461309109E-4</v>
      </c>
    </row>
    <row r="136" spans="1:15" x14ac:dyDescent="0.35">
      <c r="A136" s="2">
        <v>45131</v>
      </c>
      <c r="B136">
        <v>190.43833923339841</v>
      </c>
      <c r="C136">
        <v>543.31842041015625</v>
      </c>
      <c r="D136">
        <v>158.47566223144531</v>
      </c>
      <c r="E136">
        <v>149.33558654785159</v>
      </c>
      <c r="F136">
        <v>70.084648132324219</v>
      </c>
      <c r="G136">
        <v>144.92547607421881</v>
      </c>
      <c r="H136">
        <v>4554.64013671875</v>
      </c>
      <c r="I136">
        <f t="shared" si="11"/>
        <v>4.2113888891268485E-3</v>
      </c>
      <c r="J136">
        <f t="shared" si="11"/>
        <v>1.0822213435941971E-2</v>
      </c>
      <c r="K136">
        <f t="shared" si="11"/>
        <v>5.2158437813032863E-3</v>
      </c>
      <c r="L136">
        <f t="shared" si="11"/>
        <v>1.949270451635237E-2</v>
      </c>
      <c r="M136">
        <f t="shared" si="11"/>
        <v>-5.2841077475763746E-3</v>
      </c>
      <c r="N136">
        <f t="shared" si="11"/>
        <v>3.1989967665364406E-3</v>
      </c>
      <c r="O136">
        <f t="shared" si="11"/>
        <v>4.026038496874852E-3</v>
      </c>
    </row>
    <row r="137" spans="1:15" x14ac:dyDescent="0.35">
      <c r="A137" s="2">
        <v>45132</v>
      </c>
      <c r="B137">
        <v>191.2978820800781</v>
      </c>
      <c r="C137">
        <v>544.53228759765625</v>
      </c>
      <c r="D137">
        <v>159.68916320800781</v>
      </c>
      <c r="E137">
        <v>148.22029113769531</v>
      </c>
      <c r="F137">
        <v>70.028953552246094</v>
      </c>
      <c r="G137">
        <v>145.26557922363281</v>
      </c>
      <c r="H137">
        <v>4567.4599609375</v>
      </c>
      <c r="I137">
        <f t="shared" si="11"/>
        <v>4.5033415815517999E-3</v>
      </c>
      <c r="J137">
        <f t="shared" si="11"/>
        <v>2.2316806568395877E-3</v>
      </c>
      <c r="K137">
        <f t="shared" si="11"/>
        <v>7.6281647994101906E-3</v>
      </c>
      <c r="L137">
        <f t="shared" si="11"/>
        <v>-7.4964113750459081E-3</v>
      </c>
      <c r="M137">
        <f t="shared" si="11"/>
        <v>-7.9499181152752291E-4</v>
      </c>
      <c r="N137">
        <f t="shared" si="11"/>
        <v>2.3439957843252113E-3</v>
      </c>
      <c r="O137">
        <f t="shared" si="11"/>
        <v>2.8107195758387046E-3</v>
      </c>
    </row>
    <row r="138" spans="1:15" x14ac:dyDescent="0.35">
      <c r="A138" s="2">
        <v>45133</v>
      </c>
      <c r="B138">
        <v>192.16731262207031</v>
      </c>
      <c r="C138">
        <v>545.47650146484375</v>
      </c>
      <c r="D138">
        <v>159.99482727050781</v>
      </c>
      <c r="E138">
        <v>149.10874938964841</v>
      </c>
      <c r="F138">
        <v>69.035697937011719</v>
      </c>
      <c r="G138">
        <v>145.41668701171881</v>
      </c>
      <c r="H138">
        <v>4566.75</v>
      </c>
      <c r="I138">
        <f t="shared" si="11"/>
        <v>4.534607280247671E-3</v>
      </c>
      <c r="J138">
        <f t="shared" si="11"/>
        <v>1.7324889722632837E-3</v>
      </c>
      <c r="K138">
        <f t="shared" si="11"/>
        <v>1.9122894154930453E-3</v>
      </c>
      <c r="L138">
        <f t="shared" si="11"/>
        <v>5.9762806533698873E-3</v>
      </c>
      <c r="M138">
        <f t="shared" si="11"/>
        <v>-1.4285046488276335E-2</v>
      </c>
      <c r="N138">
        <f t="shared" si="11"/>
        <v>1.0396767828624971E-3</v>
      </c>
      <c r="O138">
        <f t="shared" si="11"/>
        <v>-1.5545097867591856E-4</v>
      </c>
    </row>
    <row r="139" spans="1:15" x14ac:dyDescent="0.35">
      <c r="A139" s="2">
        <v>45134</v>
      </c>
      <c r="B139">
        <v>190.90264892578119</v>
      </c>
      <c r="C139">
        <v>541.295166015625</v>
      </c>
      <c r="D139">
        <v>160.89337158203119</v>
      </c>
      <c r="E139">
        <v>147.46417236328119</v>
      </c>
      <c r="F139">
        <v>68.014610290527344</v>
      </c>
      <c r="G139">
        <v>143.68803405761719</v>
      </c>
      <c r="H139">
        <v>4537.41015625</v>
      </c>
      <c r="I139">
        <f t="shared" si="11"/>
        <v>-6.6028058467912393E-3</v>
      </c>
      <c r="J139">
        <f t="shared" si="11"/>
        <v>-7.6950038481826792E-3</v>
      </c>
      <c r="K139">
        <f t="shared" si="11"/>
        <v>5.6003721124251232E-3</v>
      </c>
      <c r="L139">
        <f t="shared" si="11"/>
        <v>-1.1090654358360649E-2</v>
      </c>
      <c r="M139">
        <f t="shared" si="11"/>
        <v>-1.4901192906717086E-2</v>
      </c>
      <c r="N139">
        <f t="shared" si="11"/>
        <v>-1.1958805441268799E-2</v>
      </c>
      <c r="O139">
        <f t="shared" si="11"/>
        <v>-6.4453930551970759E-3</v>
      </c>
    </row>
    <row r="140" spans="1:15" x14ac:dyDescent="0.35">
      <c r="A140" s="2">
        <v>45135</v>
      </c>
      <c r="B140">
        <v>193.48136901855469</v>
      </c>
      <c r="C140">
        <v>542.73052978515625</v>
      </c>
      <c r="D140">
        <v>161.62518310546881</v>
      </c>
      <c r="E140">
        <v>148.30535888671881</v>
      </c>
      <c r="F140">
        <v>67.624717712402344</v>
      </c>
      <c r="G140">
        <v>147.74993896484381</v>
      </c>
      <c r="H140">
        <v>4582.22998046875</v>
      </c>
      <c r="I140">
        <f t="shared" si="11"/>
        <v>1.3417617070671633E-2</v>
      </c>
      <c r="J140">
        <f t="shared" si="11"/>
        <v>2.6482114103839201E-3</v>
      </c>
      <c r="K140">
        <f t="shared" si="11"/>
        <v>4.5381127301980352E-3</v>
      </c>
      <c r="L140">
        <f t="shared" si="11"/>
        <v>5.6881368944499472E-3</v>
      </c>
      <c r="M140">
        <f t="shared" si="11"/>
        <v>-5.7489764615888212E-3</v>
      </c>
      <c r="N140">
        <f t="shared" si="11"/>
        <v>2.7876723872701726E-2</v>
      </c>
      <c r="O140">
        <f t="shared" si="11"/>
        <v>9.8293758104338481E-3</v>
      </c>
    </row>
    <row r="141" spans="1:15" x14ac:dyDescent="0.35">
      <c r="A141" s="2">
        <v>45138</v>
      </c>
      <c r="B141">
        <v>194.09391784667969</v>
      </c>
      <c r="C141">
        <v>540.177490234375</v>
      </c>
      <c r="D141">
        <v>155.18721008300781</v>
      </c>
      <c r="E141">
        <v>149.29779052734381</v>
      </c>
      <c r="F141">
        <v>68.042442321777344</v>
      </c>
      <c r="G141">
        <v>147.6460266113281</v>
      </c>
      <c r="H141">
        <v>4588.9599609375</v>
      </c>
      <c r="I141">
        <f t="shared" si="11"/>
        <v>3.1609308379898084E-3</v>
      </c>
      <c r="J141">
        <f t="shared" si="11"/>
        <v>-4.7151636772036045E-3</v>
      </c>
      <c r="K141">
        <f t="shared" si="11"/>
        <v>-4.0647774900193882E-2</v>
      </c>
      <c r="L141">
        <f t="shared" si="11"/>
        <v>6.669521618960025E-3</v>
      </c>
      <c r="M141">
        <f t="shared" si="11"/>
        <v>6.1580994155824914E-3</v>
      </c>
      <c r="N141">
        <f t="shared" si="11"/>
        <v>-7.0354622209696266E-4</v>
      </c>
      <c r="O141">
        <f t="shared" si="11"/>
        <v>1.4676354365687912E-3</v>
      </c>
    </row>
    <row r="142" spans="1:15" x14ac:dyDescent="0.35">
      <c r="A142" s="2">
        <v>45139</v>
      </c>
      <c r="B142">
        <v>193.26402282714841</v>
      </c>
      <c r="C142">
        <v>535.16748046875</v>
      </c>
      <c r="D142">
        <v>156.447021484375</v>
      </c>
      <c r="E142">
        <v>148.56056213378909</v>
      </c>
      <c r="F142">
        <v>66.993499755859375</v>
      </c>
      <c r="G142">
        <v>147.59881591796881</v>
      </c>
      <c r="H142">
        <v>4576.72998046875</v>
      </c>
      <c r="I142">
        <f t="shared" si="11"/>
        <v>-4.2849065536436524E-3</v>
      </c>
      <c r="J142">
        <f t="shared" si="11"/>
        <v>-9.3180256602795088E-3</v>
      </c>
      <c r="K142">
        <f t="shared" si="11"/>
        <v>8.0852367081529989E-3</v>
      </c>
      <c r="L142">
        <f t="shared" si="11"/>
        <v>-4.9502046353255766E-3</v>
      </c>
      <c r="M142">
        <f t="shared" si="11"/>
        <v>-1.5536066150135228E-2</v>
      </c>
      <c r="N142">
        <f t="shared" si="11"/>
        <v>-3.1980706831139243E-4</v>
      </c>
      <c r="O142">
        <f t="shared" si="11"/>
        <v>-2.6686453076827116E-3</v>
      </c>
    </row>
    <row r="143" spans="1:15" x14ac:dyDescent="0.35">
      <c r="A143" s="2">
        <v>45140</v>
      </c>
      <c r="B143">
        <v>190.27037048339841</v>
      </c>
      <c r="C143">
        <v>532.16168212890625</v>
      </c>
      <c r="D143">
        <v>157.39186096191409</v>
      </c>
      <c r="E143">
        <v>146.87815856933591</v>
      </c>
      <c r="F143">
        <v>66.752143859863281</v>
      </c>
      <c r="G143">
        <v>147.91998291015619</v>
      </c>
      <c r="H143">
        <v>4513.39013671875</v>
      </c>
      <c r="I143">
        <f t="shared" si="11"/>
        <v>-1.561118478069053E-2</v>
      </c>
      <c r="J143">
        <f t="shared" si="11"/>
        <v>-5.632388566621932E-3</v>
      </c>
      <c r="K143">
        <f t="shared" si="11"/>
        <v>6.021193580291369E-3</v>
      </c>
      <c r="L143">
        <f t="shared" si="11"/>
        <v>-1.1389311101054395E-2</v>
      </c>
      <c r="M143">
        <f t="shared" si="11"/>
        <v>-3.6091815997414648E-3</v>
      </c>
      <c r="N143">
        <f t="shared" si="11"/>
        <v>2.1735816462839759E-3</v>
      </c>
      <c r="O143">
        <f t="shared" si="11"/>
        <v>-1.3936200638336184E-2</v>
      </c>
    </row>
    <row r="144" spans="1:15" x14ac:dyDescent="0.35">
      <c r="A144" s="2">
        <v>45141</v>
      </c>
      <c r="B144">
        <v>188.87724304199219</v>
      </c>
      <c r="C144">
        <v>537.30645751953125</v>
      </c>
      <c r="D144">
        <v>158.0680847167969</v>
      </c>
      <c r="E144">
        <v>147.77607727050781</v>
      </c>
      <c r="F144">
        <v>65.071983337402344</v>
      </c>
      <c r="G144">
        <v>148.30726623535159</v>
      </c>
      <c r="H144">
        <v>4501.89013671875</v>
      </c>
      <c r="I144">
        <f t="shared" si="11"/>
        <v>-7.3487668722389612E-3</v>
      </c>
      <c r="J144">
        <f t="shared" si="11"/>
        <v>9.6212591790189889E-3</v>
      </c>
      <c r="K144">
        <f t="shared" si="11"/>
        <v>4.2872307556927206E-3</v>
      </c>
      <c r="L144">
        <f t="shared" si="11"/>
        <v>6.0947468012031835E-3</v>
      </c>
      <c r="M144">
        <f t="shared" si="11"/>
        <v>-2.5492321414535994E-2</v>
      </c>
      <c r="N144">
        <f t="shared" si="11"/>
        <v>2.6147732659197922E-3</v>
      </c>
      <c r="O144">
        <f t="shared" si="11"/>
        <v>-2.5512254502915274E-3</v>
      </c>
    </row>
    <row r="145" spans="1:15" x14ac:dyDescent="0.35">
      <c r="A145" s="2">
        <v>45142</v>
      </c>
      <c r="B145">
        <v>179.80732727050781</v>
      </c>
      <c r="C145">
        <v>531.86285400390625</v>
      </c>
      <c r="D145">
        <v>156.5859680175781</v>
      </c>
      <c r="E145">
        <v>147.46417236328119</v>
      </c>
      <c r="F145">
        <v>64.208671569824219</v>
      </c>
      <c r="G145">
        <v>146.6824951171875</v>
      </c>
      <c r="H145">
        <v>4478.02978515625</v>
      </c>
      <c r="I145">
        <f t="shared" si="11"/>
        <v>-4.9211422777882471E-2</v>
      </c>
      <c r="J145">
        <f t="shared" si="11"/>
        <v>-1.0182953242847289E-2</v>
      </c>
      <c r="K145">
        <f t="shared" si="11"/>
        <v>-9.4206805710258714E-3</v>
      </c>
      <c r="L145">
        <f t="shared" si="11"/>
        <v>-2.1128895782331733E-3</v>
      </c>
      <c r="M145">
        <f t="shared" si="11"/>
        <v>-1.3355820345132328E-2</v>
      </c>
      <c r="N145">
        <f t="shared" si="11"/>
        <v>-1.1015891135745132E-2</v>
      </c>
      <c r="O145">
        <f t="shared" si="11"/>
        <v>-5.3141693739379705E-3</v>
      </c>
    </row>
    <row r="146" spans="1:15" x14ac:dyDescent="0.35">
      <c r="A146" s="2">
        <v>45145</v>
      </c>
      <c r="B146">
        <v>176.70501708984381</v>
      </c>
      <c r="C146">
        <v>538</v>
      </c>
      <c r="D146">
        <v>160.34684753417969</v>
      </c>
      <c r="E146">
        <v>148.16358947753909</v>
      </c>
      <c r="F146">
        <v>63.716697692871087</v>
      </c>
      <c r="G146">
        <v>148.231689453125</v>
      </c>
      <c r="H146">
        <v>4518.43994140625</v>
      </c>
      <c r="I146">
        <f t="shared" si="11"/>
        <v>-1.7404101358811749E-2</v>
      </c>
      <c r="J146">
        <f t="shared" si="11"/>
        <v>1.1472897280265648E-2</v>
      </c>
      <c r="K146">
        <f t="shared" si="11"/>
        <v>2.3734090473141654E-2</v>
      </c>
      <c r="L146">
        <f t="shared" si="11"/>
        <v>4.731750596539061E-3</v>
      </c>
      <c r="M146">
        <f t="shared" si="11"/>
        <v>-7.6916143413251741E-3</v>
      </c>
      <c r="N146">
        <f t="shared" si="11"/>
        <v>1.050616529761721E-2</v>
      </c>
      <c r="O146">
        <f t="shared" si="11"/>
        <v>8.9836189648565719E-3</v>
      </c>
    </row>
    <row r="147" spans="1:15" x14ac:dyDescent="0.35">
      <c r="A147" s="2">
        <v>45146</v>
      </c>
      <c r="B147">
        <v>177.64363098144531</v>
      </c>
      <c r="C147">
        <v>535.79388427734375</v>
      </c>
      <c r="D147">
        <v>160.42094421386719</v>
      </c>
      <c r="E147">
        <v>147.33183288574219</v>
      </c>
      <c r="F147">
        <v>63.78167724609375</v>
      </c>
      <c r="G147">
        <v>148.3923034667969</v>
      </c>
      <c r="H147">
        <v>4499.3798828125</v>
      </c>
      <c r="I147">
        <f t="shared" si="11"/>
        <v>5.2976981396145369E-3</v>
      </c>
      <c r="J147">
        <f t="shared" si="11"/>
        <v>-4.1090173057731069E-3</v>
      </c>
      <c r="K147">
        <f t="shared" si="11"/>
        <v>4.6199576710387021E-4</v>
      </c>
      <c r="L147">
        <f t="shared" si="11"/>
        <v>-5.6295883153187074E-3</v>
      </c>
      <c r="M147">
        <f t="shared" si="11"/>
        <v>1.0193001891947613E-3</v>
      </c>
      <c r="N147">
        <f t="shared" si="11"/>
        <v>1.08294698475224E-3</v>
      </c>
      <c r="O147">
        <f t="shared" si="11"/>
        <v>-4.2272051000588661E-3</v>
      </c>
    </row>
    <row r="148" spans="1:15" x14ac:dyDescent="0.35">
      <c r="A148" s="2">
        <v>45147</v>
      </c>
      <c r="B148">
        <v>176.05293273925781</v>
      </c>
      <c r="C148">
        <v>539.24298095703125</v>
      </c>
      <c r="D148">
        <v>160.3190612792969</v>
      </c>
      <c r="E148">
        <v>145.35646057128909</v>
      </c>
      <c r="F148">
        <v>63.976608276367188</v>
      </c>
      <c r="G148">
        <v>148.2033386230469</v>
      </c>
      <c r="H148">
        <v>4467.7099609375</v>
      </c>
      <c r="I148">
        <f t="shared" si="11"/>
        <v>-8.994766305719987E-3</v>
      </c>
      <c r="J148">
        <f t="shared" si="11"/>
        <v>6.4167260226189711E-3</v>
      </c>
      <c r="K148">
        <f t="shared" si="11"/>
        <v>-6.3529922212443818E-4</v>
      </c>
      <c r="L148">
        <f t="shared" si="11"/>
        <v>-1.3498334932339645E-2</v>
      </c>
      <c r="M148">
        <f t="shared" si="11"/>
        <v>3.0515622645255923E-3</v>
      </c>
      <c r="N148">
        <f t="shared" si="11"/>
        <v>-1.2742255279698559E-3</v>
      </c>
      <c r="O148">
        <f t="shared" si="11"/>
        <v>-7.0636191020451164E-3</v>
      </c>
    </row>
    <row r="149" spans="1:15" x14ac:dyDescent="0.35">
      <c r="A149" s="2">
        <v>45148</v>
      </c>
      <c r="B149">
        <v>175.8355712890625</v>
      </c>
      <c r="C149">
        <v>540.96746826171875</v>
      </c>
      <c r="D149">
        <v>159.4853515625</v>
      </c>
      <c r="E149">
        <v>145.1390686035156</v>
      </c>
      <c r="F149">
        <v>63.391799926757813</v>
      </c>
      <c r="G149">
        <v>147.46653747558591</v>
      </c>
      <c r="H149">
        <v>4468.830078125</v>
      </c>
      <c r="I149">
        <f t="shared" si="11"/>
        <v>-1.2353997095784245E-3</v>
      </c>
      <c r="J149">
        <f t="shared" si="11"/>
        <v>3.192875556706136E-3</v>
      </c>
      <c r="K149">
        <f t="shared" si="11"/>
        <v>-5.2138843117205576E-3</v>
      </c>
      <c r="L149">
        <f t="shared" si="11"/>
        <v>-1.4966977906527856E-3</v>
      </c>
      <c r="M149">
        <f t="shared" si="11"/>
        <v>-9.1830064845445352E-3</v>
      </c>
      <c r="N149">
        <f t="shared" si="11"/>
        <v>-4.9839549591525183E-3</v>
      </c>
      <c r="O149">
        <f t="shared" si="11"/>
        <v>2.5068252108086326E-4</v>
      </c>
    </row>
    <row r="150" spans="1:15" x14ac:dyDescent="0.35">
      <c r="A150" s="2">
        <v>45149</v>
      </c>
      <c r="B150">
        <v>175.89494323730469</v>
      </c>
      <c r="C150">
        <v>542.3839111328125</v>
      </c>
      <c r="D150">
        <v>161.04158020019531</v>
      </c>
      <c r="E150">
        <v>145.98023986816409</v>
      </c>
      <c r="F150">
        <v>63.976608276367188</v>
      </c>
      <c r="G150">
        <v>148.326171875</v>
      </c>
      <c r="H150">
        <v>4464.0498046875</v>
      </c>
      <c r="I150">
        <f t="shared" si="11"/>
        <v>3.3759907857876893E-4</v>
      </c>
      <c r="J150">
        <f t="shared" si="11"/>
        <v>2.6149293851540196E-3</v>
      </c>
      <c r="K150">
        <f t="shared" si="11"/>
        <v>9.7105154797283658E-3</v>
      </c>
      <c r="L150">
        <f t="shared" si="11"/>
        <v>5.7788925785426989E-3</v>
      </c>
      <c r="M150">
        <f t="shared" si="11"/>
        <v>9.1830064845444884E-3</v>
      </c>
      <c r="N150">
        <f t="shared" si="11"/>
        <v>5.8124273683404079E-3</v>
      </c>
      <c r="O150">
        <f t="shared" si="11"/>
        <v>-1.0702648992294865E-3</v>
      </c>
    </row>
    <row r="151" spans="1:15" x14ac:dyDescent="0.35">
      <c r="A151" s="2">
        <v>45152</v>
      </c>
      <c r="B151">
        <v>177.54713439941409</v>
      </c>
      <c r="C151">
        <v>540.9483642578125</v>
      </c>
      <c r="D151">
        <v>160.66178894042969</v>
      </c>
      <c r="E151">
        <v>146.28271484375</v>
      </c>
      <c r="F151">
        <v>63.642448425292969</v>
      </c>
      <c r="G151">
        <v>147.16426086425781</v>
      </c>
      <c r="H151">
        <v>4489.72021484375</v>
      </c>
      <c r="I151">
        <f t="shared" si="11"/>
        <v>9.3492161865849997E-3</v>
      </c>
      <c r="J151">
        <f t="shared" si="11"/>
        <v>-2.6502445239736136E-3</v>
      </c>
      <c r="K151">
        <f t="shared" si="11"/>
        <v>-2.3611281238520979E-3</v>
      </c>
      <c r="L151">
        <f t="shared" si="11"/>
        <v>2.069883156270077E-3</v>
      </c>
      <c r="M151">
        <f t="shared" si="11"/>
        <v>-5.2368450824222985E-3</v>
      </c>
      <c r="N151">
        <f t="shared" si="11"/>
        <v>-7.86432906420928E-3</v>
      </c>
      <c r="O151">
        <f t="shared" si="11"/>
        <v>5.7340048794190506E-3</v>
      </c>
    </row>
    <row r="152" spans="1:15" x14ac:dyDescent="0.35">
      <c r="A152" s="2">
        <v>45153</v>
      </c>
      <c r="B152">
        <v>175.5585632324219</v>
      </c>
      <c r="C152">
        <v>538.09637451171875</v>
      </c>
      <c r="D152">
        <v>160.19859313964841</v>
      </c>
      <c r="E152">
        <v>142.55877685546881</v>
      </c>
      <c r="F152">
        <v>62.519214630126953</v>
      </c>
      <c r="G152">
        <v>146.2196350097656</v>
      </c>
      <c r="H152">
        <v>4437.85986328125</v>
      </c>
      <c r="I152">
        <f t="shared" si="11"/>
        <v>-1.1263438701970458E-2</v>
      </c>
      <c r="J152">
        <f t="shared" si="11"/>
        <v>-5.2861503973050056E-3</v>
      </c>
      <c r="K152">
        <f t="shared" si="11"/>
        <v>-2.8872129338315218E-3</v>
      </c>
      <c r="L152">
        <f t="shared" si="11"/>
        <v>-2.5786768508257816E-2</v>
      </c>
      <c r="M152">
        <f t="shared" si="11"/>
        <v>-1.7806732209447274E-2</v>
      </c>
      <c r="N152">
        <f t="shared" si="11"/>
        <v>-6.4395430837500545E-3</v>
      </c>
      <c r="O152">
        <f t="shared" si="11"/>
        <v>-1.1618139396096483E-2</v>
      </c>
    </row>
    <row r="153" spans="1:15" x14ac:dyDescent="0.35">
      <c r="A153" s="2">
        <v>45154</v>
      </c>
      <c r="B153">
        <v>174.6879577636719</v>
      </c>
      <c r="C153">
        <v>538.61669921875</v>
      </c>
      <c r="D153">
        <v>159.68916320800781</v>
      </c>
      <c r="E153">
        <v>141.95387268066409</v>
      </c>
      <c r="F153">
        <v>62.714157104492188</v>
      </c>
      <c r="G153">
        <v>144.72711181640619</v>
      </c>
      <c r="H153">
        <v>4404.330078125</v>
      </c>
      <c r="I153">
        <f t="shared" si="11"/>
        <v>-4.971397056807071E-3</v>
      </c>
      <c r="J153">
        <f t="shared" si="11"/>
        <v>9.6650585978846524E-4</v>
      </c>
      <c r="K153">
        <f t="shared" si="11"/>
        <v>-3.1850569594788158E-3</v>
      </c>
      <c r="L153">
        <f t="shared" si="11"/>
        <v>-4.2522192756534408E-3</v>
      </c>
      <c r="M153">
        <f t="shared" si="11"/>
        <v>3.1132697159050446E-3</v>
      </c>
      <c r="N153">
        <f t="shared" si="11"/>
        <v>-1.0259858906271097E-2</v>
      </c>
      <c r="O153">
        <f t="shared" si="11"/>
        <v>-7.5840817926245271E-3</v>
      </c>
    </row>
    <row r="154" spans="1:15" x14ac:dyDescent="0.35">
      <c r="A154" s="2">
        <v>45155</v>
      </c>
      <c r="B154">
        <v>172.14532470703119</v>
      </c>
      <c r="C154">
        <v>527.11309814453125</v>
      </c>
      <c r="D154">
        <v>161.18977355957031</v>
      </c>
      <c r="E154">
        <v>140.47943115234381</v>
      </c>
      <c r="F154">
        <v>62.667743682861328</v>
      </c>
      <c r="G154">
        <v>143.68803405761719</v>
      </c>
      <c r="H154">
        <v>4370.35986328125</v>
      </c>
      <c r="I154">
        <f t="shared" si="11"/>
        <v>-1.4662252653412597E-2</v>
      </c>
      <c r="J154">
        <f t="shared" si="11"/>
        <v>-2.1589051757651051E-2</v>
      </c>
      <c r="K154">
        <f t="shared" si="11"/>
        <v>9.3531928670042615E-3</v>
      </c>
      <c r="L154">
        <f t="shared" si="11"/>
        <v>-1.044108398778917E-2</v>
      </c>
      <c r="M154">
        <f t="shared" si="11"/>
        <v>-7.4035284932548408E-4</v>
      </c>
      <c r="N154">
        <f t="shared" si="11"/>
        <v>-7.2054624681090725E-3</v>
      </c>
      <c r="O154">
        <f t="shared" si="11"/>
        <v>-7.7428113775290805E-3</v>
      </c>
    </row>
    <row r="155" spans="1:15" x14ac:dyDescent="0.35">
      <c r="A155" s="2">
        <v>45156</v>
      </c>
      <c r="B155">
        <v>172.6300964355469</v>
      </c>
      <c r="C155">
        <v>525.0224609375</v>
      </c>
      <c r="D155">
        <v>159.78175354003909</v>
      </c>
      <c r="E155">
        <v>140.80078125</v>
      </c>
      <c r="F155">
        <v>62.964797973632813</v>
      </c>
      <c r="G155">
        <v>144.09419250488281</v>
      </c>
      <c r="H155">
        <v>4369.7099609375</v>
      </c>
      <c r="I155">
        <f t="shared" si="11"/>
        <v>2.8121032895597154E-3</v>
      </c>
      <c r="J155">
        <f t="shared" si="11"/>
        <v>-3.9740885867854793E-3</v>
      </c>
      <c r="K155">
        <f t="shared" si="11"/>
        <v>-8.7735448942483692E-3</v>
      </c>
      <c r="L155">
        <f t="shared" ref="L155:O218" si="12">LN(E155/E154)</f>
        <v>2.2849117946898956E-3</v>
      </c>
      <c r="M155">
        <f t="shared" si="12"/>
        <v>4.728947459608601E-3</v>
      </c>
      <c r="N155">
        <f t="shared" si="12"/>
        <v>2.822681037604823E-3</v>
      </c>
      <c r="O155">
        <f t="shared" si="12"/>
        <v>-1.4871788395720285E-4</v>
      </c>
    </row>
    <row r="156" spans="1:15" x14ac:dyDescent="0.35">
      <c r="A156" s="2">
        <v>45159</v>
      </c>
      <c r="B156">
        <v>173.96571350097659</v>
      </c>
      <c r="C156">
        <v>523.35565185546875</v>
      </c>
      <c r="D156">
        <v>155.02049255371091</v>
      </c>
      <c r="E156">
        <v>141.2828063964844</v>
      </c>
      <c r="F156">
        <v>62.268592834472663</v>
      </c>
      <c r="G156">
        <v>143.3668518066406</v>
      </c>
      <c r="H156">
        <v>4399.77001953125</v>
      </c>
      <c r="I156">
        <f t="shared" ref="I156:N219" si="13">LN(B156/B155)</f>
        <v>7.7070964989356264E-3</v>
      </c>
      <c r="J156">
        <f t="shared" si="13"/>
        <v>-3.1797887920874779E-3</v>
      </c>
      <c r="K156">
        <f t="shared" si="13"/>
        <v>-3.0251525504939269E-2</v>
      </c>
      <c r="L156">
        <f t="shared" si="12"/>
        <v>3.4176083740216617E-3</v>
      </c>
      <c r="M156">
        <f t="shared" si="12"/>
        <v>-1.11186370817472E-2</v>
      </c>
      <c r="N156">
        <f t="shared" si="12"/>
        <v>-5.060457858857231E-3</v>
      </c>
      <c r="O156">
        <f t="shared" si="12"/>
        <v>6.8556348597997854E-3</v>
      </c>
    </row>
    <row r="157" spans="1:15" x14ac:dyDescent="0.35">
      <c r="A157" s="2">
        <v>45160</v>
      </c>
      <c r="B157">
        <v>175.3409118652344</v>
      </c>
      <c r="C157">
        <v>518.692626953125</v>
      </c>
      <c r="D157">
        <v>153.78843688964841</v>
      </c>
      <c r="E157">
        <v>138.3528137207031</v>
      </c>
      <c r="F157">
        <v>62.677021026611328</v>
      </c>
      <c r="G157">
        <v>143.42352294921881</v>
      </c>
      <c r="H157">
        <v>4387.5498046875</v>
      </c>
      <c r="I157">
        <f t="shared" si="13"/>
        <v>7.8739157485719011E-3</v>
      </c>
      <c r="J157">
        <f t="shared" si="13"/>
        <v>-8.9497888386276311E-3</v>
      </c>
      <c r="K157">
        <f t="shared" si="13"/>
        <v>-7.97944673115265E-3</v>
      </c>
      <c r="L157">
        <f t="shared" si="12"/>
        <v>-2.0956557007675666E-2</v>
      </c>
      <c r="M157">
        <f t="shared" si="12"/>
        <v>6.5377188404063214E-3</v>
      </c>
      <c r="N157">
        <f t="shared" si="12"/>
        <v>3.9520952098962356E-4</v>
      </c>
      <c r="O157">
        <f t="shared" si="12"/>
        <v>-2.7813310465456837E-3</v>
      </c>
    </row>
    <row r="158" spans="1:15" x14ac:dyDescent="0.35">
      <c r="A158" s="2">
        <v>45161</v>
      </c>
      <c r="B158">
        <v>179.1894226074219</v>
      </c>
      <c r="C158">
        <v>521.09161376953125</v>
      </c>
      <c r="D158">
        <v>152.40826416015619</v>
      </c>
      <c r="E158">
        <v>139.28849792480469</v>
      </c>
      <c r="F158">
        <v>63.020492553710938</v>
      </c>
      <c r="G158">
        <v>144.76487731933591</v>
      </c>
      <c r="H158">
        <v>4436.009765625</v>
      </c>
      <c r="I158">
        <f t="shared" si="13"/>
        <v>2.1711326469058628E-2</v>
      </c>
      <c r="J158">
        <f t="shared" si="13"/>
        <v>4.6144016791025396E-3</v>
      </c>
      <c r="K158">
        <f t="shared" si="13"/>
        <v>-9.0150029180543073E-3</v>
      </c>
      <c r="L158">
        <f t="shared" si="12"/>
        <v>6.7402631185338787E-3</v>
      </c>
      <c r="M158">
        <f t="shared" si="12"/>
        <v>5.4650624691804069E-3</v>
      </c>
      <c r="N158">
        <f t="shared" si="12"/>
        <v>9.3089385642020888E-3</v>
      </c>
      <c r="O158">
        <f t="shared" si="12"/>
        <v>1.0984330710791359E-2</v>
      </c>
    </row>
    <row r="159" spans="1:15" x14ac:dyDescent="0.35">
      <c r="A159" s="2">
        <v>45162</v>
      </c>
      <c r="B159">
        <v>174.49995422363281</v>
      </c>
      <c r="C159">
        <v>513.24395751953125</v>
      </c>
      <c r="D159">
        <v>152.9269714355469</v>
      </c>
      <c r="E159">
        <v>139.1561584472656</v>
      </c>
      <c r="F159">
        <v>62.398544311523438</v>
      </c>
      <c r="G159">
        <v>144.09419250488281</v>
      </c>
      <c r="H159">
        <v>4376.31005859375</v>
      </c>
      <c r="I159">
        <f t="shared" si="13"/>
        <v>-2.6518993856827478E-2</v>
      </c>
      <c r="J159">
        <f t="shared" si="13"/>
        <v>-1.5174585610256105E-2</v>
      </c>
      <c r="K159">
        <f t="shared" si="13"/>
        <v>3.3976280095526267E-3</v>
      </c>
      <c r="L159">
        <f t="shared" si="12"/>
        <v>-9.5056223544167609E-4</v>
      </c>
      <c r="M159">
        <f t="shared" si="12"/>
        <v>-9.9180053679392855E-3</v>
      </c>
      <c r="N159">
        <f t="shared" si="12"/>
        <v>-4.6436902263343773E-3</v>
      </c>
      <c r="O159">
        <f t="shared" si="12"/>
        <v>-1.3549353984008011E-2</v>
      </c>
    </row>
    <row r="160" spans="1:15" x14ac:dyDescent="0.35">
      <c r="A160" s="2">
        <v>45163</v>
      </c>
      <c r="B160">
        <v>176.7062072753906</v>
      </c>
      <c r="C160">
        <v>515.46405029296875</v>
      </c>
      <c r="D160">
        <v>155.11962890625</v>
      </c>
      <c r="E160">
        <v>138.9860534667969</v>
      </c>
      <c r="F160">
        <v>63.085472106933587</v>
      </c>
      <c r="G160">
        <v>145.038818359375</v>
      </c>
      <c r="H160">
        <v>4405.7099609375</v>
      </c>
      <c r="I160">
        <f t="shared" si="13"/>
        <v>1.2564028287935696E-2</v>
      </c>
      <c r="J160">
        <f t="shared" si="13"/>
        <v>4.3162806225312857E-3</v>
      </c>
      <c r="K160">
        <f t="shared" si="13"/>
        <v>1.4236122065854468E-2</v>
      </c>
      <c r="L160">
        <f t="shared" si="12"/>
        <v>-1.2231512829780904E-3</v>
      </c>
      <c r="M160">
        <f t="shared" si="12"/>
        <v>1.0948560253244526E-2</v>
      </c>
      <c r="N160">
        <f t="shared" si="12"/>
        <v>6.534219061645339E-3</v>
      </c>
      <c r="O160">
        <f t="shared" si="12"/>
        <v>6.6955010602951564E-3</v>
      </c>
    </row>
    <row r="161" spans="1:15" x14ac:dyDescent="0.35">
      <c r="A161" s="2">
        <v>45166</v>
      </c>
      <c r="B161">
        <v>178.26936340332031</v>
      </c>
      <c r="C161">
        <v>517.56829833984375</v>
      </c>
      <c r="D161">
        <v>153.2908630371094</v>
      </c>
      <c r="E161">
        <v>139.46809387207031</v>
      </c>
      <c r="F161">
        <v>63.141159057617188</v>
      </c>
      <c r="G161">
        <v>145.26557922363281</v>
      </c>
      <c r="H161">
        <v>4433.31005859375</v>
      </c>
      <c r="I161">
        <f t="shared" si="13"/>
        <v>8.807176386560589E-3</v>
      </c>
      <c r="J161">
        <f t="shared" si="13"/>
        <v>4.0739304243348207E-3</v>
      </c>
      <c r="K161">
        <f t="shared" si="13"/>
        <v>-1.1859436374245087E-2</v>
      </c>
      <c r="L161">
        <f t="shared" si="12"/>
        <v>3.4622640130104734E-3</v>
      </c>
      <c r="M161">
        <f t="shared" si="12"/>
        <v>8.8233289255341572E-4</v>
      </c>
      <c r="N161">
        <f t="shared" si="12"/>
        <v>1.5622285591560551E-3</v>
      </c>
      <c r="O161">
        <f t="shared" si="12"/>
        <v>6.2450785941964614E-3</v>
      </c>
    </row>
    <row r="162" spans="1:15" x14ac:dyDescent="0.35">
      <c r="A162" s="2">
        <v>45167</v>
      </c>
      <c r="B162">
        <v>182.157470703125</v>
      </c>
      <c r="C162">
        <v>523.9197998046875</v>
      </c>
      <c r="D162">
        <v>153.30952453613281</v>
      </c>
      <c r="E162">
        <v>140.602294921875</v>
      </c>
      <c r="F162">
        <v>63.101905822753913</v>
      </c>
      <c r="G162">
        <v>145.3505554199219</v>
      </c>
      <c r="H162">
        <v>4497.6298828125</v>
      </c>
      <c r="I162">
        <f t="shared" si="13"/>
        <v>2.1575852641936132E-2</v>
      </c>
      <c r="J162">
        <f t="shared" si="13"/>
        <v>1.2197124899703198E-2</v>
      </c>
      <c r="K162">
        <f t="shared" si="13"/>
        <v>1.2173173813746478E-4</v>
      </c>
      <c r="L162">
        <f t="shared" si="12"/>
        <v>8.0994442509642068E-3</v>
      </c>
      <c r="M162">
        <f t="shared" si="12"/>
        <v>-6.2186760382396285E-4</v>
      </c>
      <c r="N162">
        <f t="shared" si="12"/>
        <v>5.8480028175353198E-4</v>
      </c>
      <c r="O162">
        <f t="shared" si="12"/>
        <v>1.4404068712056505E-2</v>
      </c>
    </row>
    <row r="163" spans="1:15" x14ac:dyDescent="0.35">
      <c r="A163" s="2">
        <v>45168</v>
      </c>
      <c r="B163">
        <v>185.64982604980469</v>
      </c>
      <c r="C163">
        <v>523.4276123046875</v>
      </c>
      <c r="D163">
        <v>152.7683410644531</v>
      </c>
      <c r="E163">
        <v>140.03517150878909</v>
      </c>
      <c r="F163">
        <v>62.709320068359382</v>
      </c>
      <c r="G163">
        <v>145.51115417480469</v>
      </c>
      <c r="H163">
        <v>4514.8701171875</v>
      </c>
      <c r="I163">
        <f t="shared" si="13"/>
        <v>1.8990707013285025E-2</v>
      </c>
      <c r="J163">
        <f t="shared" si="13"/>
        <v>-9.3987444956868951E-4</v>
      </c>
      <c r="K163">
        <f t="shared" si="13"/>
        <v>-3.5362507156737636E-3</v>
      </c>
      <c r="L163">
        <f t="shared" si="12"/>
        <v>-4.0416854691996077E-3</v>
      </c>
      <c r="M163">
        <f t="shared" si="12"/>
        <v>-6.2408902836581055E-3</v>
      </c>
      <c r="N163">
        <f t="shared" si="12"/>
        <v>1.1042964123879617E-3</v>
      </c>
      <c r="O163">
        <f t="shared" si="12"/>
        <v>3.825854181192944E-3</v>
      </c>
    </row>
    <row r="164" spans="1:15" x14ac:dyDescent="0.35">
      <c r="A164" s="2">
        <v>45169</v>
      </c>
      <c r="B164">
        <v>185.86749267578119</v>
      </c>
      <c r="C164">
        <v>530.20367431640625</v>
      </c>
      <c r="D164">
        <v>150.85557556152341</v>
      </c>
      <c r="E164">
        <v>138.30552673339841</v>
      </c>
      <c r="F164">
        <v>62.438266754150391</v>
      </c>
      <c r="G164">
        <v>145.7945556640625</v>
      </c>
      <c r="H164">
        <v>4507.66015625</v>
      </c>
      <c r="I164">
        <f t="shared" si="13"/>
        <v>1.171771219865104E-3</v>
      </c>
      <c r="J164">
        <f t="shared" si="13"/>
        <v>1.2862479538565249E-2</v>
      </c>
      <c r="K164">
        <f t="shared" si="13"/>
        <v>-1.2599737391911763E-2</v>
      </c>
      <c r="L164">
        <f t="shared" si="12"/>
        <v>-1.2428416329090265E-2</v>
      </c>
      <c r="M164">
        <f t="shared" si="12"/>
        <v>-4.3317453404948195E-3</v>
      </c>
      <c r="N164">
        <f t="shared" si="12"/>
        <v>1.9457330844963542E-3</v>
      </c>
      <c r="O164">
        <f t="shared" si="12"/>
        <v>-1.5982129743398576E-3</v>
      </c>
    </row>
    <row r="165" spans="1:15" x14ac:dyDescent="0.35">
      <c r="A165" s="2">
        <v>45170</v>
      </c>
      <c r="B165">
        <v>187.44056701660159</v>
      </c>
      <c r="C165">
        <v>525.348388671875</v>
      </c>
      <c r="D165">
        <v>149.73591613769531</v>
      </c>
      <c r="E165">
        <v>138.7686767578125</v>
      </c>
      <c r="F165">
        <v>62.503700256347663</v>
      </c>
      <c r="G165">
        <v>145.95513916015619</v>
      </c>
      <c r="H165">
        <v>4515.77001953125</v>
      </c>
      <c r="I165">
        <f t="shared" si="13"/>
        <v>8.427804388246073E-3</v>
      </c>
      <c r="J165">
        <f t="shared" si="13"/>
        <v>-9.1995839098413489E-3</v>
      </c>
      <c r="K165">
        <f t="shared" si="13"/>
        <v>-7.4497424780323625E-3</v>
      </c>
      <c r="L165">
        <f t="shared" si="12"/>
        <v>3.3431510400511572E-3</v>
      </c>
      <c r="M165">
        <f t="shared" si="12"/>
        <v>1.0474224113023345E-3</v>
      </c>
      <c r="N165">
        <f t="shared" si="12"/>
        <v>1.1008307131705195E-3</v>
      </c>
      <c r="O165">
        <f t="shared" si="12"/>
        <v>1.7975127655185409E-3</v>
      </c>
    </row>
    <row r="166" spans="1:15" x14ac:dyDescent="0.35">
      <c r="A166" s="2">
        <v>45174</v>
      </c>
      <c r="B166">
        <v>187.67799377441409</v>
      </c>
      <c r="C166">
        <v>525.81182861328125</v>
      </c>
      <c r="D166">
        <v>149.92254638671881</v>
      </c>
      <c r="E166">
        <v>137.23748779296881</v>
      </c>
      <c r="F166">
        <v>61.877445220947273</v>
      </c>
      <c r="G166">
        <v>143.999755859375</v>
      </c>
      <c r="H166">
        <v>4496.830078125</v>
      </c>
      <c r="I166">
        <f t="shared" si="13"/>
        <v>1.2658759887382589E-3</v>
      </c>
      <c r="J166">
        <f t="shared" si="13"/>
        <v>8.817684760385661E-4</v>
      </c>
      <c r="K166">
        <f t="shared" si="13"/>
        <v>1.2456199072908868E-3</v>
      </c>
      <c r="L166">
        <f t="shared" si="12"/>
        <v>-1.1095438218684743E-2</v>
      </c>
      <c r="M166">
        <f t="shared" si="12"/>
        <v>-1.0070020261034335E-2</v>
      </c>
      <c r="N166">
        <f t="shared" si="12"/>
        <v>-1.3487704312574976E-2</v>
      </c>
      <c r="O166">
        <f t="shared" si="12"/>
        <v>-4.2029978213812052E-3</v>
      </c>
    </row>
    <row r="167" spans="1:15" x14ac:dyDescent="0.35">
      <c r="A167" s="2">
        <v>45175</v>
      </c>
      <c r="B167">
        <v>180.9603576660156</v>
      </c>
      <c r="C167">
        <v>527.7037353515625</v>
      </c>
      <c r="D167">
        <v>147.4313049316406</v>
      </c>
      <c r="E167">
        <v>137.0106506347656</v>
      </c>
      <c r="F167">
        <v>61.400749206542969</v>
      </c>
      <c r="G167">
        <v>143.71635437011719</v>
      </c>
      <c r="H167">
        <v>4465.47998046875</v>
      </c>
      <c r="I167">
        <f t="shared" si="13"/>
        <v>-3.6449706382277319E-2</v>
      </c>
      <c r="J167">
        <f t="shared" si="13"/>
        <v>3.5916104834898465E-3</v>
      </c>
      <c r="K167">
        <f t="shared" si="13"/>
        <v>-1.6756465298681258E-2</v>
      </c>
      <c r="L167">
        <f t="shared" si="12"/>
        <v>-1.654247946641905E-3</v>
      </c>
      <c r="M167">
        <f t="shared" si="12"/>
        <v>-7.7337016907777691E-3</v>
      </c>
      <c r="N167">
        <f t="shared" si="12"/>
        <v>-1.970008427313551E-3</v>
      </c>
      <c r="O167">
        <f t="shared" si="12"/>
        <v>-6.9960144914322613E-3</v>
      </c>
    </row>
    <row r="168" spans="1:15" x14ac:dyDescent="0.35">
      <c r="A168" s="2">
        <v>45176</v>
      </c>
      <c r="B168">
        <v>175.66737365722659</v>
      </c>
      <c r="C168">
        <v>529.5665283203125</v>
      </c>
      <c r="D168">
        <v>149.31605529785159</v>
      </c>
      <c r="E168">
        <v>135.83868408203119</v>
      </c>
      <c r="F168">
        <v>61.924175262451172</v>
      </c>
      <c r="G168">
        <v>145.0860595703125</v>
      </c>
      <c r="H168">
        <v>4451.14013671875</v>
      </c>
      <c r="I168">
        <f t="shared" si="13"/>
        <v>-2.9685704378638676E-2</v>
      </c>
      <c r="J168">
        <f t="shared" si="13"/>
        <v>3.5237818754330365E-3</v>
      </c>
      <c r="K168">
        <f t="shared" si="13"/>
        <v>1.2702897905228029E-2</v>
      </c>
      <c r="L168">
        <f t="shared" si="12"/>
        <v>-8.5906294140697722E-3</v>
      </c>
      <c r="M168">
        <f t="shared" si="12"/>
        <v>8.4886198177090803E-3</v>
      </c>
      <c r="N168">
        <f t="shared" si="12"/>
        <v>9.4854849124090777E-3</v>
      </c>
      <c r="O168">
        <f t="shared" si="12"/>
        <v>-3.2164331157329669E-3</v>
      </c>
    </row>
    <row r="169" spans="1:15" x14ac:dyDescent="0.35">
      <c r="A169" s="2">
        <v>45177</v>
      </c>
      <c r="B169">
        <v>176.28077697753909</v>
      </c>
      <c r="C169">
        <v>532.04742431640625</v>
      </c>
      <c r="D169">
        <v>149.8105773925781</v>
      </c>
      <c r="E169">
        <v>135.94267272949219</v>
      </c>
      <c r="F169">
        <v>62.466300964355469</v>
      </c>
      <c r="G169">
        <v>144.46260070800781</v>
      </c>
      <c r="H169">
        <v>4457.490234375</v>
      </c>
      <c r="I169">
        <f t="shared" si="13"/>
        <v>3.4857631176908655E-3</v>
      </c>
      <c r="J169">
        <f t="shared" si="13"/>
        <v>4.6738280071133209E-3</v>
      </c>
      <c r="K169">
        <f t="shared" si="13"/>
        <v>3.3064427651353476E-3</v>
      </c>
      <c r="L169">
        <f t="shared" si="12"/>
        <v>7.6523757004906881E-4</v>
      </c>
      <c r="M169">
        <f t="shared" si="12"/>
        <v>8.7165698024494528E-3</v>
      </c>
      <c r="N169">
        <f t="shared" si="12"/>
        <v>-4.306425215190526E-3</v>
      </c>
      <c r="O169">
        <f t="shared" si="12"/>
        <v>1.4256060622570594E-3</v>
      </c>
    </row>
    <row r="170" spans="1:15" x14ac:dyDescent="0.35">
      <c r="A170" s="2">
        <v>45180</v>
      </c>
      <c r="B170">
        <v>177.44819641113281</v>
      </c>
      <c r="C170">
        <v>539.373779296875</v>
      </c>
      <c r="D170">
        <v>151.7699890136719</v>
      </c>
      <c r="E170">
        <v>136.53810119628909</v>
      </c>
      <c r="F170">
        <v>63.120594024658203</v>
      </c>
      <c r="G170">
        <v>146.1818542480469</v>
      </c>
      <c r="H170">
        <v>4487.4599609375</v>
      </c>
      <c r="I170">
        <f t="shared" si="13"/>
        <v>6.6006675166961591E-3</v>
      </c>
      <c r="J170">
        <f t="shared" si="13"/>
        <v>1.3676169833872289E-2</v>
      </c>
      <c r="K170">
        <f t="shared" si="13"/>
        <v>1.2994465896282351E-2</v>
      </c>
      <c r="L170">
        <f t="shared" si="12"/>
        <v>4.3704324967616002E-3</v>
      </c>
      <c r="M170">
        <f t="shared" si="12"/>
        <v>1.041986077060798E-2</v>
      </c>
      <c r="N170">
        <f t="shared" si="12"/>
        <v>1.1830768238763294E-2</v>
      </c>
      <c r="O170">
        <f t="shared" si="12"/>
        <v>6.7009514981355173E-3</v>
      </c>
    </row>
    <row r="171" spans="1:15" x14ac:dyDescent="0.35">
      <c r="A171" s="2">
        <v>45181</v>
      </c>
      <c r="B171">
        <v>174.4208068847656</v>
      </c>
      <c r="C171">
        <v>539.3834228515625</v>
      </c>
      <c r="D171">
        <v>152.62840270996091</v>
      </c>
      <c r="E171">
        <v>138.3149719238281</v>
      </c>
      <c r="F171">
        <v>63.307552337646477</v>
      </c>
      <c r="G171">
        <v>143.6124572753906</v>
      </c>
      <c r="H171">
        <v>4461.89990234375</v>
      </c>
      <c r="I171">
        <f t="shared" si="13"/>
        <v>-1.7207905223280803E-2</v>
      </c>
      <c r="J171">
        <f t="shared" si="13"/>
        <v>1.787900867505763E-5</v>
      </c>
      <c r="K171">
        <f t="shared" si="13"/>
        <v>5.6400821763637797E-3</v>
      </c>
      <c r="L171">
        <f t="shared" si="12"/>
        <v>1.2929784353285977E-2</v>
      </c>
      <c r="M171">
        <f t="shared" si="12"/>
        <v>2.9575447342338823E-3</v>
      </c>
      <c r="N171">
        <f t="shared" si="12"/>
        <v>-1.7733020982024245E-2</v>
      </c>
      <c r="O171">
        <f t="shared" si="12"/>
        <v>-5.7121690230039967E-3</v>
      </c>
    </row>
    <row r="172" spans="1:15" x14ac:dyDescent="0.35">
      <c r="A172" s="2">
        <v>45182</v>
      </c>
      <c r="B172">
        <v>172.35307312011719</v>
      </c>
      <c r="C172">
        <v>540.31976318359375</v>
      </c>
      <c r="D172">
        <v>153.0109558105469</v>
      </c>
      <c r="E172">
        <v>138.38114929199219</v>
      </c>
      <c r="F172">
        <v>63.961837768554688</v>
      </c>
      <c r="G172">
        <v>144.6137390136719</v>
      </c>
      <c r="H172">
        <v>4467.43994140625</v>
      </c>
      <c r="I172">
        <f t="shared" si="13"/>
        <v>-1.1925686392507228E-2</v>
      </c>
      <c r="J172">
        <f t="shared" si="13"/>
        <v>1.7344406849463224E-3</v>
      </c>
      <c r="K172">
        <f t="shared" si="13"/>
        <v>2.5032986733797336E-3</v>
      </c>
      <c r="L172">
        <f t="shared" si="12"/>
        <v>4.7833969724708682E-4</v>
      </c>
      <c r="M172">
        <f t="shared" si="12"/>
        <v>1.0281988380202698E-2</v>
      </c>
      <c r="N172">
        <f t="shared" si="12"/>
        <v>6.9479164567352062E-3</v>
      </c>
      <c r="O172">
        <f t="shared" si="12"/>
        <v>1.2408621175346041E-3</v>
      </c>
    </row>
    <row r="173" spans="1:15" x14ac:dyDescent="0.35">
      <c r="A173" s="2">
        <v>45183</v>
      </c>
      <c r="B173">
        <v>173.86680603027341</v>
      </c>
      <c r="C173">
        <v>545.15576171875</v>
      </c>
      <c r="D173">
        <v>152.7776794433594</v>
      </c>
      <c r="E173">
        <v>141.06541442871091</v>
      </c>
      <c r="F173">
        <v>64.756324768066406</v>
      </c>
      <c r="G173">
        <v>146.20072937011719</v>
      </c>
      <c r="H173">
        <v>4505.10009765625</v>
      </c>
      <c r="I173">
        <f t="shared" si="13"/>
        <v>8.7444000005529113E-3</v>
      </c>
      <c r="J173">
        <f t="shared" si="13"/>
        <v>8.9104368006464301E-3</v>
      </c>
      <c r="K173">
        <f t="shared" si="13"/>
        <v>-1.5257363129072489E-3</v>
      </c>
      <c r="L173">
        <f t="shared" si="12"/>
        <v>1.9211885544192911E-2</v>
      </c>
      <c r="M173">
        <f t="shared" si="12"/>
        <v>1.2344754980166473E-2</v>
      </c>
      <c r="N173">
        <f t="shared" si="12"/>
        <v>1.0914217017988899E-2</v>
      </c>
      <c r="O173">
        <f t="shared" si="12"/>
        <v>8.3945855336662496E-3</v>
      </c>
    </row>
    <row r="174" spans="1:15" x14ac:dyDescent="0.35">
      <c r="A174" s="2">
        <v>45184</v>
      </c>
      <c r="B174">
        <v>173.14457702636719</v>
      </c>
      <c r="C174">
        <v>537.03790283203125</v>
      </c>
      <c r="D174">
        <v>150.64100646972659</v>
      </c>
      <c r="E174">
        <v>140.6495666503906</v>
      </c>
      <c r="F174">
        <v>64.158111572265625</v>
      </c>
      <c r="G174">
        <v>144.97273254394531</v>
      </c>
      <c r="H174">
        <v>4450.31982421875</v>
      </c>
      <c r="I174">
        <f t="shared" si="13"/>
        <v>-4.1625726532849962E-3</v>
      </c>
      <c r="J174">
        <f t="shared" si="13"/>
        <v>-1.5002880575608106E-2</v>
      </c>
      <c r="K174">
        <f t="shared" si="13"/>
        <v>-1.4084223502867916E-2</v>
      </c>
      <c r="L174">
        <f t="shared" si="12"/>
        <v>-2.9522610318139216E-3</v>
      </c>
      <c r="M174">
        <f t="shared" si="12"/>
        <v>-9.2808456004832614E-3</v>
      </c>
      <c r="N174">
        <f t="shared" si="12"/>
        <v>-8.4348628393025333E-3</v>
      </c>
      <c r="O174">
        <f t="shared" si="12"/>
        <v>-1.2234145842493929E-2</v>
      </c>
    </row>
    <row r="175" spans="1:15" x14ac:dyDescent="0.35">
      <c r="A175" s="2">
        <v>45187</v>
      </c>
      <c r="B175">
        <v>176.0730285644531</v>
      </c>
      <c r="C175">
        <v>543.17694091796875</v>
      </c>
      <c r="D175">
        <v>151.59269714355469</v>
      </c>
      <c r="E175">
        <v>140.94255065917969</v>
      </c>
      <c r="F175">
        <v>63.78424072265625</v>
      </c>
      <c r="G175">
        <v>145.5205993652344</v>
      </c>
      <c r="H175">
        <v>4453.52978515625</v>
      </c>
      <c r="I175">
        <f t="shared" si="13"/>
        <v>1.677189315650774E-2</v>
      </c>
      <c r="J175">
        <f t="shared" si="13"/>
        <v>1.1366450324848766E-2</v>
      </c>
      <c r="K175">
        <f t="shared" si="13"/>
        <v>6.2977345537692624E-3</v>
      </c>
      <c r="L175">
        <f t="shared" si="12"/>
        <v>2.0809113359525383E-3</v>
      </c>
      <c r="M175">
        <f t="shared" si="12"/>
        <v>-5.8443808025748127E-3</v>
      </c>
      <c r="N175">
        <f t="shared" si="12"/>
        <v>3.7719796682970049E-3</v>
      </c>
      <c r="O175">
        <f t="shared" si="12"/>
        <v>7.2102769417551878E-4</v>
      </c>
    </row>
    <row r="176" spans="1:15" x14ac:dyDescent="0.35">
      <c r="A176" s="2">
        <v>45188</v>
      </c>
      <c r="B176">
        <v>177.16130065917969</v>
      </c>
      <c r="C176">
        <v>544.75030517578125</v>
      </c>
      <c r="D176">
        <v>151.3407897949219</v>
      </c>
      <c r="E176">
        <v>140.762939453125</v>
      </c>
      <c r="F176">
        <v>63.176681518554688</v>
      </c>
      <c r="G176">
        <v>145.09550476074219</v>
      </c>
      <c r="H176">
        <v>4443.9501953125</v>
      </c>
      <c r="I176">
        <f t="shared" si="13"/>
        <v>6.1617767466895373E-3</v>
      </c>
      <c r="J176">
        <f t="shared" si="13"/>
        <v>2.8924091392374335E-3</v>
      </c>
      <c r="K176">
        <f t="shared" si="13"/>
        <v>-1.6631202396447263E-3</v>
      </c>
      <c r="L176">
        <f t="shared" si="12"/>
        <v>-1.2751702518916871E-3</v>
      </c>
      <c r="M176">
        <f t="shared" si="12"/>
        <v>-9.5708794668313557E-3</v>
      </c>
      <c r="N176">
        <f t="shared" si="12"/>
        <v>-2.9254738580163381E-3</v>
      </c>
      <c r="O176">
        <f t="shared" si="12"/>
        <v>-2.1533273615331264E-3</v>
      </c>
    </row>
    <row r="177" spans="1:15" x14ac:dyDescent="0.35">
      <c r="A177" s="2">
        <v>45189</v>
      </c>
      <c r="B177">
        <v>173.61946105957031</v>
      </c>
      <c r="C177">
        <v>544.2484130859375</v>
      </c>
      <c r="D177">
        <v>152.00323486328119</v>
      </c>
      <c r="E177">
        <v>140.1675109863281</v>
      </c>
      <c r="F177">
        <v>62.952350616455078</v>
      </c>
      <c r="G177">
        <v>144.97273254394531</v>
      </c>
      <c r="H177">
        <v>4402.2001953125</v>
      </c>
      <c r="I177">
        <f t="shared" si="13"/>
        <v>-2.0194721927510227E-2</v>
      </c>
      <c r="J177">
        <f t="shared" si="13"/>
        <v>-9.2174970817194104E-4</v>
      </c>
      <c r="K177">
        <f t="shared" si="13"/>
        <v>4.3676226830529821E-3</v>
      </c>
      <c r="L177">
        <f t="shared" si="12"/>
        <v>-4.2389805552765746E-3</v>
      </c>
      <c r="M177">
        <f t="shared" si="12"/>
        <v>-3.5571689538710675E-3</v>
      </c>
      <c r="N177">
        <f t="shared" si="12"/>
        <v>-8.4650581028061442E-4</v>
      </c>
      <c r="O177">
        <f t="shared" si="12"/>
        <v>-9.4392042062910412E-3</v>
      </c>
    </row>
    <row r="178" spans="1:15" x14ac:dyDescent="0.35">
      <c r="A178" s="2">
        <v>45190</v>
      </c>
      <c r="B178">
        <v>172.07606506347659</v>
      </c>
      <c r="C178">
        <v>535.80230712890625</v>
      </c>
      <c r="D178">
        <v>150.8369445800781</v>
      </c>
      <c r="E178">
        <v>139.07112121582031</v>
      </c>
      <c r="F178">
        <v>62.541084289550781</v>
      </c>
      <c r="G178">
        <v>143.71635437011719</v>
      </c>
      <c r="H178">
        <v>4330</v>
      </c>
      <c r="I178">
        <f t="shared" si="13"/>
        <v>-8.9292810250362394E-3</v>
      </c>
      <c r="J178">
        <f t="shared" si="13"/>
        <v>-1.5640521276030099E-2</v>
      </c>
      <c r="K178">
        <f t="shared" si="13"/>
        <v>-7.7023864624536104E-3</v>
      </c>
      <c r="L178">
        <f t="shared" si="12"/>
        <v>-7.8527487116590924E-3</v>
      </c>
      <c r="M178">
        <f t="shared" si="12"/>
        <v>-6.55441138503073E-3</v>
      </c>
      <c r="N178">
        <f t="shared" si="12"/>
        <v>-8.7040775893791993E-3</v>
      </c>
      <c r="O178">
        <f t="shared" si="12"/>
        <v>-1.6536918318488084E-2</v>
      </c>
    </row>
    <row r="179" spans="1:15" x14ac:dyDescent="0.35">
      <c r="A179" s="2">
        <v>45191</v>
      </c>
      <c r="B179">
        <v>172.9269104003906</v>
      </c>
      <c r="C179">
        <v>539.1904296875</v>
      </c>
      <c r="D179">
        <v>149.7546081542969</v>
      </c>
      <c r="E179">
        <v>137.73841857910159</v>
      </c>
      <c r="F179">
        <v>63.279499053955078</v>
      </c>
      <c r="G179">
        <v>143.18736267089841</v>
      </c>
      <c r="H179">
        <v>4320.06005859375</v>
      </c>
      <c r="I179">
        <f t="shared" si="13"/>
        <v>4.9324041959914197E-3</v>
      </c>
      <c r="J179">
        <f t="shared" si="13"/>
        <v>6.3035472917869987E-3</v>
      </c>
      <c r="K179">
        <f t="shared" si="13"/>
        <v>-7.201407314695582E-3</v>
      </c>
      <c r="L179">
        <f t="shared" si="12"/>
        <v>-9.6290968511010752E-3</v>
      </c>
      <c r="M179">
        <f t="shared" si="12"/>
        <v>1.1737717671087469E-2</v>
      </c>
      <c r="N179">
        <f t="shared" si="12"/>
        <v>-3.6875945988136425E-3</v>
      </c>
      <c r="O179">
        <f t="shared" si="12"/>
        <v>-2.2982374027607495E-3</v>
      </c>
    </row>
    <row r="180" spans="1:15" x14ac:dyDescent="0.35">
      <c r="A180" s="2">
        <v>45194</v>
      </c>
      <c r="B180">
        <v>174.20317077636719</v>
      </c>
      <c r="C180">
        <v>539.2193603515625</v>
      </c>
      <c r="D180">
        <v>149.5306701660156</v>
      </c>
      <c r="E180">
        <v>138.4189453125</v>
      </c>
      <c r="F180">
        <v>63.064533233642578</v>
      </c>
      <c r="G180">
        <v>142.31829833984381</v>
      </c>
      <c r="H180">
        <v>4337.43994140625</v>
      </c>
      <c r="I180">
        <f t="shared" si="13"/>
        <v>7.3532441918184597E-3</v>
      </c>
      <c r="J180">
        <f t="shared" si="13"/>
        <v>5.3654305323715114E-5</v>
      </c>
      <c r="K180">
        <f t="shared" si="13"/>
        <v>-1.4964854357685689E-3</v>
      </c>
      <c r="L180">
        <f t="shared" si="12"/>
        <v>4.9285530636838824E-3</v>
      </c>
      <c r="M180">
        <f t="shared" si="12"/>
        <v>-3.4028679289951854E-3</v>
      </c>
      <c r="N180">
        <f t="shared" si="12"/>
        <v>-6.0879144191559216E-3</v>
      </c>
      <c r="O180">
        <f t="shared" si="12"/>
        <v>4.0149942038066174E-3</v>
      </c>
    </row>
    <row r="181" spans="1:15" x14ac:dyDescent="0.35">
      <c r="A181" s="2">
        <v>45195</v>
      </c>
      <c r="B181">
        <v>170.12709045410159</v>
      </c>
      <c r="C181">
        <v>533.7559814453125</v>
      </c>
      <c r="D181">
        <v>148.3736877441406</v>
      </c>
      <c r="E181">
        <v>136.9822998046875</v>
      </c>
      <c r="F181">
        <v>61.073589324951172</v>
      </c>
      <c r="G181">
        <v>141.052490234375</v>
      </c>
      <c r="H181">
        <v>4273.52978515625</v>
      </c>
      <c r="I181">
        <f t="shared" si="13"/>
        <v>-2.3676517533818421E-2</v>
      </c>
      <c r="J181">
        <f t="shared" si="13"/>
        <v>-1.0183693715060643E-2</v>
      </c>
      <c r="K181">
        <f t="shared" si="13"/>
        <v>-7.7675146958428162E-3</v>
      </c>
      <c r="L181">
        <f t="shared" si="12"/>
        <v>-1.0433202935998561E-2</v>
      </c>
      <c r="M181">
        <f t="shared" si="12"/>
        <v>-3.2079019703231383E-2</v>
      </c>
      <c r="N181">
        <f t="shared" si="12"/>
        <v>-8.9339944400429316E-3</v>
      </c>
      <c r="O181">
        <f t="shared" si="12"/>
        <v>-1.4844165482264943E-2</v>
      </c>
    </row>
    <row r="182" spans="1:15" x14ac:dyDescent="0.35">
      <c r="A182" s="2">
        <v>45196</v>
      </c>
      <c r="B182">
        <v>168.61335754394531</v>
      </c>
      <c r="C182">
        <v>543.95880126953125</v>
      </c>
      <c r="D182">
        <v>146.5915832519531</v>
      </c>
      <c r="E182">
        <v>137.78569030761719</v>
      </c>
      <c r="F182">
        <v>56.044887542724609</v>
      </c>
      <c r="G182">
        <v>139.18211364746091</v>
      </c>
      <c r="H182">
        <v>4274.509765625</v>
      </c>
      <c r="I182">
        <f t="shared" si="13"/>
        <v>-8.9374799810378047E-3</v>
      </c>
      <c r="J182">
        <f t="shared" si="13"/>
        <v>1.8934740092676174E-2</v>
      </c>
      <c r="K182">
        <f t="shared" si="13"/>
        <v>-1.2083633917294341E-2</v>
      </c>
      <c r="L182">
        <f t="shared" si="12"/>
        <v>5.8477902905557056E-3</v>
      </c>
      <c r="M182">
        <f t="shared" si="12"/>
        <v>-8.5926586537229302E-2</v>
      </c>
      <c r="N182">
        <f t="shared" si="12"/>
        <v>-1.3348846535879824E-2</v>
      </c>
      <c r="O182">
        <f t="shared" si="12"/>
        <v>2.2928777229479233E-4</v>
      </c>
    </row>
    <row r="183" spans="1:15" x14ac:dyDescent="0.35">
      <c r="A183" s="2">
        <v>45197</v>
      </c>
      <c r="B183">
        <v>168.8706359863281</v>
      </c>
      <c r="C183">
        <v>548.88165283203125</v>
      </c>
      <c r="D183">
        <v>146.3769836425781</v>
      </c>
      <c r="E183">
        <v>139.4964294433594</v>
      </c>
      <c r="F183">
        <v>53.352939605712891</v>
      </c>
      <c r="G183">
        <v>138.23748779296881</v>
      </c>
      <c r="H183">
        <v>4299.7001953125</v>
      </c>
      <c r="I183">
        <f t="shared" si="13"/>
        <v>1.5246855978682606E-3</v>
      </c>
      <c r="J183">
        <f t="shared" si="13"/>
        <v>9.0093386316761736E-3</v>
      </c>
      <c r="K183">
        <f t="shared" si="13"/>
        <v>-1.4650011776444389E-3</v>
      </c>
      <c r="L183">
        <f t="shared" si="12"/>
        <v>1.2339496279844058E-2</v>
      </c>
      <c r="M183">
        <f t="shared" si="12"/>
        <v>-4.9223856299785311E-2</v>
      </c>
      <c r="N183">
        <f t="shared" si="12"/>
        <v>-6.8101136356500426E-3</v>
      </c>
      <c r="O183">
        <f t="shared" si="12"/>
        <v>5.8758771430006979E-3</v>
      </c>
    </row>
    <row r="184" spans="1:15" x14ac:dyDescent="0.35">
      <c r="A184" s="2">
        <v>45198</v>
      </c>
      <c r="B184">
        <v>169.38507080078119</v>
      </c>
      <c r="C184">
        <v>545.33917236328125</v>
      </c>
      <c r="D184">
        <v>145.32261657714841</v>
      </c>
      <c r="E184">
        <v>137.06736755371091</v>
      </c>
      <c r="F184">
        <v>53.549228668212891</v>
      </c>
      <c r="G184">
        <v>137.7840881347656</v>
      </c>
      <c r="H184">
        <v>4288.0498046875</v>
      </c>
      <c r="I184">
        <f t="shared" si="13"/>
        <v>3.0416942020843338E-3</v>
      </c>
      <c r="J184">
        <f t="shared" si="13"/>
        <v>-6.4749139544217973E-3</v>
      </c>
      <c r="K184">
        <f t="shared" si="13"/>
        <v>-7.2291607973910734E-3</v>
      </c>
      <c r="L184">
        <f t="shared" si="12"/>
        <v>-1.7566466610458895E-2</v>
      </c>
      <c r="M184">
        <f t="shared" si="12"/>
        <v>3.6723162170412501E-3</v>
      </c>
      <c r="N184">
        <f t="shared" si="12"/>
        <v>-3.2852509045327642E-3</v>
      </c>
      <c r="O184">
        <f t="shared" si="12"/>
        <v>-2.713259648289315E-3</v>
      </c>
    </row>
    <row r="185" spans="1:15" x14ac:dyDescent="0.35">
      <c r="A185" s="2">
        <v>45201</v>
      </c>
      <c r="B185">
        <v>171.89801025390619</v>
      </c>
      <c r="C185">
        <v>551.4686279296875</v>
      </c>
      <c r="D185">
        <v>144.76277160644531</v>
      </c>
      <c r="E185">
        <v>135.8859558105469</v>
      </c>
      <c r="F185">
        <v>48.744846343994141</v>
      </c>
      <c r="G185">
        <v>137.15116882324219</v>
      </c>
      <c r="H185">
        <v>4288.39013671875</v>
      </c>
      <c r="I185">
        <f t="shared" si="13"/>
        <v>1.4726688832135185E-2</v>
      </c>
      <c r="J185">
        <f t="shared" si="13"/>
        <v>1.1177016383686711E-2</v>
      </c>
      <c r="K185">
        <f t="shared" si="13"/>
        <v>-3.8598680842433265E-3</v>
      </c>
      <c r="L185">
        <f t="shared" si="12"/>
        <v>-8.6565652041000734E-3</v>
      </c>
      <c r="M185">
        <f t="shared" si="12"/>
        <v>-9.4001917000187674E-2</v>
      </c>
      <c r="N185">
        <f t="shared" si="12"/>
        <v>-4.6041416192611276E-3</v>
      </c>
      <c r="O185">
        <f t="shared" si="12"/>
        <v>7.9364406152993244E-5</v>
      </c>
    </row>
    <row r="186" spans="1:15" x14ac:dyDescent="0.35">
      <c r="A186" s="2">
        <v>45202</v>
      </c>
      <c r="B186">
        <v>170.5623779296875</v>
      </c>
      <c r="C186">
        <v>545.4163818359375</v>
      </c>
      <c r="D186">
        <v>144.9400634765625</v>
      </c>
      <c r="E186">
        <v>134.8840637207031</v>
      </c>
      <c r="F186">
        <v>49.333705902099609</v>
      </c>
      <c r="G186">
        <v>137.43452453613281</v>
      </c>
      <c r="H186">
        <v>4229.4501953125</v>
      </c>
      <c r="I186">
        <f t="shared" si="13"/>
        <v>-7.8002545251663674E-3</v>
      </c>
      <c r="J186">
        <f t="shared" si="13"/>
        <v>-1.1035445758649794E-2</v>
      </c>
      <c r="K186">
        <f t="shared" si="13"/>
        <v>1.223956901901648E-3</v>
      </c>
      <c r="L186">
        <f t="shared" si="12"/>
        <v>-7.4003515158438315E-3</v>
      </c>
      <c r="M186">
        <f t="shared" si="12"/>
        <v>1.2008061302184531E-2</v>
      </c>
      <c r="N186">
        <f t="shared" si="12"/>
        <v>2.0638789297846576E-3</v>
      </c>
      <c r="O186">
        <f t="shared" si="12"/>
        <v>-1.3839395863449198E-2</v>
      </c>
    </row>
    <row r="187" spans="1:15" x14ac:dyDescent="0.35">
      <c r="A187" s="2">
        <v>45203</v>
      </c>
      <c r="B187">
        <v>171.8089599609375</v>
      </c>
      <c r="C187">
        <v>551.94158935546875</v>
      </c>
      <c r="D187">
        <v>145.1080017089844</v>
      </c>
      <c r="E187">
        <v>135.48895263671881</v>
      </c>
      <c r="F187">
        <v>47.314743041992188</v>
      </c>
      <c r="G187">
        <v>137.88798522949219</v>
      </c>
      <c r="H187">
        <v>4263.75</v>
      </c>
      <c r="I187">
        <f t="shared" si="13"/>
        <v>7.2820788541545604E-3</v>
      </c>
      <c r="J187">
        <f t="shared" si="13"/>
        <v>1.189271796319848E-2</v>
      </c>
      <c r="K187">
        <f t="shared" si="13"/>
        <v>1.1580029060436182E-3</v>
      </c>
      <c r="L187">
        <f t="shared" si="12"/>
        <v>4.4744844243112519E-3</v>
      </c>
      <c r="M187">
        <f t="shared" si="12"/>
        <v>-4.1785597985408512E-2</v>
      </c>
      <c r="N187">
        <f t="shared" si="12"/>
        <v>3.2940358111275977E-3</v>
      </c>
      <c r="O187">
        <f t="shared" si="12"/>
        <v>8.0770476078289456E-3</v>
      </c>
    </row>
    <row r="188" spans="1:15" x14ac:dyDescent="0.35">
      <c r="A188" s="2">
        <v>45204</v>
      </c>
      <c r="B188">
        <v>173.0456237792969</v>
      </c>
      <c r="C188">
        <v>549.7408447265625</v>
      </c>
      <c r="D188">
        <v>146.6195373535156</v>
      </c>
      <c r="E188">
        <v>136.06024169921881</v>
      </c>
      <c r="F188">
        <v>46.221145629882813</v>
      </c>
      <c r="G188">
        <v>135.838134765625</v>
      </c>
      <c r="H188">
        <v>4258.18994140625</v>
      </c>
      <c r="I188">
        <f t="shared" si="13"/>
        <v>7.1721193671559109E-3</v>
      </c>
      <c r="J188">
        <f t="shared" si="13"/>
        <v>-3.9952485184142272E-3</v>
      </c>
      <c r="K188">
        <f t="shared" si="13"/>
        <v>1.0362745840918718E-2</v>
      </c>
      <c r="L188">
        <f t="shared" si="12"/>
        <v>4.2076346921053375E-3</v>
      </c>
      <c r="M188">
        <f t="shared" si="12"/>
        <v>-2.3384548159066994E-2</v>
      </c>
      <c r="N188">
        <f t="shared" si="12"/>
        <v>-1.4977662957944357E-2</v>
      </c>
      <c r="O188">
        <f t="shared" si="12"/>
        <v>-1.3048811469951228E-3</v>
      </c>
    </row>
    <row r="189" spans="1:15" x14ac:dyDescent="0.35">
      <c r="A189" s="2">
        <v>45205</v>
      </c>
      <c r="B189">
        <v>175.59814453125</v>
      </c>
      <c r="C189">
        <v>538.1671142578125</v>
      </c>
      <c r="D189">
        <v>147.08607482910159</v>
      </c>
      <c r="E189">
        <v>138.1549377441406</v>
      </c>
      <c r="F189">
        <v>46.959560394287109</v>
      </c>
      <c r="G189">
        <v>136.11207580566409</v>
      </c>
      <c r="H189">
        <v>4308.5</v>
      </c>
      <c r="I189">
        <f t="shared" si="13"/>
        <v>1.4642833697400338E-2</v>
      </c>
      <c r="J189">
        <f t="shared" si="13"/>
        <v>-2.1277842548685678E-2</v>
      </c>
      <c r="K189">
        <f t="shared" si="13"/>
        <v>3.1769080917857426E-3</v>
      </c>
      <c r="L189">
        <f t="shared" si="12"/>
        <v>1.5278051303682287E-2</v>
      </c>
      <c r="M189">
        <f t="shared" si="12"/>
        <v>1.5849423203337081E-2</v>
      </c>
      <c r="N189">
        <f t="shared" si="12"/>
        <v>2.0146418134347264E-3</v>
      </c>
      <c r="O189">
        <f t="shared" si="12"/>
        <v>1.1745642093961117E-2</v>
      </c>
    </row>
    <row r="190" spans="1:15" x14ac:dyDescent="0.35">
      <c r="A190" s="2">
        <v>45208</v>
      </c>
      <c r="B190">
        <v>177.0821533203125</v>
      </c>
      <c r="C190">
        <v>539.55712890625</v>
      </c>
      <c r="D190">
        <v>147.92579650878909</v>
      </c>
      <c r="E190">
        <v>137.8407287597656</v>
      </c>
      <c r="F190">
        <v>46.099636077880859</v>
      </c>
      <c r="G190">
        <v>135.4224853515625</v>
      </c>
      <c r="H190">
        <v>4335.66015625</v>
      </c>
      <c r="I190">
        <f t="shared" si="13"/>
        <v>8.4156532509232131E-3</v>
      </c>
      <c r="J190">
        <f t="shared" si="13"/>
        <v>2.5795381852440975E-3</v>
      </c>
      <c r="K190">
        <f t="shared" si="13"/>
        <v>5.6928146226531097E-3</v>
      </c>
      <c r="L190">
        <f t="shared" si="12"/>
        <v>-2.2769134320273147E-3</v>
      </c>
      <c r="M190">
        <f t="shared" si="12"/>
        <v>-1.8481758413628709E-2</v>
      </c>
      <c r="N190">
        <f t="shared" si="12"/>
        <v>-5.0792203666020098E-3</v>
      </c>
      <c r="O190">
        <f t="shared" si="12"/>
        <v>6.2840681193874091E-3</v>
      </c>
    </row>
    <row r="191" spans="1:15" x14ac:dyDescent="0.35">
      <c r="A191" s="2">
        <v>45209</v>
      </c>
      <c r="B191">
        <v>176.4885559082031</v>
      </c>
      <c r="C191">
        <v>542.56890869140625</v>
      </c>
      <c r="D191">
        <v>147.75787353515619</v>
      </c>
      <c r="E191">
        <v>138.6786193847656</v>
      </c>
      <c r="F191">
        <v>48.212062835693359</v>
      </c>
      <c r="G191">
        <v>136.76387023925781</v>
      </c>
      <c r="H191">
        <v>4358.240234375</v>
      </c>
      <c r="I191">
        <f t="shared" si="13"/>
        <v>-3.3577327211721671E-3</v>
      </c>
      <c r="J191">
        <f t="shared" si="13"/>
        <v>5.566426566227199E-3</v>
      </c>
      <c r="K191">
        <f t="shared" si="13"/>
        <v>-1.1358286486444033E-3</v>
      </c>
      <c r="L191">
        <f t="shared" si="12"/>
        <v>6.060286161236981E-3</v>
      </c>
      <c r="M191">
        <f t="shared" si="12"/>
        <v>4.480420026355194E-2</v>
      </c>
      <c r="N191">
        <f t="shared" si="12"/>
        <v>9.8564510653216496E-3</v>
      </c>
      <c r="O191">
        <f t="shared" si="12"/>
        <v>5.1944760999853542E-3</v>
      </c>
    </row>
    <row r="192" spans="1:15" x14ac:dyDescent="0.35">
      <c r="A192" s="2">
        <v>45210</v>
      </c>
      <c r="B192">
        <v>177.88349914550781</v>
      </c>
      <c r="C192">
        <v>545.879638671875</v>
      </c>
      <c r="D192">
        <v>145.72380065917969</v>
      </c>
      <c r="E192">
        <v>139.15467834472659</v>
      </c>
      <c r="F192">
        <v>50.044075012207031</v>
      </c>
      <c r="G192">
        <v>135.08241271972659</v>
      </c>
      <c r="H192">
        <v>4376.9501953125</v>
      </c>
      <c r="I192">
        <f t="shared" si="13"/>
        <v>7.8728016072514683E-3</v>
      </c>
      <c r="J192">
        <f t="shared" si="13"/>
        <v>6.0834114735967724E-3</v>
      </c>
      <c r="K192">
        <f t="shared" si="13"/>
        <v>-1.3861890711844578E-2</v>
      </c>
      <c r="L192">
        <f t="shared" si="12"/>
        <v>3.4269429168635635E-3</v>
      </c>
      <c r="M192">
        <f t="shared" si="12"/>
        <v>3.7294861333256532E-2</v>
      </c>
      <c r="N192">
        <f t="shared" si="12"/>
        <v>-1.2370807096741748E-2</v>
      </c>
      <c r="O192">
        <f t="shared" si="12"/>
        <v>4.2838195000950733E-3</v>
      </c>
    </row>
    <row r="193" spans="1:15" x14ac:dyDescent="0.35">
      <c r="A193" s="2">
        <v>45211</v>
      </c>
      <c r="B193">
        <v>178.7838439941406</v>
      </c>
      <c r="C193">
        <v>544.2001953125</v>
      </c>
      <c r="D193">
        <v>145.86378479003909</v>
      </c>
      <c r="E193">
        <v>138.8309326171875</v>
      </c>
      <c r="F193">
        <v>49.539344787597663</v>
      </c>
      <c r="G193">
        <v>135.38471984863281</v>
      </c>
      <c r="H193">
        <v>4349.60986328125</v>
      </c>
      <c r="I193">
        <f t="shared" si="13"/>
        <v>5.0486638508276593E-3</v>
      </c>
      <c r="J193">
        <f t="shared" si="13"/>
        <v>-3.0813242036301898E-3</v>
      </c>
      <c r="K193">
        <f t="shared" si="13"/>
        <v>9.6015158805835236E-4</v>
      </c>
      <c r="L193">
        <f t="shared" si="12"/>
        <v>-2.3292275653188986E-3</v>
      </c>
      <c r="M193">
        <f t="shared" si="12"/>
        <v>-1.013691933193773E-2</v>
      </c>
      <c r="N193">
        <f t="shared" si="12"/>
        <v>2.2354454082954872E-3</v>
      </c>
      <c r="O193">
        <f t="shared" si="12"/>
        <v>-6.2660249406549179E-3</v>
      </c>
    </row>
    <row r="194" spans="1:15" x14ac:dyDescent="0.35">
      <c r="A194" s="2">
        <v>45212</v>
      </c>
      <c r="B194">
        <v>176.9436340332031</v>
      </c>
      <c r="C194">
        <v>547.1539306640625</v>
      </c>
      <c r="D194">
        <v>146.34895324707031</v>
      </c>
      <c r="E194">
        <v>140.91615295410159</v>
      </c>
      <c r="F194">
        <v>50.932052612304688</v>
      </c>
      <c r="G194">
        <v>136.67884826660159</v>
      </c>
      <c r="H194">
        <v>4327.77978515625</v>
      </c>
      <c r="I194">
        <f t="shared" si="13"/>
        <v>-1.0346270614803419E-2</v>
      </c>
      <c r="J194">
        <f t="shared" si="13"/>
        <v>5.4129864787144533E-3</v>
      </c>
      <c r="K194">
        <f t="shared" si="13"/>
        <v>3.320655397225653E-3</v>
      </c>
      <c r="L194">
        <f t="shared" si="12"/>
        <v>1.4908172881656471E-2</v>
      </c>
      <c r="M194">
        <f t="shared" si="12"/>
        <v>2.7725244654615556E-2</v>
      </c>
      <c r="N194">
        <f t="shared" si="12"/>
        <v>9.5134985365530906E-3</v>
      </c>
      <c r="O194">
        <f t="shared" si="12"/>
        <v>-5.0314956602198922E-3</v>
      </c>
    </row>
    <row r="195" spans="1:15" x14ac:dyDescent="0.35">
      <c r="A195" s="2">
        <v>45215</v>
      </c>
      <c r="B195">
        <v>176.8150329589844</v>
      </c>
      <c r="C195">
        <v>552.36627197265625</v>
      </c>
      <c r="D195">
        <v>146.98345947265619</v>
      </c>
      <c r="E195">
        <v>140.7733459472656</v>
      </c>
      <c r="F195">
        <v>50.829235076904297</v>
      </c>
      <c r="G195">
        <v>137.98243713378909</v>
      </c>
      <c r="H195">
        <v>4373.6298828125</v>
      </c>
      <c r="I195">
        <f t="shared" si="13"/>
        <v>-7.2705543005971711E-4</v>
      </c>
      <c r="J195">
        <f t="shared" si="13"/>
        <v>9.4811906904642487E-3</v>
      </c>
      <c r="K195">
        <f t="shared" si="13"/>
        <v>4.3261991357906532E-3</v>
      </c>
      <c r="L195">
        <f t="shared" si="12"/>
        <v>-1.0139321460505427E-3</v>
      </c>
      <c r="M195">
        <f t="shared" si="12"/>
        <v>-2.0207600104689919E-3</v>
      </c>
      <c r="N195">
        <f t="shared" si="12"/>
        <v>9.4924091954627105E-3</v>
      </c>
      <c r="O195">
        <f t="shared" si="12"/>
        <v>1.0538642302589985E-2</v>
      </c>
    </row>
    <row r="196" spans="1:15" x14ac:dyDescent="0.35">
      <c r="A196" s="2">
        <v>45216</v>
      </c>
      <c r="B196">
        <v>175.26171875</v>
      </c>
      <c r="C196">
        <v>554.3934326171875</v>
      </c>
      <c r="D196">
        <v>145.63983154296881</v>
      </c>
      <c r="E196">
        <v>140.4686279296875</v>
      </c>
      <c r="F196">
        <v>50.632953643798828</v>
      </c>
      <c r="G196">
        <v>138.16191101074219</v>
      </c>
      <c r="H196">
        <v>4373.2001953125</v>
      </c>
      <c r="I196">
        <f t="shared" si="13"/>
        <v>-8.8237821994182133E-3</v>
      </c>
      <c r="J196">
        <f t="shared" si="13"/>
        <v>3.6632394602926846E-3</v>
      </c>
      <c r="K196">
        <f t="shared" si="13"/>
        <v>-9.1833932144186631E-3</v>
      </c>
      <c r="L196">
        <f t="shared" si="12"/>
        <v>-2.1669463673228734E-3</v>
      </c>
      <c r="M196">
        <f t="shared" si="12"/>
        <v>-3.8690605916407092E-3</v>
      </c>
      <c r="N196">
        <f t="shared" si="12"/>
        <v>1.299855698147003E-3</v>
      </c>
      <c r="O196">
        <f t="shared" si="12"/>
        <v>-9.8249879443765073E-5</v>
      </c>
    </row>
    <row r="197" spans="1:15" x14ac:dyDescent="0.35">
      <c r="A197" s="2">
        <v>45217</v>
      </c>
      <c r="B197">
        <v>173.96571350097659</v>
      </c>
      <c r="C197">
        <v>554.6829833984375</v>
      </c>
      <c r="D197">
        <v>142.50477600097659</v>
      </c>
      <c r="E197">
        <v>138.9261779785156</v>
      </c>
      <c r="F197">
        <v>49.763671875</v>
      </c>
      <c r="G197">
        <v>141.7231750488281</v>
      </c>
      <c r="H197">
        <v>4314.60009765625</v>
      </c>
      <c r="I197">
        <f t="shared" si="13"/>
        <v>-7.4221614851070327E-3</v>
      </c>
      <c r="J197">
        <f t="shared" si="13"/>
        <v>5.2214758811438937E-4</v>
      </c>
      <c r="K197">
        <f t="shared" si="13"/>
        <v>-2.1761151695834754E-2</v>
      </c>
      <c r="L197">
        <f t="shared" si="12"/>
        <v>-1.1041476713735789E-2</v>
      </c>
      <c r="M197">
        <f t="shared" si="12"/>
        <v>-1.7317384691073703E-2</v>
      </c>
      <c r="N197">
        <f t="shared" si="12"/>
        <v>2.5449417811617393E-2</v>
      </c>
      <c r="O197">
        <f t="shared" si="12"/>
        <v>-1.3490408251151898E-2</v>
      </c>
    </row>
    <row r="198" spans="1:15" x14ac:dyDescent="0.35">
      <c r="A198" s="2">
        <v>45218</v>
      </c>
      <c r="B198">
        <v>173.58979797363281</v>
      </c>
      <c r="C198">
        <v>545.98590087890625</v>
      </c>
      <c r="D198">
        <v>142.12223815917969</v>
      </c>
      <c r="E198">
        <v>138.33583068847659</v>
      </c>
      <c r="F198">
        <v>48.969173431396477</v>
      </c>
      <c r="G198">
        <v>140.92561340332031</v>
      </c>
      <c r="H198">
        <v>4278</v>
      </c>
      <c r="I198">
        <f t="shared" si="13"/>
        <v>-2.1631978865066966E-3</v>
      </c>
      <c r="J198">
        <f t="shared" si="13"/>
        <v>-1.5803596619659254E-2</v>
      </c>
      <c r="K198">
        <f t="shared" si="13"/>
        <v>-2.687995538691079E-3</v>
      </c>
      <c r="L198">
        <f t="shared" si="12"/>
        <v>-4.2584138014037281E-3</v>
      </c>
      <c r="M198">
        <f t="shared" si="12"/>
        <v>-1.6094250917980456E-2</v>
      </c>
      <c r="N198">
        <f t="shared" si="12"/>
        <v>-5.6434967697762718E-3</v>
      </c>
      <c r="O198">
        <f t="shared" si="12"/>
        <v>-8.5190323280579759E-3</v>
      </c>
    </row>
    <row r="199" spans="1:15" x14ac:dyDescent="0.35">
      <c r="A199" s="2">
        <v>45219</v>
      </c>
      <c r="B199">
        <v>171.03727722167969</v>
      </c>
      <c r="C199">
        <v>533.72698974609375</v>
      </c>
      <c r="D199">
        <v>142.75672912597659</v>
      </c>
      <c r="E199">
        <v>136.10784912109381</v>
      </c>
      <c r="F199">
        <v>48.567245483398438</v>
      </c>
      <c r="G199">
        <v>140.73553466796881</v>
      </c>
      <c r="H199">
        <v>4224.16015625</v>
      </c>
      <c r="I199">
        <f t="shared" si="13"/>
        <v>-1.4813504872861949E-2</v>
      </c>
      <c r="J199">
        <f t="shared" si="13"/>
        <v>-2.2708699777803286E-2</v>
      </c>
      <c r="K199">
        <f t="shared" si="13"/>
        <v>4.4544672566647998E-3</v>
      </c>
      <c r="L199">
        <f t="shared" si="12"/>
        <v>-1.6236704854858411E-2</v>
      </c>
      <c r="M199">
        <f t="shared" si="12"/>
        <v>-8.2416440451042877E-3</v>
      </c>
      <c r="N199">
        <f t="shared" si="12"/>
        <v>-1.3496981426682109E-3</v>
      </c>
      <c r="O199">
        <f t="shared" si="12"/>
        <v>-1.2665149196155915E-2</v>
      </c>
    </row>
    <row r="200" spans="1:15" x14ac:dyDescent="0.35">
      <c r="A200" s="2">
        <v>45222</v>
      </c>
      <c r="B200">
        <v>171.156005859375</v>
      </c>
      <c r="C200">
        <v>533.109130859375</v>
      </c>
      <c r="D200">
        <v>141.2545471191406</v>
      </c>
      <c r="E200">
        <v>134.25117492675781</v>
      </c>
      <c r="F200">
        <v>48.155975341796882</v>
      </c>
      <c r="G200">
        <v>140.8305969238281</v>
      </c>
      <c r="H200">
        <v>4217.0400390625</v>
      </c>
      <c r="I200">
        <f t="shared" si="13"/>
        <v>6.9392736988083885E-4</v>
      </c>
      <c r="J200">
        <f t="shared" si="13"/>
        <v>-1.1583015307878976E-3</v>
      </c>
      <c r="K200">
        <f t="shared" si="13"/>
        <v>-1.0578425159049141E-2</v>
      </c>
      <c r="L200">
        <f t="shared" si="12"/>
        <v>-1.3735094581625397E-2</v>
      </c>
      <c r="M200">
        <f t="shared" si="12"/>
        <v>-8.504113421285233E-3</v>
      </c>
      <c r="N200">
        <f t="shared" si="12"/>
        <v>6.7523930476886239E-4</v>
      </c>
      <c r="O200">
        <f t="shared" si="12"/>
        <v>-1.6869920654349177E-3</v>
      </c>
    </row>
    <row r="201" spans="1:15" x14ac:dyDescent="0.35">
      <c r="A201" s="2">
        <v>45223</v>
      </c>
      <c r="B201">
        <v>171.59130859375</v>
      </c>
      <c r="C201">
        <v>532.67486572265625</v>
      </c>
      <c r="D201">
        <v>141.105224609375</v>
      </c>
      <c r="E201">
        <v>134.41304016113281</v>
      </c>
      <c r="F201">
        <v>51.520919799804688</v>
      </c>
      <c r="G201">
        <v>142.49412536621091</v>
      </c>
      <c r="H201">
        <v>4247.68017578125</v>
      </c>
      <c r="I201">
        <f t="shared" si="13"/>
        <v>2.5400809871709697E-3</v>
      </c>
      <c r="J201">
        <f t="shared" si="13"/>
        <v>-8.1492152658378799E-4</v>
      </c>
      <c r="K201">
        <f t="shared" si="13"/>
        <v>-1.057675622641349E-3</v>
      </c>
      <c r="L201">
        <f t="shared" si="12"/>
        <v>1.2049632579976865E-3</v>
      </c>
      <c r="M201">
        <f t="shared" si="12"/>
        <v>6.7542705869567995E-2</v>
      </c>
      <c r="N201">
        <f t="shared" si="12"/>
        <v>1.1743045544949439E-2</v>
      </c>
      <c r="O201">
        <f t="shared" si="12"/>
        <v>7.2395235196288195E-3</v>
      </c>
    </row>
    <row r="202" spans="1:15" x14ac:dyDescent="0.35">
      <c r="A202" s="2">
        <v>45224</v>
      </c>
      <c r="B202">
        <v>169.2762451171875</v>
      </c>
      <c r="C202">
        <v>530.88897705078125</v>
      </c>
      <c r="D202">
        <v>141.42247009277341</v>
      </c>
      <c r="E202">
        <v>133.6799011230469</v>
      </c>
      <c r="F202">
        <v>52.773418426513672</v>
      </c>
      <c r="G202">
        <v>143.15953063964841</v>
      </c>
      <c r="H202">
        <v>4186.77001953125</v>
      </c>
      <c r="I202">
        <f t="shared" si="13"/>
        <v>-1.3583569617748753E-2</v>
      </c>
      <c r="J202">
        <f t="shared" si="13"/>
        <v>-3.3583133960164414E-3</v>
      </c>
      <c r="K202">
        <f t="shared" si="13"/>
        <v>2.2457665048916907E-3</v>
      </c>
      <c r="L202">
        <f t="shared" si="12"/>
        <v>-5.4693037580391202E-3</v>
      </c>
      <c r="M202">
        <f t="shared" si="12"/>
        <v>2.4019690158712689E-2</v>
      </c>
      <c r="N202">
        <f t="shared" si="12"/>
        <v>4.6588339619251613E-3</v>
      </c>
      <c r="O202">
        <f t="shared" si="12"/>
        <v>-1.4443434657238052E-2</v>
      </c>
    </row>
    <row r="203" spans="1:15" x14ac:dyDescent="0.35">
      <c r="A203" s="2">
        <v>45225</v>
      </c>
      <c r="B203">
        <v>165.11112976074219</v>
      </c>
      <c r="C203">
        <v>528.58209228515625</v>
      </c>
      <c r="D203">
        <v>139.0245361328125</v>
      </c>
      <c r="E203">
        <v>134.02264404296881</v>
      </c>
      <c r="F203">
        <v>53.810939788818359</v>
      </c>
      <c r="G203">
        <v>142.3990478515625</v>
      </c>
      <c r="H203">
        <v>4137.22998046875</v>
      </c>
      <c r="I203">
        <f t="shared" si="13"/>
        <v>-2.4913206039343081E-2</v>
      </c>
      <c r="J203">
        <f t="shared" si="13"/>
        <v>-4.3547926471626062E-3</v>
      </c>
      <c r="K203">
        <f t="shared" si="13"/>
        <v>-1.7101215890411466E-2</v>
      </c>
      <c r="L203">
        <f t="shared" si="12"/>
        <v>2.5606264369602643E-3</v>
      </c>
      <c r="M203">
        <f t="shared" si="12"/>
        <v>1.9469163243672899E-2</v>
      </c>
      <c r="N203">
        <f t="shared" si="12"/>
        <v>-5.3262948006972694E-3</v>
      </c>
      <c r="O203">
        <f t="shared" si="12"/>
        <v>-1.1903081205584871E-2</v>
      </c>
    </row>
    <row r="204" spans="1:15" x14ac:dyDescent="0.35">
      <c r="A204" s="2">
        <v>45226</v>
      </c>
      <c r="B204">
        <v>166.42692565917969</v>
      </c>
      <c r="C204">
        <v>524.17083740234375</v>
      </c>
      <c r="D204">
        <v>135.85215759277341</v>
      </c>
      <c r="E204">
        <v>129.19532775878909</v>
      </c>
      <c r="F204">
        <v>52.567783355712891</v>
      </c>
      <c r="G204">
        <v>139.8894958496094</v>
      </c>
      <c r="H204">
        <v>4117.3701171875</v>
      </c>
      <c r="I204">
        <f t="shared" si="13"/>
        <v>7.9375672589833968E-3</v>
      </c>
      <c r="J204">
        <f t="shared" si="13"/>
        <v>-8.3804672037927543E-3</v>
      </c>
      <c r="K204">
        <f t="shared" si="13"/>
        <v>-2.3083218578072582E-2</v>
      </c>
      <c r="L204">
        <f t="shared" si="12"/>
        <v>-3.6683343232837388E-2</v>
      </c>
      <c r="M204">
        <f t="shared" si="12"/>
        <v>-2.337333992900912E-2</v>
      </c>
      <c r="N204">
        <f t="shared" si="12"/>
        <v>-1.7780516943878239E-2</v>
      </c>
      <c r="O204">
        <f t="shared" si="12"/>
        <v>-4.81183857862075E-3</v>
      </c>
    </row>
    <row r="205" spans="1:15" x14ac:dyDescent="0.35">
      <c r="A205" s="2">
        <v>45229</v>
      </c>
      <c r="B205">
        <v>168.474853515625</v>
      </c>
      <c r="C205">
        <v>535.60919189453125</v>
      </c>
      <c r="D205">
        <v>137.18638610839841</v>
      </c>
      <c r="E205">
        <v>130.842529296875</v>
      </c>
      <c r="F205">
        <v>53.465103149414063</v>
      </c>
      <c r="G205">
        <v>141.8857116699219</v>
      </c>
      <c r="H205">
        <v>4166.81982421875</v>
      </c>
      <c r="I205">
        <f t="shared" si="13"/>
        <v>1.2230173206961722E-2</v>
      </c>
      <c r="J205">
        <f t="shared" si="13"/>
        <v>2.158711877083281E-2</v>
      </c>
      <c r="K205">
        <f t="shared" si="13"/>
        <v>9.7732658372454428E-3</v>
      </c>
      <c r="L205">
        <f t="shared" si="12"/>
        <v>1.266910586678122E-2</v>
      </c>
      <c r="M205">
        <f t="shared" si="12"/>
        <v>1.692571512815565E-2</v>
      </c>
      <c r="N205">
        <f t="shared" si="12"/>
        <v>1.416909056680102E-2</v>
      </c>
      <c r="O205">
        <f t="shared" si="12"/>
        <v>1.1938474300285915E-2</v>
      </c>
    </row>
    <row r="206" spans="1:15" x14ac:dyDescent="0.35">
      <c r="A206" s="2">
        <v>45230</v>
      </c>
      <c r="B206">
        <v>168.94976806640619</v>
      </c>
      <c r="C206">
        <v>533.25396728515625</v>
      </c>
      <c r="D206">
        <v>138.40870666503909</v>
      </c>
      <c r="E206">
        <v>132.4040222167969</v>
      </c>
      <c r="F206">
        <v>54.493278503417969</v>
      </c>
      <c r="G206">
        <v>142.61769104003909</v>
      </c>
      <c r="H206">
        <v>4193.7998046875</v>
      </c>
      <c r="I206">
        <f t="shared" si="13"/>
        <v>2.8149390056464323E-3</v>
      </c>
      <c r="J206">
        <f t="shared" si="13"/>
        <v>-4.4069783881522584E-3</v>
      </c>
      <c r="K206">
        <f t="shared" si="13"/>
        <v>8.8704668810006427E-3</v>
      </c>
      <c r="L206">
        <f t="shared" si="12"/>
        <v>1.1863488618688921E-2</v>
      </c>
      <c r="M206">
        <f t="shared" si="12"/>
        <v>1.9048200355546611E-2</v>
      </c>
      <c r="N206">
        <f t="shared" si="12"/>
        <v>5.1456747318643099E-3</v>
      </c>
      <c r="O206">
        <f t="shared" si="12"/>
        <v>6.454084821688244E-3</v>
      </c>
    </row>
    <row r="207" spans="1:15" x14ac:dyDescent="0.35">
      <c r="A207" s="2">
        <v>45231</v>
      </c>
      <c r="B207">
        <v>172.1156311035156</v>
      </c>
      <c r="C207">
        <v>537.46246337890625</v>
      </c>
      <c r="D207">
        <v>138.73529052734381</v>
      </c>
      <c r="E207">
        <v>132.2897644042969</v>
      </c>
      <c r="F207">
        <v>54.614784240722663</v>
      </c>
      <c r="G207">
        <v>142.21846008300781</v>
      </c>
      <c r="H207">
        <v>4237.85986328125</v>
      </c>
      <c r="I207">
        <f t="shared" si="13"/>
        <v>1.8565084431184101E-2</v>
      </c>
      <c r="J207">
        <f t="shared" si="13"/>
        <v>7.8611248431478698E-3</v>
      </c>
      <c r="K207">
        <f t="shared" si="13"/>
        <v>2.3567821549703282E-3</v>
      </c>
      <c r="L207">
        <f t="shared" si="12"/>
        <v>-8.6332075304912349E-4</v>
      </c>
      <c r="M207">
        <f t="shared" si="12"/>
        <v>2.2272558870148904E-3</v>
      </c>
      <c r="N207">
        <f t="shared" si="12"/>
        <v>-2.8032341884339671E-3</v>
      </c>
      <c r="O207">
        <f t="shared" si="12"/>
        <v>1.0451194990191868E-2</v>
      </c>
    </row>
    <row r="208" spans="1:15" x14ac:dyDescent="0.35">
      <c r="A208" s="2">
        <v>45232</v>
      </c>
      <c r="B208">
        <v>175.6772766113281</v>
      </c>
      <c r="C208">
        <v>537.646240234375</v>
      </c>
      <c r="D208">
        <v>140.18150329589841</v>
      </c>
      <c r="E208">
        <v>134.65107727050781</v>
      </c>
      <c r="F208">
        <v>55.998153686523438</v>
      </c>
      <c r="G208">
        <v>143.95802307128909</v>
      </c>
      <c r="H208">
        <v>4317.77978515625</v>
      </c>
      <c r="I208">
        <f t="shared" si="13"/>
        <v>2.0482131420050401E-2</v>
      </c>
      <c r="J208">
        <f t="shared" si="13"/>
        <v>3.4187586174513207E-4</v>
      </c>
      <c r="K208">
        <f t="shared" si="13"/>
        <v>1.0370302265173605E-2</v>
      </c>
      <c r="L208">
        <f t="shared" si="12"/>
        <v>1.76921181798806E-2</v>
      </c>
      <c r="M208">
        <f t="shared" si="12"/>
        <v>2.5014100570217791E-2</v>
      </c>
      <c r="N208">
        <f t="shared" si="12"/>
        <v>1.2157423944138003E-2</v>
      </c>
      <c r="O208">
        <f t="shared" si="12"/>
        <v>1.8682938934086474E-2</v>
      </c>
    </row>
    <row r="209" spans="1:15" x14ac:dyDescent="0.35">
      <c r="A209" s="2">
        <v>45233</v>
      </c>
      <c r="B209">
        <v>174.76707458496091</v>
      </c>
      <c r="C209">
        <v>542.413818359375</v>
      </c>
      <c r="D209">
        <v>141.2078552246094</v>
      </c>
      <c r="E209">
        <v>136.15547180175781</v>
      </c>
      <c r="F209">
        <v>55.502758026123047</v>
      </c>
      <c r="G209">
        <v>142.65571594238281</v>
      </c>
      <c r="H209">
        <v>4358.33984375</v>
      </c>
      <c r="I209">
        <f t="shared" si="13"/>
        <v>-5.1945712348766349E-3</v>
      </c>
      <c r="J209">
        <f t="shared" si="13"/>
        <v>8.8284147771333643E-3</v>
      </c>
      <c r="K209">
        <f t="shared" si="13"/>
        <v>7.2949203596065085E-3</v>
      </c>
      <c r="L209">
        <f t="shared" si="12"/>
        <v>1.1110588072739683E-2</v>
      </c>
      <c r="M209">
        <f t="shared" si="12"/>
        <v>-8.8860066260666726E-3</v>
      </c>
      <c r="N209">
        <f t="shared" si="12"/>
        <v>-9.0876040758739104E-3</v>
      </c>
      <c r="O209">
        <f t="shared" si="12"/>
        <v>9.3498835445514593E-3</v>
      </c>
    </row>
    <row r="210" spans="1:15" x14ac:dyDescent="0.35">
      <c r="A210" s="2">
        <v>45236</v>
      </c>
      <c r="B210">
        <v>177.31956481933591</v>
      </c>
      <c r="C210">
        <v>551.03985595703125</v>
      </c>
      <c r="D210">
        <v>141.54376220703119</v>
      </c>
      <c r="E210">
        <v>137.18376159667969</v>
      </c>
      <c r="F210">
        <v>55.184959411621087</v>
      </c>
      <c r="G210">
        <v>143.4827575683594</v>
      </c>
      <c r="H210">
        <v>4365.97998046875</v>
      </c>
      <c r="I210">
        <f t="shared" si="13"/>
        <v>1.4499470681579474E-2</v>
      </c>
      <c r="J210">
        <f t="shared" si="13"/>
        <v>1.5777927769306737E-2</v>
      </c>
      <c r="K210">
        <f t="shared" si="13"/>
        <v>2.3759874019328268E-3</v>
      </c>
      <c r="L210">
        <f t="shared" si="12"/>
        <v>7.5239447558823041E-3</v>
      </c>
      <c r="M210">
        <f t="shared" si="12"/>
        <v>-5.7422719540597073E-3</v>
      </c>
      <c r="N210">
        <f t="shared" si="12"/>
        <v>5.7807251077926563E-3</v>
      </c>
      <c r="O210">
        <f t="shared" si="12"/>
        <v>1.7514577241005862E-3</v>
      </c>
    </row>
    <row r="211" spans="1:15" x14ac:dyDescent="0.35">
      <c r="A211" s="2">
        <v>45237</v>
      </c>
      <c r="B211">
        <v>179.8819885253906</v>
      </c>
      <c r="C211">
        <v>552.4420166015625</v>
      </c>
      <c r="D211">
        <v>140.79730224609381</v>
      </c>
      <c r="E211">
        <v>137.11712646484381</v>
      </c>
      <c r="F211">
        <v>54.642826080322273</v>
      </c>
      <c r="G211">
        <v>143.1500244140625</v>
      </c>
      <c r="H211">
        <v>4378.3798828125</v>
      </c>
      <c r="I211">
        <f t="shared" si="13"/>
        <v>1.4347460911493921E-2</v>
      </c>
      <c r="J211">
        <f t="shared" si="13"/>
        <v>2.5413401598053374E-3</v>
      </c>
      <c r="K211">
        <f t="shared" si="13"/>
        <v>-5.2876594596201624E-3</v>
      </c>
      <c r="L211">
        <f t="shared" si="12"/>
        <v>-4.8585430122074298E-4</v>
      </c>
      <c r="M211">
        <f t="shared" si="12"/>
        <v>-9.8725059815689912E-3</v>
      </c>
      <c r="N211">
        <f t="shared" si="12"/>
        <v>-2.3216695693522704E-3</v>
      </c>
      <c r="O211">
        <f t="shared" si="12"/>
        <v>2.8360934017119537E-3</v>
      </c>
    </row>
    <row r="212" spans="1:15" x14ac:dyDescent="0.35">
      <c r="A212" s="2">
        <v>45238</v>
      </c>
      <c r="B212">
        <v>180.9405822753906</v>
      </c>
      <c r="C212">
        <v>548.6802978515625</v>
      </c>
      <c r="D212">
        <v>140.2841491699219</v>
      </c>
      <c r="E212">
        <v>137.7931213378906</v>
      </c>
      <c r="F212">
        <v>53.745510101318359</v>
      </c>
      <c r="G212">
        <v>142.59869384765619</v>
      </c>
      <c r="H212">
        <v>4382.77978515625</v>
      </c>
      <c r="I212">
        <f t="shared" si="13"/>
        <v>5.8676860757787327E-3</v>
      </c>
      <c r="J212">
        <f t="shared" si="13"/>
        <v>-6.8325440958660125E-3</v>
      </c>
      <c r="K212">
        <f t="shared" si="13"/>
        <v>-3.6512807493582285E-3</v>
      </c>
      <c r="L212">
        <f t="shared" si="12"/>
        <v>4.9179413348553365E-3</v>
      </c>
      <c r="M212">
        <f t="shared" si="12"/>
        <v>-1.6557805226456442E-2</v>
      </c>
      <c r="N212">
        <f t="shared" si="12"/>
        <v>-3.8588537082784513E-3</v>
      </c>
      <c r="O212">
        <f t="shared" si="12"/>
        <v>1.0044110324198868E-3</v>
      </c>
    </row>
    <row r="213" spans="1:15" x14ac:dyDescent="0.35">
      <c r="A213" s="2">
        <v>45239</v>
      </c>
      <c r="B213">
        <v>180.46568298339841</v>
      </c>
      <c r="C213">
        <v>544.7056884765625</v>
      </c>
      <c r="D213">
        <v>137.55029296875</v>
      </c>
      <c r="E213">
        <v>137.38371276855469</v>
      </c>
      <c r="F213">
        <v>51.14703369140625</v>
      </c>
      <c r="G213">
        <v>142.921875</v>
      </c>
      <c r="H213">
        <v>4347.35009765625</v>
      </c>
      <c r="I213">
        <f t="shared" si="13"/>
        <v>-2.6280649284557522E-3</v>
      </c>
      <c r="J213">
        <f t="shared" si="13"/>
        <v>-7.2703088058084188E-3</v>
      </c>
      <c r="K213">
        <f t="shared" si="13"/>
        <v>-1.968038533141056E-2</v>
      </c>
      <c r="L213">
        <f t="shared" si="12"/>
        <v>-2.9756056518957757E-3</v>
      </c>
      <c r="M213">
        <f t="shared" si="12"/>
        <v>-4.9555632151828358E-2</v>
      </c>
      <c r="N213">
        <f t="shared" si="12"/>
        <v>2.2638039120491233E-3</v>
      </c>
      <c r="O213">
        <f t="shared" si="12"/>
        <v>-8.116690699068705E-3</v>
      </c>
    </row>
    <row r="214" spans="1:15" x14ac:dyDescent="0.35">
      <c r="A214" s="2">
        <v>45240</v>
      </c>
      <c r="B214">
        <v>184.6560974121094</v>
      </c>
      <c r="C214">
        <v>558.09918212890625</v>
      </c>
      <c r="D214">
        <v>137.3916931152344</v>
      </c>
      <c r="E214">
        <v>139.42127990722659</v>
      </c>
      <c r="F214">
        <v>51.539608001708977</v>
      </c>
      <c r="G214">
        <v>143.92950439453119</v>
      </c>
      <c r="H214">
        <v>4415.240234375</v>
      </c>
      <c r="I214">
        <f t="shared" si="13"/>
        <v>2.2954524488948955E-2</v>
      </c>
      <c r="J214">
        <f t="shared" si="13"/>
        <v>2.429106468174597E-2</v>
      </c>
      <c r="K214">
        <f t="shared" si="13"/>
        <v>-1.1536969916172261E-3</v>
      </c>
      <c r="L214">
        <f t="shared" si="12"/>
        <v>1.4722306283356445E-2</v>
      </c>
      <c r="M214">
        <f t="shared" si="12"/>
        <v>7.6461011172011366E-3</v>
      </c>
      <c r="N214">
        <f t="shared" si="12"/>
        <v>7.025474593449238E-3</v>
      </c>
      <c r="O214">
        <f t="shared" si="12"/>
        <v>1.5495759270772258E-2</v>
      </c>
    </row>
    <row r="215" spans="1:15" x14ac:dyDescent="0.35">
      <c r="A215" s="2">
        <v>45243</v>
      </c>
      <c r="B215">
        <v>183.07110595703119</v>
      </c>
      <c r="C215">
        <v>559.17266845703125</v>
      </c>
      <c r="D215">
        <v>137.7462463378906</v>
      </c>
      <c r="E215">
        <v>138.80238342285159</v>
      </c>
      <c r="F215">
        <v>50.941402435302727</v>
      </c>
      <c r="G215">
        <v>144.92762756347659</v>
      </c>
      <c r="H215">
        <v>4411.5498046875</v>
      </c>
      <c r="I215">
        <f t="shared" si="13"/>
        <v>-8.6205276958884209E-3</v>
      </c>
      <c r="J215">
        <f t="shared" si="13"/>
        <v>1.9216212381867543E-3</v>
      </c>
      <c r="K215">
        <f t="shared" si="13"/>
        <v>2.5772775620600784E-3</v>
      </c>
      <c r="L215">
        <f t="shared" si="12"/>
        <v>-4.448920683307862E-3</v>
      </c>
      <c r="M215">
        <f t="shared" si="12"/>
        <v>-1.167459919202485E-2</v>
      </c>
      <c r="N215">
        <f t="shared" si="12"/>
        <v>6.9108706765713098E-3</v>
      </c>
      <c r="O215">
        <f t="shared" si="12"/>
        <v>-8.3618844137008466E-4</v>
      </c>
    </row>
    <row r="216" spans="1:15" x14ac:dyDescent="0.35">
      <c r="A216" s="2">
        <v>45244</v>
      </c>
      <c r="B216">
        <v>185.6864013671875</v>
      </c>
      <c r="C216">
        <v>571.32830810546875</v>
      </c>
      <c r="D216">
        <v>137.77424621582031</v>
      </c>
      <c r="E216">
        <v>141.3350830078125</v>
      </c>
      <c r="F216">
        <v>53.792247772216797</v>
      </c>
      <c r="G216">
        <v>144.60444641113281</v>
      </c>
      <c r="H216">
        <v>4495.7001953125</v>
      </c>
      <c r="I216">
        <f t="shared" si="13"/>
        <v>1.4184602121937773E-2</v>
      </c>
      <c r="J216">
        <f t="shared" si="13"/>
        <v>2.1505701260913463E-2</v>
      </c>
      <c r="K216">
        <f t="shared" si="13"/>
        <v>2.0325078375547817E-4</v>
      </c>
      <c r="L216">
        <f t="shared" si="12"/>
        <v>1.8082326699826762E-2</v>
      </c>
      <c r="M216">
        <f t="shared" si="12"/>
        <v>5.4453363038743659E-2</v>
      </c>
      <c r="N216">
        <f t="shared" si="12"/>
        <v>-2.2324385836033412E-3</v>
      </c>
      <c r="O216">
        <f t="shared" si="12"/>
        <v>1.8895370474577251E-2</v>
      </c>
    </row>
    <row r="217" spans="1:15" x14ac:dyDescent="0.35">
      <c r="A217" s="2">
        <v>45245</v>
      </c>
      <c r="B217">
        <v>186.2510681152344</v>
      </c>
      <c r="C217">
        <v>577.11126708984375</v>
      </c>
      <c r="D217">
        <v>138.8379211425781</v>
      </c>
      <c r="E217">
        <v>142.5728454589844</v>
      </c>
      <c r="F217">
        <v>53.278163909912109</v>
      </c>
      <c r="G217">
        <v>143.9389953613281</v>
      </c>
      <c r="H217">
        <v>4502.8798828125</v>
      </c>
      <c r="I217">
        <f t="shared" si="13"/>
        <v>3.0363554532928335E-3</v>
      </c>
      <c r="J217">
        <f t="shared" si="13"/>
        <v>1.0071070325249782E-2</v>
      </c>
      <c r="K217">
        <f t="shared" si="13"/>
        <v>7.6907692077190695E-3</v>
      </c>
      <c r="L217">
        <f t="shared" si="12"/>
        <v>8.7195190363596447E-3</v>
      </c>
      <c r="M217">
        <f t="shared" si="12"/>
        <v>-9.6027988440239506E-3</v>
      </c>
      <c r="N217">
        <f t="shared" si="12"/>
        <v>-4.612492493405178E-3</v>
      </c>
      <c r="O217">
        <f t="shared" si="12"/>
        <v>1.5957382078471765E-3</v>
      </c>
    </row>
    <row r="218" spans="1:15" x14ac:dyDescent="0.35">
      <c r="A218" s="2">
        <v>45246</v>
      </c>
      <c r="B218">
        <v>187.9351501464844</v>
      </c>
      <c r="C218">
        <v>559.5111083984375</v>
      </c>
      <c r="D218">
        <v>140.0509033203125</v>
      </c>
      <c r="E218">
        <v>144.20100402832031</v>
      </c>
      <c r="F218">
        <v>52.904281616210938</v>
      </c>
      <c r="G218">
        <v>145.27935791015619</v>
      </c>
      <c r="H218">
        <v>4508.240234375</v>
      </c>
      <c r="I218">
        <f t="shared" si="13"/>
        <v>9.0013652029234115E-3</v>
      </c>
      <c r="J218">
        <f t="shared" si="13"/>
        <v>-3.0971703453892649E-2</v>
      </c>
      <c r="K218">
        <f t="shared" si="13"/>
        <v>8.6987338321579417E-3</v>
      </c>
      <c r="L218">
        <f t="shared" si="12"/>
        <v>1.1355122279178828E-2</v>
      </c>
      <c r="M218">
        <f t="shared" si="12"/>
        <v>-7.0422909744873637E-3</v>
      </c>
      <c r="N218">
        <f t="shared" si="12"/>
        <v>9.2689286822298621E-3</v>
      </c>
      <c r="O218">
        <f t="shared" ref="O218:O281" si="14">LN(H218/H217)</f>
        <v>1.1897193967137305E-3</v>
      </c>
    </row>
    <row r="219" spans="1:15" x14ac:dyDescent="0.35">
      <c r="A219" s="2">
        <v>45247</v>
      </c>
      <c r="B219">
        <v>187.91532897949219</v>
      </c>
      <c r="C219">
        <v>558.128173828125</v>
      </c>
      <c r="D219">
        <v>139.7616271972656</v>
      </c>
      <c r="E219">
        <v>145.50544738769531</v>
      </c>
      <c r="F219">
        <v>53.624004364013672</v>
      </c>
      <c r="G219">
        <v>143.6063232421875</v>
      </c>
      <c r="H219">
        <v>4514.02001953125</v>
      </c>
      <c r="I219">
        <f t="shared" si="13"/>
        <v>-1.0547368228284224E-4</v>
      </c>
      <c r="J219">
        <f t="shared" si="13"/>
        <v>-2.4747435028516416E-3</v>
      </c>
      <c r="K219">
        <f t="shared" si="13"/>
        <v>-2.0676431149812737E-3</v>
      </c>
      <c r="L219">
        <f t="shared" si="13"/>
        <v>9.0053374263952476E-3</v>
      </c>
      <c r="M219">
        <f t="shared" si="13"/>
        <v>1.351253692383028E-2</v>
      </c>
      <c r="N219">
        <f t="shared" si="13"/>
        <v>-1.1582805807298039E-2</v>
      </c>
      <c r="O219">
        <f t="shared" si="14"/>
        <v>1.2812279371779871E-3</v>
      </c>
    </row>
    <row r="220" spans="1:15" x14ac:dyDescent="0.35">
      <c r="A220" s="2">
        <v>45250</v>
      </c>
      <c r="B220">
        <v>189.65887451171881</v>
      </c>
      <c r="C220">
        <v>561.65789794921875</v>
      </c>
      <c r="D220">
        <v>140.99372863769531</v>
      </c>
      <c r="E220">
        <v>145.95292663574219</v>
      </c>
      <c r="F220">
        <v>53.595962524414063</v>
      </c>
      <c r="G220">
        <v>142.8458251953125</v>
      </c>
      <c r="H220">
        <v>4547.3798828125</v>
      </c>
      <c r="I220">
        <f t="shared" ref="I220:N262" si="15">LN(B220/B219)</f>
        <v>9.2355775855102844E-3</v>
      </c>
      <c r="J220">
        <f t="shared" si="15"/>
        <v>6.3043038318961412E-3</v>
      </c>
      <c r="K220">
        <f t="shared" si="15"/>
        <v>8.7771030874465115E-3</v>
      </c>
      <c r="L220">
        <f t="shared" si="15"/>
        <v>3.0706244151882584E-3</v>
      </c>
      <c r="M220">
        <f t="shared" si="15"/>
        <v>-5.2307123482231758E-4</v>
      </c>
      <c r="N220">
        <f t="shared" si="15"/>
        <v>-5.3097862089832078E-3</v>
      </c>
      <c r="O220">
        <f t="shared" si="14"/>
        <v>7.3631037937956327E-3</v>
      </c>
    </row>
    <row r="221" spans="1:15" x14ac:dyDescent="0.35">
      <c r="A221" s="2">
        <v>45251</v>
      </c>
      <c r="B221">
        <v>188.85646057128909</v>
      </c>
      <c r="C221">
        <v>565.04254150390625</v>
      </c>
      <c r="D221">
        <v>142.1317443847656</v>
      </c>
      <c r="E221">
        <v>145.64825439453119</v>
      </c>
      <c r="F221">
        <v>54.194175720214837</v>
      </c>
      <c r="G221">
        <v>142.21846008300781</v>
      </c>
      <c r="H221">
        <v>4538.18994140625</v>
      </c>
      <c r="I221">
        <f t="shared" si="15"/>
        <v>-4.2398025552359718E-3</v>
      </c>
      <c r="J221">
        <f t="shared" si="15"/>
        <v>6.0080809724801154E-3</v>
      </c>
      <c r="K221">
        <f t="shared" si="15"/>
        <v>8.0389931972064121E-3</v>
      </c>
      <c r="L221">
        <f t="shared" si="15"/>
        <v>-2.0896510158204882E-3</v>
      </c>
      <c r="M221">
        <f t="shared" si="15"/>
        <v>1.1099704432281072E-2</v>
      </c>
      <c r="N221">
        <f t="shared" si="15"/>
        <v>-4.4015764694359527E-3</v>
      </c>
      <c r="O221">
        <f t="shared" si="14"/>
        <v>-2.0229759317579679E-3</v>
      </c>
    </row>
    <row r="222" spans="1:15" x14ac:dyDescent="0.35">
      <c r="A222" s="2">
        <v>45252</v>
      </c>
      <c r="B222">
        <v>189.52018737792969</v>
      </c>
      <c r="C222">
        <v>569.6650390625</v>
      </c>
      <c r="D222">
        <v>141.84959411621091</v>
      </c>
      <c r="E222">
        <v>145.99102783203119</v>
      </c>
      <c r="F222">
        <v>54.154598236083977</v>
      </c>
      <c r="G222">
        <v>143.55877685546881</v>
      </c>
      <c r="H222">
        <v>4556.6201171875</v>
      </c>
      <c r="I222">
        <f t="shared" si="15"/>
        <v>3.5082899063972979E-3</v>
      </c>
      <c r="J222">
        <f t="shared" si="15"/>
        <v>8.1475143175479946E-3</v>
      </c>
      <c r="K222">
        <f t="shared" si="15"/>
        <v>-1.9871049477071636E-3</v>
      </c>
      <c r="L222">
        <f t="shared" si="15"/>
        <v>2.3506682139657837E-3</v>
      </c>
      <c r="M222">
        <f t="shared" si="15"/>
        <v>-7.3055715253546305E-4</v>
      </c>
      <c r="N222">
        <f t="shared" si="15"/>
        <v>9.3802194640312409E-3</v>
      </c>
      <c r="O222">
        <f t="shared" si="14"/>
        <v>4.0529050943133244E-3</v>
      </c>
    </row>
    <row r="223" spans="1:15" x14ac:dyDescent="0.35">
      <c r="A223" s="2">
        <v>45254</v>
      </c>
      <c r="B223">
        <v>188.19273376464841</v>
      </c>
      <c r="C223">
        <v>571.869873046875</v>
      </c>
      <c r="D223">
        <v>143.42967224121091</v>
      </c>
      <c r="E223">
        <v>146.19096374511719</v>
      </c>
      <c r="F223">
        <v>54.229976654052727</v>
      </c>
      <c r="G223">
        <v>143.90098571777341</v>
      </c>
      <c r="H223">
        <v>4559.33984375</v>
      </c>
      <c r="I223">
        <f t="shared" si="15"/>
        <v>-7.0289312560190597E-3</v>
      </c>
      <c r="J223">
        <f t="shared" si="15"/>
        <v>3.8629334989994037E-3</v>
      </c>
      <c r="K223">
        <f t="shared" si="15"/>
        <v>1.1077526263769561E-2</v>
      </c>
      <c r="L223">
        <f t="shared" si="15"/>
        <v>1.3685713018330467E-3</v>
      </c>
      <c r="M223">
        <f t="shared" si="15"/>
        <v>1.3909438718230618E-3</v>
      </c>
      <c r="N223">
        <f t="shared" si="15"/>
        <v>2.380917738885087E-3</v>
      </c>
      <c r="O223">
        <f t="shared" si="14"/>
        <v>5.9669560964503222E-4</v>
      </c>
    </row>
    <row r="224" spans="1:15" x14ac:dyDescent="0.35">
      <c r="A224" s="2">
        <v>45257</v>
      </c>
      <c r="B224">
        <v>188.01438903808591</v>
      </c>
      <c r="C224">
        <v>575.293212890625</v>
      </c>
      <c r="D224">
        <v>142.28224182128909</v>
      </c>
      <c r="E224">
        <v>145.85772705078119</v>
      </c>
      <c r="F224">
        <v>54.258251190185547</v>
      </c>
      <c r="G224">
        <v>143.76792907714841</v>
      </c>
      <c r="H224">
        <v>4550.43017578125</v>
      </c>
      <c r="I224">
        <f t="shared" si="15"/>
        <v>-9.4811995367772531E-4</v>
      </c>
      <c r="J224">
        <f t="shared" si="15"/>
        <v>5.9683754607385755E-3</v>
      </c>
      <c r="K224">
        <f t="shared" si="15"/>
        <v>-8.0321227944078928E-3</v>
      </c>
      <c r="L224">
        <f t="shared" si="15"/>
        <v>-2.2820635699300289E-3</v>
      </c>
      <c r="M224">
        <f t="shared" si="15"/>
        <v>5.2124617269243636E-4</v>
      </c>
      <c r="N224">
        <f t="shared" si="15"/>
        <v>-9.250679741220298E-4</v>
      </c>
      <c r="O224">
        <f t="shared" si="14"/>
        <v>-1.9560693168983586E-3</v>
      </c>
    </row>
    <row r="225" spans="1:15" x14ac:dyDescent="0.35">
      <c r="A225" s="2">
        <v>45258</v>
      </c>
      <c r="B225">
        <v>188.61869812011719</v>
      </c>
      <c r="C225">
        <v>574.4229736328125</v>
      </c>
      <c r="D225">
        <v>142.61143493652341</v>
      </c>
      <c r="E225">
        <v>146.19096374511719</v>
      </c>
      <c r="F225">
        <v>54.804790496826172</v>
      </c>
      <c r="G225">
        <v>144.76603698730469</v>
      </c>
      <c r="H225">
        <v>4554.89013671875</v>
      </c>
      <c r="I225">
        <f t="shared" si="15"/>
        <v>3.2090096235348618E-3</v>
      </c>
      <c r="J225">
        <f t="shared" si="15"/>
        <v>-1.5138334733501343E-3</v>
      </c>
      <c r="K225">
        <f t="shared" si="15"/>
        <v>2.3109902998909122E-3</v>
      </c>
      <c r="L225">
        <f t="shared" si="15"/>
        <v>2.2820635699301725E-3</v>
      </c>
      <c r="M225">
        <f t="shared" si="15"/>
        <v>1.002253143173162E-2</v>
      </c>
      <c r="N225">
        <f t="shared" si="15"/>
        <v>6.918505332523737E-3</v>
      </c>
      <c r="O225">
        <f t="shared" si="14"/>
        <v>9.7963852805029177E-4</v>
      </c>
    </row>
    <row r="226" spans="1:15" x14ac:dyDescent="0.35">
      <c r="A226" s="2">
        <v>45259</v>
      </c>
      <c r="B226">
        <v>187.59832763671881</v>
      </c>
      <c r="C226">
        <v>568.4852294921875</v>
      </c>
      <c r="D226">
        <v>143.06285095214841</v>
      </c>
      <c r="E226">
        <v>146.93363952636719</v>
      </c>
      <c r="F226">
        <v>54.993255615234382</v>
      </c>
      <c r="G226">
        <v>143.66334533691409</v>
      </c>
      <c r="H226">
        <v>4550.580078125</v>
      </c>
      <c r="I226">
        <f t="shared" si="15"/>
        <v>-5.4243849453054788E-3</v>
      </c>
      <c r="J226">
        <f t="shared" si="15"/>
        <v>-1.0390681504073206E-2</v>
      </c>
      <c r="K226">
        <f t="shared" si="15"/>
        <v>3.1603571875145654E-3</v>
      </c>
      <c r="L226">
        <f t="shared" si="15"/>
        <v>5.0673151427294959E-3</v>
      </c>
      <c r="M226">
        <f t="shared" si="15"/>
        <v>3.4329445772828967E-3</v>
      </c>
      <c r="N226">
        <f t="shared" si="15"/>
        <v>-7.6462183836721381E-3</v>
      </c>
      <c r="O226">
        <f t="shared" si="14"/>
        <v>-9.4669661510193815E-4</v>
      </c>
    </row>
    <row r="227" spans="1:15" x14ac:dyDescent="0.35">
      <c r="A227" s="2">
        <v>45260</v>
      </c>
      <c r="B227">
        <v>188.17289733886719</v>
      </c>
      <c r="C227">
        <v>573.204345703125</v>
      </c>
      <c r="D227">
        <v>145.4612121582031</v>
      </c>
      <c r="E227">
        <v>148.6094055175781</v>
      </c>
      <c r="F227">
        <v>55.134590148925781</v>
      </c>
      <c r="G227">
        <v>145.9352722167969</v>
      </c>
      <c r="H227">
        <v>4567.7998046875</v>
      </c>
      <c r="I227">
        <f t="shared" si="15"/>
        <v>3.0580848757717186E-3</v>
      </c>
      <c r="J227">
        <f t="shared" si="15"/>
        <v>8.2669460941855507E-3</v>
      </c>
      <c r="K227">
        <f t="shared" si="15"/>
        <v>1.6625417118393018E-2</v>
      </c>
      <c r="L227">
        <f t="shared" si="15"/>
        <v>1.1340371417711527E-2</v>
      </c>
      <c r="M227">
        <f t="shared" si="15"/>
        <v>2.5667370555555093E-3</v>
      </c>
      <c r="N227">
        <f t="shared" si="15"/>
        <v>1.5690499558960912E-2</v>
      </c>
      <c r="O227">
        <f t="shared" si="14"/>
        <v>3.7769312649946051E-3</v>
      </c>
    </row>
    <row r="228" spans="1:15" x14ac:dyDescent="0.35">
      <c r="A228" s="2">
        <v>45261</v>
      </c>
      <c r="B228">
        <v>189.4508361816406</v>
      </c>
      <c r="C228">
        <v>576.59869384765625</v>
      </c>
      <c r="D228">
        <v>148.95994567871091</v>
      </c>
      <c r="E228">
        <v>149.33299255371091</v>
      </c>
      <c r="F228">
        <v>55.756519317626953</v>
      </c>
      <c r="G228">
        <v>145.1177673339844</v>
      </c>
      <c r="H228">
        <v>4594.6298828125</v>
      </c>
      <c r="I228">
        <f t="shared" si="15"/>
        <v>6.7683442957294868E-3</v>
      </c>
      <c r="J228">
        <f t="shared" si="15"/>
        <v>5.9042425326265718E-3</v>
      </c>
      <c r="K228">
        <f t="shared" si="15"/>
        <v>2.3767980891560913E-2</v>
      </c>
      <c r="L228">
        <f t="shared" si="15"/>
        <v>4.857237260852635E-3</v>
      </c>
      <c r="M228">
        <f t="shared" si="15"/>
        <v>1.1217052344845147E-2</v>
      </c>
      <c r="N228">
        <f t="shared" si="15"/>
        <v>-5.6175811386229508E-3</v>
      </c>
      <c r="O228">
        <f t="shared" si="14"/>
        <v>5.8565589538466366E-3</v>
      </c>
    </row>
    <row r="229" spans="1:15" x14ac:dyDescent="0.35">
      <c r="A229" s="2">
        <v>45264</v>
      </c>
      <c r="B229">
        <v>187.6577453613281</v>
      </c>
      <c r="C229">
        <v>579.33551025390625</v>
      </c>
      <c r="D229">
        <v>149.4302062988281</v>
      </c>
      <c r="E229">
        <v>150.427978515625</v>
      </c>
      <c r="F229">
        <v>55.285362243652337</v>
      </c>
      <c r="G229">
        <v>144.54740905761719</v>
      </c>
      <c r="H229">
        <v>4569.77978515625</v>
      </c>
      <c r="I229">
        <f t="shared" si="15"/>
        <v>-9.5097508849588466E-3</v>
      </c>
      <c r="J229">
        <f t="shared" si="15"/>
        <v>4.7352548448245328E-3</v>
      </c>
      <c r="K229">
        <f t="shared" si="15"/>
        <v>3.15198746565946E-3</v>
      </c>
      <c r="L229">
        <f t="shared" si="15"/>
        <v>7.3057598414513576E-3</v>
      </c>
      <c r="M229">
        <f t="shared" si="15"/>
        <v>-8.4861656679133847E-3</v>
      </c>
      <c r="N229">
        <f t="shared" si="15"/>
        <v>-3.9380571774562086E-3</v>
      </c>
      <c r="O229">
        <f t="shared" si="14"/>
        <v>-5.4231880638269427E-3</v>
      </c>
    </row>
    <row r="230" spans="1:15" x14ac:dyDescent="0.35">
      <c r="A230" s="2">
        <v>45265</v>
      </c>
      <c r="B230">
        <v>191.61042785644531</v>
      </c>
      <c r="C230">
        <v>585.39874267578125</v>
      </c>
      <c r="D230">
        <v>149.11981201171881</v>
      </c>
      <c r="E230">
        <v>150.4089660644531</v>
      </c>
      <c r="F230">
        <v>54.870750427246087</v>
      </c>
      <c r="G230">
        <v>139.5092468261719</v>
      </c>
      <c r="H230">
        <v>4567.18017578125</v>
      </c>
      <c r="I230">
        <f t="shared" si="15"/>
        <v>2.0844488891281519E-2</v>
      </c>
      <c r="J230">
        <f t="shared" si="15"/>
        <v>1.0411451671278027E-2</v>
      </c>
      <c r="K230">
        <f t="shared" si="15"/>
        <v>-2.0793460385827201E-3</v>
      </c>
      <c r="L230">
        <f t="shared" si="15"/>
        <v>-1.2639705022770561E-4</v>
      </c>
      <c r="M230">
        <f t="shared" si="15"/>
        <v>-7.5277488330372233E-3</v>
      </c>
      <c r="N230">
        <f t="shared" si="15"/>
        <v>-3.5476659549839605E-2</v>
      </c>
      <c r="O230">
        <f t="shared" si="14"/>
        <v>-5.6903159393480261E-4</v>
      </c>
    </row>
    <row r="231" spans="1:15" x14ac:dyDescent="0.35">
      <c r="A231" s="2">
        <v>45266</v>
      </c>
      <c r="B231">
        <v>190.520751953125</v>
      </c>
      <c r="C231">
        <v>587.4102783203125</v>
      </c>
      <c r="D231">
        <v>147.30461120605469</v>
      </c>
      <c r="E231">
        <v>148.8283996582031</v>
      </c>
      <c r="F231">
        <v>56.727104187011719</v>
      </c>
      <c r="G231">
        <v>139.4046936035156</v>
      </c>
      <c r="H231">
        <v>4549.33984375</v>
      </c>
      <c r="I231">
        <f t="shared" si="15"/>
        <v>-5.7031664227871212E-3</v>
      </c>
      <c r="J231">
        <f t="shared" si="15"/>
        <v>3.4302901512172847E-3</v>
      </c>
      <c r="K231">
        <f t="shared" si="15"/>
        <v>-1.224746244566193E-2</v>
      </c>
      <c r="L231">
        <f t="shared" si="15"/>
        <v>-1.0564062423127431E-2</v>
      </c>
      <c r="M231">
        <f t="shared" si="15"/>
        <v>3.327169706906774E-2</v>
      </c>
      <c r="N231">
        <f t="shared" si="15"/>
        <v>-7.4971675773873882E-4</v>
      </c>
      <c r="O231">
        <f t="shared" si="14"/>
        <v>-3.9138519449437468E-3</v>
      </c>
    </row>
    <row r="232" spans="1:15" x14ac:dyDescent="0.35">
      <c r="A232" s="2">
        <v>45267</v>
      </c>
      <c r="B232">
        <v>192.45249938964841</v>
      </c>
      <c r="C232">
        <v>590.8143310546875</v>
      </c>
      <c r="D232">
        <v>146.15718078613281</v>
      </c>
      <c r="E232">
        <v>149.285400390625</v>
      </c>
      <c r="F232">
        <v>56.397285461425781</v>
      </c>
      <c r="G232">
        <v>139.2620849609375</v>
      </c>
      <c r="H232">
        <v>4585.58984375</v>
      </c>
      <c r="I232">
        <f t="shared" si="15"/>
        <v>1.0088244090051516E-2</v>
      </c>
      <c r="J232">
        <f t="shared" si="15"/>
        <v>5.7782907922245916E-3</v>
      </c>
      <c r="K232">
        <f t="shared" si="15"/>
        <v>-7.8200045019615905E-3</v>
      </c>
      <c r="L232">
        <f t="shared" si="15"/>
        <v>3.0659505888887256E-3</v>
      </c>
      <c r="M232">
        <f t="shared" si="15"/>
        <v>-5.8310972751922695E-3</v>
      </c>
      <c r="N232">
        <f t="shared" si="15"/>
        <v>-1.0235066825122021E-3</v>
      </c>
      <c r="O232">
        <f t="shared" si="14"/>
        <v>7.9366106848219216E-3</v>
      </c>
    </row>
    <row r="233" spans="1:15" x14ac:dyDescent="0.35">
      <c r="A233" s="2">
        <v>45268</v>
      </c>
      <c r="B233">
        <v>193.87901306152341</v>
      </c>
      <c r="C233">
        <v>590.6497802734375</v>
      </c>
      <c r="D233">
        <v>145.2355041503906</v>
      </c>
      <c r="E233">
        <v>150.9326171875</v>
      </c>
      <c r="F233">
        <v>56.255947113037109</v>
      </c>
      <c r="G233">
        <v>137.97880554199219</v>
      </c>
      <c r="H233">
        <v>4604.3701171875</v>
      </c>
      <c r="I233">
        <f t="shared" si="15"/>
        <v>7.3849536426912419E-3</v>
      </c>
      <c r="J233">
        <f t="shared" si="15"/>
        <v>-2.7855400893893258E-4</v>
      </c>
      <c r="K233">
        <f t="shared" si="15"/>
        <v>-6.3260318949399609E-3</v>
      </c>
      <c r="L233">
        <f t="shared" si="15"/>
        <v>1.0973580732286001E-2</v>
      </c>
      <c r="M233">
        <f t="shared" si="15"/>
        <v>-2.50926527928286E-3</v>
      </c>
      <c r="N233">
        <f t="shared" si="15"/>
        <v>-9.2575707835734853E-3</v>
      </c>
      <c r="O233">
        <f t="shared" si="14"/>
        <v>4.0871341465037936E-3</v>
      </c>
    </row>
    <row r="234" spans="1:15" x14ac:dyDescent="0.35">
      <c r="A234" s="2">
        <v>45271</v>
      </c>
      <c r="B234">
        <v>191.3726806640625</v>
      </c>
      <c r="C234">
        <v>603.29876708984375</v>
      </c>
      <c r="D234">
        <v>145.83741760253909</v>
      </c>
      <c r="E234">
        <v>151.4848327636719</v>
      </c>
      <c r="F234">
        <v>56.265365600585938</v>
      </c>
      <c r="G234">
        <v>138.6156921386719</v>
      </c>
      <c r="H234">
        <v>4622.43994140625</v>
      </c>
      <c r="I234">
        <f t="shared" si="15"/>
        <v>-1.3011585924941301E-2</v>
      </c>
      <c r="J234">
        <f t="shared" si="15"/>
        <v>2.1189288447828032E-2</v>
      </c>
      <c r="K234">
        <f t="shared" si="15"/>
        <v>4.1358317119024202E-3</v>
      </c>
      <c r="L234">
        <f t="shared" si="15"/>
        <v>3.6520127394207959E-3</v>
      </c>
      <c r="M234">
        <f t="shared" si="15"/>
        <v>1.6740806419130203E-4</v>
      </c>
      <c r="N234">
        <f t="shared" si="15"/>
        <v>4.6052089076828355E-3</v>
      </c>
      <c r="O234">
        <f t="shared" si="14"/>
        <v>3.9168135477814919E-3</v>
      </c>
    </row>
    <row r="235" spans="1:15" x14ac:dyDescent="0.35">
      <c r="A235" s="2">
        <v>45272</v>
      </c>
      <c r="B235">
        <v>192.88836669921881</v>
      </c>
      <c r="C235">
        <v>608.75286865234375</v>
      </c>
      <c r="D235">
        <v>145.84681701660159</v>
      </c>
      <c r="E235">
        <v>152.8368835449219</v>
      </c>
      <c r="F235">
        <v>56.086330413818359</v>
      </c>
      <c r="G235">
        <v>138.72978210449219</v>
      </c>
      <c r="H235">
        <v>4643.7001953125</v>
      </c>
      <c r="I235">
        <f t="shared" si="15"/>
        <v>7.8888760970967729E-3</v>
      </c>
      <c r="J235">
        <f t="shared" si="15"/>
        <v>8.999844916718085E-3</v>
      </c>
      <c r="K235">
        <f t="shared" si="15"/>
        <v>6.444924305239381E-5</v>
      </c>
      <c r="L235">
        <f t="shared" si="15"/>
        <v>8.8857258936115638E-3</v>
      </c>
      <c r="M235">
        <f t="shared" si="15"/>
        <v>-3.187051814285604E-3</v>
      </c>
      <c r="N235">
        <f t="shared" si="15"/>
        <v>8.2272820616279842E-4</v>
      </c>
      <c r="O235">
        <f t="shared" si="14"/>
        <v>4.5888127956924003E-3</v>
      </c>
    </row>
    <row r="236" spans="1:15" x14ac:dyDescent="0.35">
      <c r="A236" s="2">
        <v>45273</v>
      </c>
      <c r="B236">
        <v>196.10797119140619</v>
      </c>
      <c r="C236">
        <v>620.8409423828125</v>
      </c>
      <c r="D236">
        <v>146.52398681640619</v>
      </c>
      <c r="E236">
        <v>153.3510437011719</v>
      </c>
      <c r="F236">
        <v>58.903835296630859</v>
      </c>
      <c r="G236">
        <v>141.23933410644531</v>
      </c>
      <c r="H236">
        <v>4707.08984375</v>
      </c>
      <c r="I236">
        <f t="shared" si="15"/>
        <v>1.6553770305092617E-2</v>
      </c>
      <c r="J236">
        <f t="shared" si="15"/>
        <v>1.9662530946636284E-2</v>
      </c>
      <c r="K236">
        <f t="shared" si="15"/>
        <v>4.6322751917588691E-3</v>
      </c>
      <c r="L236">
        <f t="shared" si="15"/>
        <v>3.3584644839148906E-3</v>
      </c>
      <c r="M236">
        <f t="shared" si="15"/>
        <v>4.9014085730559272E-2</v>
      </c>
      <c r="N236">
        <f t="shared" si="15"/>
        <v>1.7927828977713216E-2</v>
      </c>
      <c r="O236">
        <f t="shared" si="14"/>
        <v>1.3558345175019811E-2</v>
      </c>
    </row>
    <row r="237" spans="1:15" x14ac:dyDescent="0.35">
      <c r="A237" s="2">
        <v>45274</v>
      </c>
      <c r="B237">
        <v>196.25657653808591</v>
      </c>
      <c r="C237">
        <v>609.99072265625</v>
      </c>
      <c r="D237">
        <v>147.53973388671881</v>
      </c>
      <c r="E237">
        <v>156.1407775878906</v>
      </c>
      <c r="F237">
        <v>59.158267974853523</v>
      </c>
      <c r="G237">
        <v>137.51300048828119</v>
      </c>
      <c r="H237">
        <v>4719.5498046875</v>
      </c>
      <c r="I237">
        <f t="shared" si="15"/>
        <v>7.5748614213626069E-4</v>
      </c>
      <c r="J237">
        <f t="shared" si="15"/>
        <v>-1.7631169406122332E-2</v>
      </c>
      <c r="K237">
        <f t="shared" si="15"/>
        <v>6.9083741962122393E-3</v>
      </c>
      <c r="L237">
        <f t="shared" si="15"/>
        <v>1.8028324204122783E-2</v>
      </c>
      <c r="M237">
        <f t="shared" si="15"/>
        <v>4.3101565204201114E-3</v>
      </c>
      <c r="N237">
        <f t="shared" si="15"/>
        <v>-2.6737394781808529E-2</v>
      </c>
      <c r="O237">
        <f t="shared" si="14"/>
        <v>2.6435651851544322E-3</v>
      </c>
    </row>
    <row r="238" spans="1:15" x14ac:dyDescent="0.35">
      <c r="A238" s="2">
        <v>45275</v>
      </c>
      <c r="B238">
        <v>195.72163391113281</v>
      </c>
      <c r="C238">
        <v>637.10662841796875</v>
      </c>
      <c r="D238">
        <v>145.9314880371094</v>
      </c>
      <c r="E238">
        <v>157.3214111328125</v>
      </c>
      <c r="F238">
        <v>57.952106475830078</v>
      </c>
      <c r="G238">
        <v>136.84757995605469</v>
      </c>
      <c r="H238">
        <v>4719.18994140625</v>
      </c>
      <c r="I238">
        <f t="shared" si="15"/>
        <v>-2.7294525297528035E-3</v>
      </c>
      <c r="J238">
        <f t="shared" si="15"/>
        <v>4.3493284823275496E-2</v>
      </c>
      <c r="K238">
        <f t="shared" si="15"/>
        <v>-1.0960270234223373E-2</v>
      </c>
      <c r="L238">
        <f t="shared" si="15"/>
        <v>7.5328965998086445E-3</v>
      </c>
      <c r="M238">
        <f t="shared" si="15"/>
        <v>-2.059944144073832E-2</v>
      </c>
      <c r="N238">
        <f t="shared" si="15"/>
        <v>-4.8507102288035831E-3</v>
      </c>
      <c r="O238">
        <f t="shared" si="14"/>
        <v>-7.6252400448594777E-5</v>
      </c>
    </row>
    <row r="239" spans="1:15" x14ac:dyDescent="0.35">
      <c r="A239" s="2">
        <v>45278</v>
      </c>
      <c r="B239">
        <v>194.05735778808591</v>
      </c>
      <c r="C239">
        <v>658.7874755859375</v>
      </c>
      <c r="D239">
        <v>146.19480895996091</v>
      </c>
      <c r="E239">
        <v>158.2735900878906</v>
      </c>
      <c r="F239">
        <v>57.480949401855469</v>
      </c>
      <c r="G239">
        <v>138.9483947753906</v>
      </c>
      <c r="H239">
        <v>4740.56005859375</v>
      </c>
      <c r="I239">
        <f t="shared" si="15"/>
        <v>-8.5396405269960399E-3</v>
      </c>
      <c r="J239">
        <f t="shared" si="15"/>
        <v>3.3463954057735237E-2</v>
      </c>
      <c r="K239">
        <f t="shared" si="15"/>
        <v>1.8027887038958535E-3</v>
      </c>
      <c r="L239">
        <f t="shared" si="15"/>
        <v>6.0342010525424932E-3</v>
      </c>
      <c r="M239">
        <f t="shared" si="15"/>
        <v>-8.1633408539143679E-3</v>
      </c>
      <c r="N239">
        <f t="shared" si="15"/>
        <v>1.5234852173680695E-2</v>
      </c>
      <c r="O239">
        <f t="shared" si="14"/>
        <v>4.5181222634005152E-3</v>
      </c>
    </row>
    <row r="240" spans="1:15" x14ac:dyDescent="0.35">
      <c r="A240" s="2">
        <v>45279</v>
      </c>
      <c r="B240">
        <v>195.09751892089841</v>
      </c>
      <c r="C240">
        <v>655.40289306640625</v>
      </c>
      <c r="D240">
        <v>147.1541442871094</v>
      </c>
      <c r="E240">
        <v>160.38731384277341</v>
      </c>
      <c r="F240">
        <v>58.01806640625</v>
      </c>
      <c r="G240">
        <v>138.9483947753906</v>
      </c>
      <c r="H240">
        <v>4768.3701171875</v>
      </c>
      <c r="I240">
        <f t="shared" si="15"/>
        <v>5.345756520769445E-3</v>
      </c>
      <c r="J240">
        <f t="shared" si="15"/>
        <v>-5.1508367179135288E-3</v>
      </c>
      <c r="K240">
        <f t="shared" si="15"/>
        <v>6.5405977182540747E-3</v>
      </c>
      <c r="L240">
        <f t="shared" si="15"/>
        <v>1.326648314823514E-2</v>
      </c>
      <c r="M240">
        <f t="shared" si="15"/>
        <v>9.3008736503786844E-3</v>
      </c>
      <c r="N240">
        <f t="shared" si="15"/>
        <v>0</v>
      </c>
      <c r="O240">
        <f t="shared" si="14"/>
        <v>5.8492674508189039E-3</v>
      </c>
    </row>
    <row r="241" spans="1:15" x14ac:dyDescent="0.35">
      <c r="A241" s="2">
        <v>45280</v>
      </c>
      <c r="B241">
        <v>193.00724792480469</v>
      </c>
      <c r="C241">
        <v>639.2147216796875</v>
      </c>
      <c r="D241">
        <v>144.15386962890619</v>
      </c>
      <c r="E241">
        <v>158.5782775878906</v>
      </c>
      <c r="F241">
        <v>56.387870788574219</v>
      </c>
      <c r="G241">
        <v>136.800048828125</v>
      </c>
      <c r="H241">
        <v>4698.35009765625</v>
      </c>
      <c r="I241">
        <f t="shared" si="15"/>
        <v>-1.0771788372867259E-2</v>
      </c>
      <c r="J241">
        <f t="shared" si="15"/>
        <v>-2.5009724853929067E-2</v>
      </c>
      <c r="K241">
        <f t="shared" si="15"/>
        <v>-2.0599369789662404E-2</v>
      </c>
      <c r="L241">
        <f t="shared" si="15"/>
        <v>-1.1343265234773066E-2</v>
      </c>
      <c r="M241">
        <f t="shared" si="15"/>
        <v>-2.8500373370705975E-2</v>
      </c>
      <c r="N241">
        <f t="shared" si="15"/>
        <v>-1.5582241468584267E-2</v>
      </c>
      <c r="O241">
        <f t="shared" si="14"/>
        <v>-1.4793147965305628E-2</v>
      </c>
    </row>
    <row r="242" spans="1:15" x14ac:dyDescent="0.35">
      <c r="A242" s="2">
        <v>45281</v>
      </c>
      <c r="B242">
        <v>192.858642578125</v>
      </c>
      <c r="C242">
        <v>643.237548828125</v>
      </c>
      <c r="D242">
        <v>145.63050842285159</v>
      </c>
      <c r="E242">
        <v>159.4827880859375</v>
      </c>
      <c r="F242">
        <v>56.161720275878913</v>
      </c>
      <c r="G242">
        <v>137.13273620605469</v>
      </c>
      <c r="H242">
        <v>4746.75</v>
      </c>
      <c r="I242">
        <f t="shared" si="15"/>
        <v>-7.7024353633840272E-4</v>
      </c>
      <c r="J242">
        <f t="shared" si="15"/>
        <v>6.2736687133730087E-3</v>
      </c>
      <c r="K242">
        <f t="shared" si="15"/>
        <v>1.019138150015873E-2</v>
      </c>
      <c r="L242">
        <f t="shared" si="15"/>
        <v>5.6876684010765477E-3</v>
      </c>
      <c r="M242">
        <f t="shared" si="15"/>
        <v>-4.0186874943644833E-3</v>
      </c>
      <c r="N242">
        <f t="shared" si="15"/>
        <v>2.428972066682931E-3</v>
      </c>
      <c r="O242">
        <f t="shared" si="14"/>
        <v>1.0248769307271876E-2</v>
      </c>
    </row>
    <row r="243" spans="1:15" x14ac:dyDescent="0.35">
      <c r="A243" s="2">
        <v>45282</v>
      </c>
      <c r="B243">
        <v>191.78875732421881</v>
      </c>
      <c r="C243">
        <v>649.46533203125</v>
      </c>
      <c r="D243">
        <v>146.213623046875</v>
      </c>
      <c r="E243">
        <v>159.38755798339841</v>
      </c>
      <c r="F243">
        <v>56.303058624267578</v>
      </c>
      <c r="G243">
        <v>138.10235595703119</v>
      </c>
      <c r="H243">
        <v>4754.6298828125</v>
      </c>
      <c r="I243">
        <f t="shared" si="15"/>
        <v>-5.5629546086806373E-3</v>
      </c>
      <c r="J243">
        <f t="shared" si="15"/>
        <v>9.63536397678166E-3</v>
      </c>
      <c r="K243">
        <f t="shared" si="15"/>
        <v>3.9960741855415106E-3</v>
      </c>
      <c r="L243">
        <f t="shared" si="15"/>
        <v>-5.9729671663861345E-4</v>
      </c>
      <c r="M243">
        <f t="shared" si="15"/>
        <v>2.5134699802018623E-3</v>
      </c>
      <c r="N243">
        <f t="shared" si="15"/>
        <v>7.0457858741554101E-3</v>
      </c>
      <c r="O243">
        <f t="shared" si="14"/>
        <v>1.6586821527610754E-3</v>
      </c>
    </row>
    <row r="244" spans="1:15" x14ac:dyDescent="0.35">
      <c r="A244" s="2">
        <v>45286</v>
      </c>
      <c r="B244">
        <v>191.24391174316409</v>
      </c>
      <c r="C244">
        <v>652.38580322265625</v>
      </c>
      <c r="D244">
        <v>146.85319519042969</v>
      </c>
      <c r="E244">
        <v>160.33018493652341</v>
      </c>
      <c r="F244">
        <v>56.736526489257813</v>
      </c>
      <c r="G244">
        <v>138.72978210449219</v>
      </c>
      <c r="H244">
        <v>4774.75</v>
      </c>
      <c r="I244">
        <f t="shared" si="15"/>
        <v>-2.8449058920036402E-3</v>
      </c>
      <c r="J244">
        <f t="shared" si="15"/>
        <v>4.4866513711420003E-3</v>
      </c>
      <c r="K244">
        <f t="shared" si="15"/>
        <v>4.3646917296908264E-3</v>
      </c>
      <c r="L244">
        <f t="shared" si="15"/>
        <v>5.8966366758479343E-3</v>
      </c>
      <c r="M244">
        <f t="shared" si="15"/>
        <v>7.6693485601231062E-3</v>
      </c>
      <c r="N244">
        <f t="shared" si="15"/>
        <v>4.532907386964216E-3</v>
      </c>
      <c r="O244">
        <f t="shared" si="14"/>
        <v>4.2227610469785593E-3</v>
      </c>
    </row>
    <row r="245" spans="1:15" x14ac:dyDescent="0.35">
      <c r="A245" s="2">
        <v>45287</v>
      </c>
      <c r="B245">
        <v>191.34297180175781</v>
      </c>
      <c r="C245">
        <v>659.48699951171875</v>
      </c>
      <c r="D245">
        <v>147.0506896972656</v>
      </c>
      <c r="E245">
        <v>161.2918395996094</v>
      </c>
      <c r="F245">
        <v>57.085178375244141</v>
      </c>
      <c r="G245">
        <v>138.84382629394531</v>
      </c>
      <c r="H245">
        <v>4781.580078125</v>
      </c>
      <c r="I245">
        <f t="shared" si="15"/>
        <v>5.1784347591608186E-4</v>
      </c>
      <c r="J245">
        <f t="shared" si="15"/>
        <v>1.0826149657813079E-2</v>
      </c>
      <c r="K245">
        <f t="shared" si="15"/>
        <v>1.3439396123474288E-3</v>
      </c>
      <c r="L245">
        <f t="shared" si="15"/>
        <v>5.9800477301263835E-3</v>
      </c>
      <c r="M245">
        <f t="shared" si="15"/>
        <v>6.1263003722300813E-3</v>
      </c>
      <c r="N245">
        <f t="shared" si="15"/>
        <v>8.2172218409593792E-4</v>
      </c>
      <c r="O245">
        <f t="shared" si="14"/>
        <v>1.4294356164229985E-3</v>
      </c>
    </row>
    <row r="246" spans="1:15" x14ac:dyDescent="0.35">
      <c r="A246" s="2">
        <v>45288</v>
      </c>
      <c r="B246">
        <v>191.7689514160156</v>
      </c>
      <c r="C246">
        <v>655.82757568359375</v>
      </c>
      <c r="D246">
        <v>147.26701354980469</v>
      </c>
      <c r="E246">
        <v>162.1487731933594</v>
      </c>
      <c r="F246">
        <v>57.499797821044922</v>
      </c>
      <c r="G246">
        <v>138.53013610839841</v>
      </c>
      <c r="H246">
        <v>4783.35009765625</v>
      </c>
      <c r="I246">
        <f t="shared" si="15"/>
        <v>2.2237876922610619E-3</v>
      </c>
      <c r="J246">
        <f t="shared" si="15"/>
        <v>-5.5643468703853735E-3</v>
      </c>
      <c r="K246">
        <f t="shared" si="15"/>
        <v>1.470002579573981E-3</v>
      </c>
      <c r="L246">
        <f t="shared" si="15"/>
        <v>5.2988744452101772E-3</v>
      </c>
      <c r="M246">
        <f t="shared" si="15"/>
        <v>7.236921787411945E-3</v>
      </c>
      <c r="N246">
        <f t="shared" si="15"/>
        <v>-2.2618584424197218E-3</v>
      </c>
      <c r="O246">
        <f t="shared" si="14"/>
        <v>3.701061103271183E-4</v>
      </c>
    </row>
    <row r="247" spans="1:15" x14ac:dyDescent="0.35">
      <c r="A247" s="2">
        <v>45289</v>
      </c>
      <c r="B247">
        <v>190.72877502441409</v>
      </c>
      <c r="C247">
        <v>652.8408203125</v>
      </c>
      <c r="D247">
        <v>147.41749572753909</v>
      </c>
      <c r="E247">
        <v>161.9583740234375</v>
      </c>
      <c r="F247">
        <v>57.235946655273438</v>
      </c>
      <c r="G247">
        <v>139.30010986328119</v>
      </c>
      <c r="H247">
        <v>4769.830078125</v>
      </c>
      <c r="I247">
        <f t="shared" si="15"/>
        <v>-5.4388765414870362E-3</v>
      </c>
      <c r="J247">
        <f t="shared" si="15"/>
        <v>-4.5645796384789815E-3</v>
      </c>
      <c r="K247">
        <f t="shared" si="15"/>
        <v>1.0213104936108292E-3</v>
      </c>
      <c r="L247">
        <f t="shared" si="15"/>
        <v>-1.1749151073006492E-3</v>
      </c>
      <c r="M247">
        <f t="shared" si="15"/>
        <v>-4.5992926108611512E-3</v>
      </c>
      <c r="N247">
        <f t="shared" si="15"/>
        <v>5.5427782779739884E-3</v>
      </c>
      <c r="O247">
        <f t="shared" si="14"/>
        <v>-2.8304770367338357E-3</v>
      </c>
    </row>
    <row r="248" spans="1:15" x14ac:dyDescent="0.35">
      <c r="A248" s="2">
        <v>45293</v>
      </c>
      <c r="B248">
        <v>183.9032287597656</v>
      </c>
      <c r="C248">
        <v>643.51422119140625</v>
      </c>
      <c r="D248">
        <v>150.45538330078119</v>
      </c>
      <c r="E248">
        <v>163.8435974121094</v>
      </c>
      <c r="F248">
        <v>58.01806640625</v>
      </c>
      <c r="G248">
        <v>141.39141845703119</v>
      </c>
      <c r="H248">
        <v>4742.830078125</v>
      </c>
      <c r="I248">
        <f t="shared" si="15"/>
        <v>-3.6442704198449576E-2</v>
      </c>
      <c r="J248">
        <f t="shared" si="15"/>
        <v>-1.4389206265340067E-2</v>
      </c>
      <c r="K248">
        <f t="shared" si="15"/>
        <v>2.0397915478799558E-2</v>
      </c>
      <c r="L248">
        <f t="shared" si="15"/>
        <v>1.1572946728766652E-2</v>
      </c>
      <c r="M248">
        <f t="shared" si="15"/>
        <v>1.3572312775964608E-2</v>
      </c>
      <c r="N248">
        <f t="shared" si="15"/>
        <v>1.4901392317071912E-2</v>
      </c>
      <c r="O248">
        <f t="shared" si="14"/>
        <v>-5.6766607997231619E-3</v>
      </c>
    </row>
    <row r="249" spans="1:15" x14ac:dyDescent="0.35">
      <c r="A249" s="2">
        <v>45294</v>
      </c>
      <c r="B249">
        <v>182.52622985839841</v>
      </c>
      <c r="C249">
        <v>637.6195068359375</v>
      </c>
      <c r="D249">
        <v>151.39591979980469</v>
      </c>
      <c r="E249">
        <v>163.1294860839844</v>
      </c>
      <c r="F249">
        <v>58.413841247558587</v>
      </c>
      <c r="G249">
        <v>140.535888671875</v>
      </c>
      <c r="H249">
        <v>4704.81005859375</v>
      </c>
      <c r="I249">
        <f t="shared" si="15"/>
        <v>-7.5158006589412683E-3</v>
      </c>
      <c r="J249">
        <f t="shared" si="15"/>
        <v>-9.2024053782674021E-3</v>
      </c>
      <c r="K249">
        <f t="shared" si="15"/>
        <v>6.2318070732476742E-3</v>
      </c>
      <c r="L249">
        <f t="shared" si="15"/>
        <v>-4.3680198743101155E-3</v>
      </c>
      <c r="M249">
        <f t="shared" si="15"/>
        <v>6.7984176094904201E-3</v>
      </c>
      <c r="N249">
        <f t="shared" si="15"/>
        <v>-6.0691702409023584E-3</v>
      </c>
      <c r="O249">
        <f t="shared" si="14"/>
        <v>-8.0486183271976479E-3</v>
      </c>
    </row>
    <row r="250" spans="1:15" x14ac:dyDescent="0.35">
      <c r="A250" s="2">
        <v>45295</v>
      </c>
      <c r="B250">
        <v>180.20811462402341</v>
      </c>
      <c r="C250">
        <v>641.23944091796875</v>
      </c>
      <c r="D250">
        <v>151.07609558105469</v>
      </c>
      <c r="E250">
        <v>164.21202087402341</v>
      </c>
      <c r="F250">
        <v>58.234794616699219</v>
      </c>
      <c r="G250">
        <v>141.30586242675781</v>
      </c>
      <c r="H250">
        <v>4688.68017578125</v>
      </c>
      <c r="I250">
        <f t="shared" si="15"/>
        <v>-1.2781512576300022E-2</v>
      </c>
      <c r="J250">
        <f t="shared" si="15"/>
        <v>5.6612087774164004E-3</v>
      </c>
      <c r="K250">
        <f t="shared" si="15"/>
        <v>-2.1147367139936766E-3</v>
      </c>
      <c r="L250">
        <f t="shared" si="15"/>
        <v>6.6141244752901595E-3</v>
      </c>
      <c r="M250">
        <f t="shared" si="15"/>
        <v>-3.0698476693454125E-3</v>
      </c>
      <c r="N250">
        <f t="shared" si="15"/>
        <v>5.4638865068812933E-3</v>
      </c>
      <c r="O250">
        <f t="shared" si="14"/>
        <v>-3.4342716633174288E-3</v>
      </c>
    </row>
    <row r="251" spans="1:15" x14ac:dyDescent="0.35">
      <c r="A251" s="2">
        <v>45296</v>
      </c>
      <c r="B251">
        <v>179.48493957519531</v>
      </c>
      <c r="C251">
        <v>648.81536865234375</v>
      </c>
      <c r="D251">
        <v>151.54638671875</v>
      </c>
      <c r="E251">
        <v>165.03590393066409</v>
      </c>
      <c r="F251">
        <v>58.498645782470703</v>
      </c>
      <c r="G251">
        <v>140.13664245605469</v>
      </c>
      <c r="H251">
        <v>4697.240234375</v>
      </c>
      <c r="I251">
        <f t="shared" si="15"/>
        <v>-4.0210730499517728E-3</v>
      </c>
      <c r="J251">
        <f t="shared" si="15"/>
        <v>1.1745260387845697E-2</v>
      </c>
      <c r="K251">
        <f t="shared" si="15"/>
        <v>3.1081069239700236E-3</v>
      </c>
      <c r="L251">
        <f t="shared" si="15"/>
        <v>5.0046467369143097E-3</v>
      </c>
      <c r="M251">
        <f t="shared" si="15"/>
        <v>4.5205832056422496E-3</v>
      </c>
      <c r="N251">
        <f t="shared" si="15"/>
        <v>-8.3088138925039769E-3</v>
      </c>
      <c r="O251">
        <f t="shared" si="14"/>
        <v>1.8240216394339805E-3</v>
      </c>
    </row>
    <row r="252" spans="1:15" x14ac:dyDescent="0.35">
      <c r="A252" s="2">
        <v>45299</v>
      </c>
      <c r="B252">
        <v>183.823974609375</v>
      </c>
      <c r="C252">
        <v>654.43316650390625</v>
      </c>
      <c r="D252">
        <v>151.922607421875</v>
      </c>
      <c r="E252">
        <v>164.79643249511719</v>
      </c>
      <c r="F252">
        <v>59.290184020996087</v>
      </c>
      <c r="G252">
        <v>141.3439025878906</v>
      </c>
      <c r="H252">
        <v>4763.5400390625</v>
      </c>
      <c r="I252">
        <f t="shared" si="15"/>
        <v>2.3887337666045016E-2</v>
      </c>
      <c r="J252">
        <f t="shared" si="15"/>
        <v>8.6212759820773789E-3</v>
      </c>
      <c r="K252">
        <f t="shared" si="15"/>
        <v>2.4794684342192689E-3</v>
      </c>
      <c r="L252">
        <f t="shared" si="15"/>
        <v>-1.4520800490320672E-3</v>
      </c>
      <c r="M252">
        <f t="shared" si="15"/>
        <v>1.3440156506428087E-2</v>
      </c>
      <c r="N252">
        <f t="shared" si="15"/>
        <v>8.5779820721448956E-3</v>
      </c>
      <c r="O252">
        <f t="shared" si="14"/>
        <v>1.4015945436353141E-2</v>
      </c>
    </row>
    <row r="253" spans="1:15" x14ac:dyDescent="0.35">
      <c r="A253" s="2">
        <v>45300</v>
      </c>
      <c r="B253">
        <v>183.40791320800781</v>
      </c>
      <c r="C253">
        <v>659.86285400390625</v>
      </c>
      <c r="D253">
        <v>152.01666259765619</v>
      </c>
      <c r="E253">
        <v>163.49351501464841</v>
      </c>
      <c r="F253">
        <v>58.432682037353523</v>
      </c>
      <c r="G253">
        <v>141.92375183105469</v>
      </c>
      <c r="H253">
        <v>4756.5</v>
      </c>
      <c r="I253">
        <f t="shared" si="15"/>
        <v>-2.2659338319488587E-3</v>
      </c>
      <c r="J253">
        <f t="shared" si="15"/>
        <v>8.2625501493097577E-3</v>
      </c>
      <c r="K253">
        <f t="shared" si="15"/>
        <v>6.1890770993462815E-4</v>
      </c>
      <c r="L253">
        <f t="shared" si="15"/>
        <v>-7.9376437282562707E-3</v>
      </c>
      <c r="M253">
        <f t="shared" si="15"/>
        <v>-1.4568404228307371E-2</v>
      </c>
      <c r="N253">
        <f t="shared" si="15"/>
        <v>4.0940082216802806E-3</v>
      </c>
      <c r="O253">
        <f t="shared" si="14"/>
        <v>-1.4789938523175842E-3</v>
      </c>
    </row>
    <row r="254" spans="1:15" x14ac:dyDescent="0.35">
      <c r="A254" s="2">
        <v>45301</v>
      </c>
      <c r="B254">
        <v>184.44805908203119</v>
      </c>
      <c r="C254">
        <v>665.3817138671875</v>
      </c>
      <c r="D254">
        <v>152.24237060546881</v>
      </c>
      <c r="E254">
        <v>163.8384094238281</v>
      </c>
      <c r="F254">
        <v>58.687103271484382</v>
      </c>
      <c r="G254">
        <v>142.53215026855469</v>
      </c>
      <c r="H254">
        <v>4783.4501953125</v>
      </c>
      <c r="I254">
        <f t="shared" si="15"/>
        <v>5.6551951006373596E-3</v>
      </c>
      <c r="J254">
        <f t="shared" si="15"/>
        <v>8.328865328937821E-3</v>
      </c>
      <c r="K254">
        <f t="shared" si="15"/>
        <v>1.4836571775012877E-3</v>
      </c>
      <c r="L254">
        <f t="shared" si="15"/>
        <v>2.1073076657811543E-3</v>
      </c>
      <c r="M254">
        <f t="shared" si="15"/>
        <v>4.344639697933062E-3</v>
      </c>
      <c r="N254">
        <f t="shared" si="15"/>
        <v>4.2776357299935917E-3</v>
      </c>
      <c r="O254">
        <f t="shared" si="14"/>
        <v>5.6499806504959121E-3</v>
      </c>
    </row>
    <row r="255" spans="1:15" x14ac:dyDescent="0.35">
      <c r="A255" s="2">
        <v>45302</v>
      </c>
      <c r="B255">
        <v>183.85368347167969</v>
      </c>
      <c r="C255">
        <v>666.19268798828125</v>
      </c>
      <c r="D255">
        <v>151.56517028808591</v>
      </c>
      <c r="E255">
        <v>163.1486511230469</v>
      </c>
      <c r="F255">
        <v>57.217105865478523</v>
      </c>
      <c r="G255">
        <v>143.07398986816409</v>
      </c>
      <c r="H255">
        <v>4780.240234375</v>
      </c>
      <c r="I255">
        <f t="shared" si="15"/>
        <v>-3.2276585075939842E-3</v>
      </c>
      <c r="J255">
        <f t="shared" si="15"/>
        <v>1.2180682059270117E-3</v>
      </c>
      <c r="K255">
        <f t="shared" si="15"/>
        <v>-4.4580949964693082E-3</v>
      </c>
      <c r="L255">
        <f t="shared" si="15"/>
        <v>-4.2188784027573237E-3</v>
      </c>
      <c r="M255">
        <f t="shared" si="15"/>
        <v>-2.5367089657905451E-2</v>
      </c>
      <c r="N255">
        <f t="shared" si="15"/>
        <v>3.794317933186448E-3</v>
      </c>
      <c r="O255">
        <f t="shared" si="14"/>
        <v>-6.7128083696116466E-4</v>
      </c>
    </row>
    <row r="256" spans="1:15" x14ac:dyDescent="0.35">
      <c r="A256" s="2">
        <v>45303</v>
      </c>
      <c r="B256">
        <v>184.18060302734381</v>
      </c>
      <c r="C256">
        <v>675.7467041015625</v>
      </c>
      <c r="D256">
        <v>152.73143005371091</v>
      </c>
      <c r="E256">
        <v>161.95112609863281</v>
      </c>
      <c r="F256">
        <v>57.518646240234382</v>
      </c>
      <c r="G256">
        <v>143.15953063964841</v>
      </c>
      <c r="H256">
        <v>4783.830078125</v>
      </c>
      <c r="I256">
        <f t="shared" si="15"/>
        <v>1.7765716599911334E-3</v>
      </c>
      <c r="J256">
        <f t="shared" si="15"/>
        <v>1.4239357752710973E-2</v>
      </c>
      <c r="K256">
        <f t="shared" si="15"/>
        <v>7.6653204460157146E-3</v>
      </c>
      <c r="L256">
        <f t="shared" si="15"/>
        <v>-7.3671563293489801E-3</v>
      </c>
      <c r="M256">
        <f t="shared" si="15"/>
        <v>5.2562704035561377E-3</v>
      </c>
      <c r="N256">
        <f t="shared" si="15"/>
        <v>5.9769920643207113E-4</v>
      </c>
      <c r="O256">
        <f t="shared" si="14"/>
        <v>7.5069375303395949E-4</v>
      </c>
    </row>
    <row r="257" spans="1:15" x14ac:dyDescent="0.35">
      <c r="A257" s="2">
        <v>45307</v>
      </c>
      <c r="B257">
        <v>181.91203308105469</v>
      </c>
      <c r="C257">
        <v>674.0159912109375</v>
      </c>
      <c r="D257">
        <v>150.97265625</v>
      </c>
      <c r="E257">
        <v>160.9356689453125</v>
      </c>
      <c r="F257">
        <v>56.868446350097663</v>
      </c>
      <c r="G257">
        <v>142.38954162597659</v>
      </c>
      <c r="H257">
        <v>4765.97998046875</v>
      </c>
      <c r="I257">
        <f t="shared" si="15"/>
        <v>-1.2393578893999951E-2</v>
      </c>
      <c r="J257">
        <f t="shared" si="15"/>
        <v>-2.5644712883828458E-3</v>
      </c>
      <c r="K257">
        <f t="shared" si="15"/>
        <v>-1.1582283838162385E-2</v>
      </c>
      <c r="L257">
        <f t="shared" si="15"/>
        <v>-6.2898855992472857E-3</v>
      </c>
      <c r="M257">
        <f t="shared" si="15"/>
        <v>-1.1368536051507483E-2</v>
      </c>
      <c r="N257">
        <f t="shared" si="15"/>
        <v>-5.3930546776072407E-3</v>
      </c>
      <c r="O257">
        <f t="shared" si="14"/>
        <v>-3.7383190523568345E-3</v>
      </c>
    </row>
    <row r="258" spans="1:15" x14ac:dyDescent="0.35">
      <c r="A258" s="2">
        <v>45308</v>
      </c>
      <c r="B258">
        <v>180.9709167480469</v>
      </c>
      <c r="C258">
        <v>676.686279296875</v>
      </c>
      <c r="D258">
        <v>150.8880310058594</v>
      </c>
      <c r="E258">
        <v>160.07342529296881</v>
      </c>
      <c r="F258">
        <v>54.908443450927727</v>
      </c>
      <c r="G258">
        <v>142.53215026855469</v>
      </c>
      <c r="H258">
        <v>4739.2099609375</v>
      </c>
      <c r="I258">
        <f t="shared" si="15"/>
        <v>-5.1868981081970049E-3</v>
      </c>
      <c r="J258">
        <f t="shared" si="15"/>
        <v>3.9539306671585546E-3</v>
      </c>
      <c r="K258">
        <f t="shared" si="15"/>
        <v>-5.6069074199027139E-4</v>
      </c>
      <c r="L258">
        <f t="shared" si="15"/>
        <v>-5.3720953173750875E-3</v>
      </c>
      <c r="M258">
        <f t="shared" si="15"/>
        <v>-3.5073508012159943E-2</v>
      </c>
      <c r="N258">
        <f t="shared" si="15"/>
        <v>1.0010375379886202E-3</v>
      </c>
      <c r="O258">
        <f t="shared" si="14"/>
        <v>-5.6327312711078213E-3</v>
      </c>
    </row>
    <row r="259" spans="1:15" x14ac:dyDescent="0.35">
      <c r="A259" s="2">
        <v>45309</v>
      </c>
      <c r="B259">
        <v>186.8652648925781</v>
      </c>
      <c r="C259">
        <v>679.77215576171875</v>
      </c>
      <c r="D259">
        <v>151.62164306640619</v>
      </c>
      <c r="E259">
        <v>160.38957214355469</v>
      </c>
      <c r="F259">
        <v>54.324211120605469</v>
      </c>
      <c r="G259">
        <v>141.7104187011719</v>
      </c>
      <c r="H259">
        <v>4780.93994140625</v>
      </c>
      <c r="I259">
        <f t="shared" si="15"/>
        <v>3.205151116244017E-2</v>
      </c>
      <c r="J259">
        <f t="shared" si="15"/>
        <v>4.5499098367541933E-3</v>
      </c>
      <c r="K259">
        <f t="shared" si="15"/>
        <v>4.8501820706163953E-3</v>
      </c>
      <c r="L259">
        <f t="shared" si="15"/>
        <v>1.973063696449404E-3</v>
      </c>
      <c r="M259">
        <f t="shared" si="15"/>
        <v>-1.0697129053135732E-2</v>
      </c>
      <c r="N259">
        <f t="shared" si="15"/>
        <v>-5.7819197146153183E-3</v>
      </c>
      <c r="O259">
        <f t="shared" si="14"/>
        <v>8.7667207262431476E-3</v>
      </c>
    </row>
    <row r="260" spans="1:15" x14ac:dyDescent="0.35">
      <c r="A260" s="2">
        <v>45310</v>
      </c>
      <c r="B260">
        <v>189.76783752441409</v>
      </c>
      <c r="C260">
        <v>687.34808349609375</v>
      </c>
      <c r="D260">
        <v>152.06365966796881</v>
      </c>
      <c r="E260">
        <v>163.158203125</v>
      </c>
      <c r="F260">
        <v>53.956699371337891</v>
      </c>
      <c r="G260">
        <v>141.1651611328125</v>
      </c>
      <c r="H260">
        <v>4839.81005859375</v>
      </c>
      <c r="I260">
        <f t="shared" si="15"/>
        <v>1.5413568688583488E-2</v>
      </c>
      <c r="J260">
        <f t="shared" si="15"/>
        <v>1.1083158696132616E-2</v>
      </c>
      <c r="K260">
        <f t="shared" si="15"/>
        <v>2.9110194646979779E-3</v>
      </c>
      <c r="L260">
        <f t="shared" si="15"/>
        <v>1.7114619680756987E-2</v>
      </c>
      <c r="M260">
        <f t="shared" si="15"/>
        <v>-6.7881431511399356E-3</v>
      </c>
      <c r="N260">
        <f t="shared" si="15"/>
        <v>-3.8551100379537241E-3</v>
      </c>
      <c r="O260">
        <f t="shared" si="14"/>
        <v>1.2238308232548512E-2</v>
      </c>
    </row>
    <row r="261" spans="1:15" x14ac:dyDescent="0.35">
      <c r="A261" s="2">
        <v>45313</v>
      </c>
      <c r="B261">
        <v>192.07603454589841</v>
      </c>
      <c r="C261">
        <v>684.9150390625</v>
      </c>
      <c r="D261">
        <v>152.8066711425781</v>
      </c>
      <c r="E261">
        <v>162.96662902832031</v>
      </c>
      <c r="F261">
        <v>53.570354461669922</v>
      </c>
      <c r="G261">
        <v>141.4425964355469</v>
      </c>
      <c r="H261">
        <v>4850.43017578125</v>
      </c>
      <c r="I261">
        <f t="shared" si="15"/>
        <v>1.2089889638848326E-2</v>
      </c>
      <c r="J261">
        <f t="shared" si="15"/>
        <v>-3.5460356590456717E-3</v>
      </c>
      <c r="K261">
        <f t="shared" si="15"/>
        <v>4.8742883160503049E-3</v>
      </c>
      <c r="L261">
        <f t="shared" si="15"/>
        <v>-1.1748514668459898E-3</v>
      </c>
      <c r="M261">
        <f t="shared" si="15"/>
        <v>-7.1860347407703097E-3</v>
      </c>
      <c r="N261">
        <f t="shared" si="15"/>
        <v>1.9633954442427322E-3</v>
      </c>
      <c r="O261">
        <f t="shared" si="14"/>
        <v>2.1919211872316853E-3</v>
      </c>
    </row>
    <row r="262" spans="1:15" x14ac:dyDescent="0.35">
      <c r="A262" s="2">
        <v>45314</v>
      </c>
      <c r="B262">
        <v>193.35394287109381</v>
      </c>
      <c r="C262">
        <v>680.04901123046875</v>
      </c>
      <c r="D262">
        <v>150.3049011230469</v>
      </c>
      <c r="E262">
        <v>161.89363098144531</v>
      </c>
      <c r="F262">
        <v>54.069786071777337</v>
      </c>
      <c r="G262">
        <v>147.29693603515619</v>
      </c>
      <c r="H262">
        <v>4864.60009765625</v>
      </c>
      <c r="I262">
        <f t="shared" si="15"/>
        <v>6.6311033531344099E-3</v>
      </c>
      <c r="J262">
        <f t="shared" si="15"/>
        <v>-7.129929092330586E-3</v>
      </c>
      <c r="K262">
        <f t="shared" si="15"/>
        <v>-1.6507629926402739E-2</v>
      </c>
      <c r="L262">
        <f t="shared" ref="L262:O325" si="16">LN(E262/E261)</f>
        <v>-6.605929262164972E-3</v>
      </c>
      <c r="M262">
        <f t="shared" si="16"/>
        <v>9.2797202158716174E-3</v>
      </c>
      <c r="N262">
        <f t="shared" si="16"/>
        <v>4.0556566532079376E-2</v>
      </c>
      <c r="O262">
        <f t="shared" si="14"/>
        <v>2.9171153407644861E-3</v>
      </c>
    </row>
    <row r="263" spans="1:15" x14ac:dyDescent="0.35">
      <c r="A263" s="2">
        <v>45315</v>
      </c>
      <c r="B263">
        <v>192.6803283691406</v>
      </c>
      <c r="C263">
        <v>678.98101806640625</v>
      </c>
      <c r="D263">
        <v>149.50544738769531</v>
      </c>
      <c r="E263">
        <v>163.34022521972659</v>
      </c>
      <c r="F263">
        <v>53.72113037109375</v>
      </c>
      <c r="G263">
        <v>145.51768493652341</v>
      </c>
      <c r="H263">
        <v>4868.5498046875</v>
      </c>
      <c r="I263">
        <f t="shared" ref="I263:O326" si="17">LN(B263/B262)</f>
        <v>-3.4899242675194534E-3</v>
      </c>
      <c r="J263">
        <f t="shared" si="17"/>
        <v>-1.5716994634252912E-3</v>
      </c>
      <c r="K263">
        <f t="shared" si="17"/>
        <v>-5.3330756202391019E-3</v>
      </c>
      <c r="L263">
        <f t="shared" si="16"/>
        <v>8.8957760722173252E-3</v>
      </c>
      <c r="M263">
        <f t="shared" si="16"/>
        <v>-6.4691335432748064E-3</v>
      </c>
      <c r="N263">
        <f t="shared" si="16"/>
        <v>-1.2152897223772639E-2</v>
      </c>
      <c r="O263">
        <f t="shared" si="14"/>
        <v>8.1159897621686534E-4</v>
      </c>
    </row>
    <row r="264" spans="1:15" x14ac:dyDescent="0.35">
      <c r="A264" s="2">
        <v>45316</v>
      </c>
      <c r="B264">
        <v>192.35343933105469</v>
      </c>
      <c r="C264">
        <v>672.443359375</v>
      </c>
      <c r="D264">
        <v>150.06976318359381</v>
      </c>
      <c r="E264">
        <v>165.67778015136719</v>
      </c>
      <c r="F264">
        <v>54.635166168212891</v>
      </c>
      <c r="G264">
        <v>148.86576843261719</v>
      </c>
      <c r="H264">
        <v>4894.16015625</v>
      </c>
      <c r="I264">
        <f t="shared" si="17"/>
        <v>-1.6979763545253072E-3</v>
      </c>
      <c r="J264">
        <f t="shared" si="17"/>
        <v>-9.6752874970887047E-3</v>
      </c>
      <c r="K264">
        <f t="shared" si="17"/>
        <v>3.7674443242258562E-3</v>
      </c>
      <c r="L264">
        <f t="shared" si="16"/>
        <v>1.4209521817997731E-2</v>
      </c>
      <c r="M264">
        <f t="shared" si="16"/>
        <v>1.6871331104453637E-2</v>
      </c>
      <c r="N264">
        <f t="shared" si="16"/>
        <v>2.2747391722993743E-2</v>
      </c>
      <c r="O264">
        <f t="shared" si="14"/>
        <v>5.2465781349779802E-3</v>
      </c>
    </row>
    <row r="265" spans="1:15" x14ac:dyDescent="0.35">
      <c r="A265" s="2">
        <v>45317</v>
      </c>
      <c r="B265">
        <v>190.61981201171881</v>
      </c>
      <c r="C265">
        <v>679.346923828125</v>
      </c>
      <c r="D265">
        <v>150.0133361816406</v>
      </c>
      <c r="E265">
        <v>165.04547119140619</v>
      </c>
      <c r="F265">
        <v>55.106327056884773</v>
      </c>
      <c r="G265">
        <v>149.36320495605469</v>
      </c>
      <c r="H265">
        <v>4890.97021484375</v>
      </c>
      <c r="I265">
        <f t="shared" si="17"/>
        <v>-9.053578311109766E-3</v>
      </c>
      <c r="J265">
        <f t="shared" si="17"/>
        <v>1.0214046598310076E-2</v>
      </c>
      <c r="K265">
        <f t="shared" si="17"/>
        <v>-3.7607584524166249E-4</v>
      </c>
      <c r="L265">
        <f t="shared" si="16"/>
        <v>-3.8237996743968232E-3</v>
      </c>
      <c r="M265">
        <f t="shared" si="16"/>
        <v>8.5867937428509549E-3</v>
      </c>
      <c r="N265">
        <f t="shared" si="16"/>
        <v>3.3359400268541586E-3</v>
      </c>
      <c r="O265">
        <f t="shared" si="14"/>
        <v>-6.5199775542636477E-4</v>
      </c>
    </row>
    <row r="266" spans="1:15" x14ac:dyDescent="0.35">
      <c r="A266" s="2">
        <v>45320</v>
      </c>
      <c r="B266">
        <v>189.9362487792969</v>
      </c>
      <c r="C266">
        <v>686.39862060546875</v>
      </c>
      <c r="D266">
        <v>149.88166809082031</v>
      </c>
      <c r="E266">
        <v>165.4765930175781</v>
      </c>
      <c r="F266">
        <v>56.133441925048828</v>
      </c>
      <c r="G266">
        <v>149.38233947753909</v>
      </c>
      <c r="H266">
        <v>4927.93017578125</v>
      </c>
      <c r="I266">
        <f t="shared" si="17"/>
        <v>-3.592448198854951E-3</v>
      </c>
      <c r="J266">
        <f t="shared" si="17"/>
        <v>1.0326608014745248E-2</v>
      </c>
      <c r="K266">
        <f t="shared" si="17"/>
        <v>-8.7809464915850251E-4</v>
      </c>
      <c r="L266">
        <f t="shared" si="16"/>
        <v>2.6087339839374955E-3</v>
      </c>
      <c r="M266">
        <f t="shared" si="16"/>
        <v>1.8467209484828082E-2</v>
      </c>
      <c r="N266">
        <f t="shared" si="16"/>
        <v>1.2809912560759955E-4</v>
      </c>
      <c r="O266">
        <f t="shared" si="14"/>
        <v>7.5283655052462038E-3</v>
      </c>
    </row>
    <row r="267" spans="1:15" x14ac:dyDescent="0.35">
      <c r="A267" s="2">
        <v>45321</v>
      </c>
      <c r="B267">
        <v>186.28076171875</v>
      </c>
      <c r="C267">
        <v>693.05487060546875</v>
      </c>
      <c r="D267">
        <v>149.32673645019531</v>
      </c>
      <c r="E267">
        <v>168.8679504394531</v>
      </c>
      <c r="F267">
        <v>55.860176086425781</v>
      </c>
      <c r="G267">
        <v>150.65461730957031</v>
      </c>
      <c r="H267">
        <v>4924.97021484375</v>
      </c>
      <c r="I267">
        <f t="shared" si="17"/>
        <v>-1.943347590396995E-2</v>
      </c>
      <c r="J267">
        <f t="shared" si="17"/>
        <v>9.6506358540159719E-3</v>
      </c>
      <c r="K267">
        <f t="shared" si="17"/>
        <v>-3.7093361582511068E-3</v>
      </c>
      <c r="L267">
        <f t="shared" si="16"/>
        <v>2.0287298260380608E-2</v>
      </c>
      <c r="M267">
        <f t="shared" si="16"/>
        <v>-4.8800348767685789E-3</v>
      </c>
      <c r="N267">
        <f t="shared" si="16"/>
        <v>8.4808583006365113E-3</v>
      </c>
      <c r="O267">
        <f t="shared" si="14"/>
        <v>-6.0083039697861622E-4</v>
      </c>
    </row>
    <row r="268" spans="1:15" x14ac:dyDescent="0.35">
      <c r="A268" s="2">
        <v>45322</v>
      </c>
      <c r="B268">
        <v>182.6748046875</v>
      </c>
      <c r="C268">
        <v>687.259033203125</v>
      </c>
      <c r="D268">
        <v>149.4490051269531</v>
      </c>
      <c r="E268">
        <v>167.03814697265619</v>
      </c>
      <c r="F268">
        <v>55.247673034667969</v>
      </c>
      <c r="G268">
        <v>150.3197937011719</v>
      </c>
      <c r="H268">
        <v>4845.64990234375</v>
      </c>
      <c r="I268">
        <f t="shared" si="17"/>
        <v>-1.9547458715796957E-2</v>
      </c>
      <c r="J268">
        <f t="shared" si="17"/>
        <v>-8.3979034751821766E-3</v>
      </c>
      <c r="K268">
        <f t="shared" si="17"/>
        <v>8.184645978140426E-4</v>
      </c>
      <c r="L268">
        <f t="shared" si="16"/>
        <v>-1.089483983939875E-2</v>
      </c>
      <c r="M268">
        <f t="shared" si="16"/>
        <v>-1.1025490301894193E-2</v>
      </c>
      <c r="N268">
        <f t="shared" si="16"/>
        <v>-2.2249316504860312E-3</v>
      </c>
      <c r="O268">
        <f t="shared" si="14"/>
        <v>-1.6236851740733683E-2</v>
      </c>
    </row>
    <row r="269" spans="1:15" x14ac:dyDescent="0.35">
      <c r="A269" s="2">
        <v>45323</v>
      </c>
      <c r="B269">
        <v>185.11183166503909</v>
      </c>
      <c r="C269">
        <v>697.77801513671875</v>
      </c>
      <c r="D269">
        <v>148.94114685058591</v>
      </c>
      <c r="E269">
        <v>166.43458557128909</v>
      </c>
      <c r="F269">
        <v>56.303058624267578</v>
      </c>
      <c r="G269">
        <v>152.27125549316409</v>
      </c>
      <c r="H269">
        <v>4906.18994140625</v>
      </c>
      <c r="I269">
        <f t="shared" si="17"/>
        <v>1.3252589434751261E-2</v>
      </c>
      <c r="J269">
        <f t="shared" si="17"/>
        <v>1.5189751346904784E-2</v>
      </c>
      <c r="K269">
        <f t="shared" si="17"/>
        <v>-3.403991474835842E-3</v>
      </c>
      <c r="L269">
        <f t="shared" si="16"/>
        <v>-3.6198585462760289E-3</v>
      </c>
      <c r="M269">
        <f t="shared" si="16"/>
        <v>1.8922638430285924E-2</v>
      </c>
      <c r="N269">
        <f t="shared" si="16"/>
        <v>1.2898523289529644E-2</v>
      </c>
      <c r="O269">
        <f t="shared" si="14"/>
        <v>1.2416286114049784E-2</v>
      </c>
    </row>
    <row r="270" spans="1:15" x14ac:dyDescent="0.35">
      <c r="A270" s="2">
        <v>45324</v>
      </c>
      <c r="B270">
        <v>184.11128234863281</v>
      </c>
      <c r="C270">
        <v>702.73040771484375</v>
      </c>
      <c r="D270">
        <v>147.29522705078119</v>
      </c>
      <c r="E270">
        <v>167.3926086425781</v>
      </c>
      <c r="F270">
        <v>54.795368194580078</v>
      </c>
      <c r="G270">
        <v>151.22857666015619</v>
      </c>
      <c r="H270">
        <v>4958.60986328125</v>
      </c>
      <c r="I270">
        <f t="shared" si="17"/>
        <v>-5.4197677642479182E-3</v>
      </c>
      <c r="J270">
        <f t="shared" si="17"/>
        <v>7.0723076555729127E-3</v>
      </c>
      <c r="K270">
        <f t="shared" si="17"/>
        <v>-1.1112320307667413E-2</v>
      </c>
      <c r="L270">
        <f t="shared" si="16"/>
        <v>5.7396504416205108E-3</v>
      </c>
      <c r="M270">
        <f t="shared" si="16"/>
        <v>-2.7143192536546675E-2</v>
      </c>
      <c r="N270">
        <f t="shared" si="16"/>
        <v>-6.8710610335943993E-3</v>
      </c>
      <c r="O270">
        <f t="shared" si="14"/>
        <v>1.062777072263312E-2</v>
      </c>
    </row>
    <row r="271" spans="1:15" x14ac:dyDescent="0.35">
      <c r="A271" s="2">
        <v>45327</v>
      </c>
      <c r="B271">
        <v>185.92414855957031</v>
      </c>
      <c r="C271">
        <v>704.39447021484375</v>
      </c>
      <c r="D271">
        <v>146.5334167480469</v>
      </c>
      <c r="E271">
        <v>167.1722717285156</v>
      </c>
      <c r="F271">
        <v>52.741130828857422</v>
      </c>
      <c r="G271">
        <v>151.34336853027341</v>
      </c>
      <c r="H271">
        <v>4942.81005859375</v>
      </c>
      <c r="I271">
        <f t="shared" si="17"/>
        <v>9.7984169286182646E-3</v>
      </c>
      <c r="J271">
        <f t="shared" si="17"/>
        <v>2.3651962975738683E-3</v>
      </c>
      <c r="K271">
        <f t="shared" si="17"/>
        <v>-5.1854169143079262E-3</v>
      </c>
      <c r="L271">
        <f t="shared" si="16"/>
        <v>-1.3171552595316203E-3</v>
      </c>
      <c r="M271">
        <f t="shared" si="16"/>
        <v>-3.8210046111158386E-2</v>
      </c>
      <c r="N271">
        <f t="shared" si="16"/>
        <v>7.5877408629186518E-4</v>
      </c>
      <c r="O271">
        <f t="shared" si="14"/>
        <v>-3.1914247092839714E-3</v>
      </c>
    </row>
    <row r="272" spans="1:15" x14ac:dyDescent="0.35">
      <c r="A272" s="2">
        <v>45328</v>
      </c>
      <c r="B272">
        <v>187.52899169921881</v>
      </c>
      <c r="C272">
        <v>704.02801513671875</v>
      </c>
      <c r="D272">
        <v>148.65898132324219</v>
      </c>
      <c r="E272">
        <v>167.74708557128909</v>
      </c>
      <c r="F272">
        <v>52.986125946044922</v>
      </c>
      <c r="G272">
        <v>152.0608215332031</v>
      </c>
      <c r="H272">
        <v>4954.22998046875</v>
      </c>
      <c r="I272">
        <f t="shared" si="17"/>
        <v>8.5946687578951318E-3</v>
      </c>
      <c r="J272">
        <f t="shared" si="17"/>
        <v>-5.2037664863453261E-4</v>
      </c>
      <c r="K272">
        <f t="shared" si="17"/>
        <v>1.4401463765190805E-2</v>
      </c>
      <c r="L272">
        <f t="shared" si="16"/>
        <v>3.4325541037672769E-3</v>
      </c>
      <c r="M272">
        <f t="shared" si="16"/>
        <v>4.634482406331613E-3</v>
      </c>
      <c r="N272">
        <f t="shared" si="16"/>
        <v>4.7293634280029372E-3</v>
      </c>
      <c r="O272">
        <f t="shared" si="14"/>
        <v>2.3077459317481074E-3</v>
      </c>
    </row>
    <row r="273" spans="1:15" x14ac:dyDescent="0.35">
      <c r="A273" s="2">
        <v>45329</v>
      </c>
      <c r="B273">
        <v>187.6379699707031</v>
      </c>
      <c r="C273">
        <v>712.93255615234375</v>
      </c>
      <c r="D273">
        <v>148.583740234375</v>
      </c>
      <c r="E273">
        <v>168.06321716308591</v>
      </c>
      <c r="F273">
        <v>53.127471923828118</v>
      </c>
      <c r="G273">
        <v>152.21385192871091</v>
      </c>
      <c r="H273">
        <v>4995.06005859375</v>
      </c>
      <c r="I273">
        <f t="shared" si="17"/>
        <v>5.8095880332502718E-4</v>
      </c>
      <c r="J273">
        <f t="shared" si="17"/>
        <v>1.2568674693964889E-2</v>
      </c>
      <c r="K273">
        <f t="shared" si="17"/>
        <v>-5.0626027160515169E-4</v>
      </c>
      <c r="L273">
        <f t="shared" si="16"/>
        <v>1.8827992030704753E-3</v>
      </c>
      <c r="M273">
        <f t="shared" si="16"/>
        <v>2.6640518127170119E-3</v>
      </c>
      <c r="N273">
        <f t="shared" si="16"/>
        <v>1.005870167696827E-3</v>
      </c>
      <c r="O273">
        <f t="shared" si="14"/>
        <v>8.2076825940086279E-3</v>
      </c>
    </row>
    <row r="274" spans="1:15" x14ac:dyDescent="0.35">
      <c r="A274" s="2">
        <v>45330</v>
      </c>
      <c r="B274">
        <v>186.55815124511719</v>
      </c>
      <c r="C274">
        <v>717.2708740234375</v>
      </c>
      <c r="D274">
        <v>147.0976867675781</v>
      </c>
      <c r="E274">
        <v>167.45967102050781</v>
      </c>
      <c r="F274">
        <v>53.04266357421875</v>
      </c>
      <c r="G274">
        <v>151.75471496582031</v>
      </c>
      <c r="H274">
        <v>4997.91015625</v>
      </c>
      <c r="I274">
        <f t="shared" si="17"/>
        <v>-5.771421250492105E-3</v>
      </c>
      <c r="J274">
        <f t="shared" si="17"/>
        <v>6.0667330054228665E-3</v>
      </c>
      <c r="K274">
        <f t="shared" si="17"/>
        <v>-1.0051804702531109E-2</v>
      </c>
      <c r="L274">
        <f t="shared" si="16"/>
        <v>-3.5976490118102221E-3</v>
      </c>
      <c r="M274">
        <f t="shared" si="16"/>
        <v>-1.5975936594523157E-3</v>
      </c>
      <c r="N274">
        <f t="shared" si="16"/>
        <v>-3.0209525725692732E-3</v>
      </c>
      <c r="O274">
        <f t="shared" si="14"/>
        <v>5.7042054009059505E-4</v>
      </c>
    </row>
    <row r="275" spans="1:15" x14ac:dyDescent="0.35">
      <c r="A275" s="2">
        <v>45331</v>
      </c>
      <c r="B275">
        <v>187.3219299316406</v>
      </c>
      <c r="C275">
        <v>716.51812744140625</v>
      </c>
      <c r="D275">
        <v>147.43629455566409</v>
      </c>
      <c r="E275">
        <v>167.6608581542969</v>
      </c>
      <c r="F275">
        <v>53.315933227539063</v>
      </c>
      <c r="G275">
        <v>150.58766174316409</v>
      </c>
      <c r="H275">
        <v>5026.60986328125</v>
      </c>
      <c r="I275">
        <f t="shared" si="17"/>
        <v>4.0856937154403758E-3</v>
      </c>
      <c r="J275">
        <f t="shared" si="17"/>
        <v>-1.050010357761418E-3</v>
      </c>
      <c r="K275">
        <f t="shared" si="17"/>
        <v>2.2992792596684859E-3</v>
      </c>
      <c r="L275">
        <f t="shared" si="16"/>
        <v>1.2006853680646354E-3</v>
      </c>
      <c r="M275">
        <f t="shared" si="16"/>
        <v>5.1386585168094823E-3</v>
      </c>
      <c r="N275">
        <f t="shared" si="16"/>
        <v>-7.7201153985490996E-3</v>
      </c>
      <c r="O275">
        <f t="shared" si="14"/>
        <v>5.7259171287955156E-3</v>
      </c>
    </row>
    <row r="276" spans="1:15" x14ac:dyDescent="0.35">
      <c r="A276" s="2">
        <v>45334</v>
      </c>
      <c r="B276">
        <v>185.63566589355469</v>
      </c>
      <c r="C276">
        <v>715.53753662109375</v>
      </c>
      <c r="D276">
        <v>148.46147155761719</v>
      </c>
      <c r="E276">
        <v>168.40809631347659</v>
      </c>
      <c r="F276">
        <v>54.229976654052727</v>
      </c>
      <c r="G276">
        <v>150.29109191894531</v>
      </c>
      <c r="H276">
        <v>5021.83984375</v>
      </c>
      <c r="I276">
        <f t="shared" si="17"/>
        <v>-9.0427198563064227E-3</v>
      </c>
      <c r="J276">
        <f t="shared" si="17"/>
        <v>-1.369487231786082E-3</v>
      </c>
      <c r="K276">
        <f t="shared" si="17"/>
        <v>6.929292623013868E-3</v>
      </c>
      <c r="L276">
        <f t="shared" si="16"/>
        <v>4.4469409069131712E-3</v>
      </c>
      <c r="M276">
        <f t="shared" si="16"/>
        <v>1.6998609003807594E-2</v>
      </c>
      <c r="N276">
        <f t="shared" si="16"/>
        <v>-1.9713583405579094E-3</v>
      </c>
      <c r="O276">
        <f t="shared" si="14"/>
        <v>-9.4940414265244156E-4</v>
      </c>
    </row>
    <row r="277" spans="1:15" x14ac:dyDescent="0.35">
      <c r="A277" s="2">
        <v>45335</v>
      </c>
      <c r="B277">
        <v>183.5427551269531</v>
      </c>
      <c r="C277">
        <v>707.4552001953125</v>
      </c>
      <c r="D277">
        <v>147.16352844238281</v>
      </c>
      <c r="E277">
        <v>166.94232177734381</v>
      </c>
      <c r="F277">
        <v>52.062660217285163</v>
      </c>
      <c r="G277">
        <v>149.48756408691409</v>
      </c>
      <c r="H277">
        <v>4953.169921875</v>
      </c>
      <c r="I277">
        <f t="shared" si="17"/>
        <v>-1.1338328943594394E-2</v>
      </c>
      <c r="J277">
        <f t="shared" si="17"/>
        <v>-1.1359753470601449E-2</v>
      </c>
      <c r="K277">
        <f t="shared" si="17"/>
        <v>-8.7810669278989596E-3</v>
      </c>
      <c r="L277">
        <f t="shared" si="16"/>
        <v>-8.7418043424660648E-3</v>
      </c>
      <c r="M277">
        <f t="shared" si="16"/>
        <v>-4.0785833028963034E-2</v>
      </c>
      <c r="N277">
        <f t="shared" si="16"/>
        <v>-5.3608203270899494E-3</v>
      </c>
      <c r="O277">
        <f t="shared" si="14"/>
        <v>-1.3768609419845444E-2</v>
      </c>
    </row>
    <row r="278" spans="1:15" x14ac:dyDescent="0.35">
      <c r="A278" s="2">
        <v>45336</v>
      </c>
      <c r="B278">
        <v>182.65992736816409</v>
      </c>
      <c r="C278">
        <v>715.3096923828125</v>
      </c>
      <c r="D278">
        <v>146.47697448730469</v>
      </c>
      <c r="E278">
        <v>168.63801574707031</v>
      </c>
      <c r="F278">
        <v>52.778823852539063</v>
      </c>
      <c r="G278">
        <v>148.8753356933594</v>
      </c>
      <c r="H278">
        <v>5000.6201171875</v>
      </c>
      <c r="I278">
        <f t="shared" si="17"/>
        <v>-4.8215346924591418E-3</v>
      </c>
      <c r="J278">
        <f t="shared" si="17"/>
        <v>1.1041278883533677E-2</v>
      </c>
      <c r="K278">
        <f t="shared" si="17"/>
        <v>-4.6761614918336032E-3</v>
      </c>
      <c r="L278">
        <f t="shared" si="16"/>
        <v>1.0106124897014923E-2</v>
      </c>
      <c r="M278">
        <f t="shared" si="16"/>
        <v>1.3662049540736429E-2</v>
      </c>
      <c r="N278">
        <f t="shared" si="16"/>
        <v>-4.1039234655344137E-3</v>
      </c>
      <c r="O278">
        <f t="shared" si="14"/>
        <v>9.5341683042168071E-3</v>
      </c>
    </row>
    <row r="279" spans="1:15" x14ac:dyDescent="0.35">
      <c r="A279" s="2">
        <v>45337</v>
      </c>
      <c r="B279">
        <v>182.3722839355469</v>
      </c>
      <c r="C279">
        <v>717.6175537109375</v>
      </c>
      <c r="D279">
        <v>148.52729797363281</v>
      </c>
      <c r="E279">
        <v>172.31675720214841</v>
      </c>
      <c r="F279">
        <v>53.966133117675781</v>
      </c>
      <c r="G279">
        <v>150.1954345703125</v>
      </c>
      <c r="H279">
        <v>5029.72998046875</v>
      </c>
      <c r="I279">
        <f t="shared" si="17"/>
        <v>-1.5759896428093275E-3</v>
      </c>
      <c r="J279">
        <f t="shared" si="17"/>
        <v>3.2211870211215263E-3</v>
      </c>
      <c r="K279">
        <f t="shared" si="17"/>
        <v>1.3900520717939513E-2</v>
      </c>
      <c r="L279">
        <f t="shared" si="16"/>
        <v>2.1579895688152221E-2</v>
      </c>
      <c r="M279">
        <f t="shared" si="16"/>
        <v>2.2246638460975198E-2</v>
      </c>
      <c r="N279">
        <f t="shared" si="16"/>
        <v>8.8280606575649179E-3</v>
      </c>
      <c r="O279">
        <f t="shared" si="14"/>
        <v>5.8043726740400403E-3</v>
      </c>
    </row>
    <row r="280" spans="1:15" x14ac:dyDescent="0.35">
      <c r="A280" s="2">
        <v>45338</v>
      </c>
      <c r="B280">
        <v>180.8348388671875</v>
      </c>
      <c r="C280">
        <v>717.1024169921875</v>
      </c>
      <c r="D280">
        <v>148.3567199707031</v>
      </c>
      <c r="E280">
        <v>171.51202392578119</v>
      </c>
      <c r="F280">
        <v>53.739978790283203</v>
      </c>
      <c r="G280">
        <v>150.67372131347659</v>
      </c>
      <c r="H280">
        <v>5005.56982421875</v>
      </c>
      <c r="I280">
        <f t="shared" si="17"/>
        <v>-8.46599174191069E-3</v>
      </c>
      <c r="J280">
        <f t="shared" si="17"/>
        <v>-7.1810074635570928E-4</v>
      </c>
      <c r="K280">
        <f t="shared" si="17"/>
        <v>-1.149122292814957E-3</v>
      </c>
      <c r="L280">
        <f t="shared" si="16"/>
        <v>-4.6810202634369451E-3</v>
      </c>
      <c r="M280">
        <f t="shared" si="16"/>
        <v>-4.1994768124167733E-3</v>
      </c>
      <c r="N280">
        <f t="shared" si="16"/>
        <v>3.1793697473013042E-3</v>
      </c>
      <c r="O280">
        <f t="shared" si="14"/>
        <v>-4.8150435759610425E-3</v>
      </c>
    </row>
    <row r="281" spans="1:15" x14ac:dyDescent="0.35">
      <c r="A281" s="2">
        <v>45342</v>
      </c>
      <c r="B281">
        <v>180.09089660644531</v>
      </c>
      <c r="C281">
        <v>718.7862548828125</v>
      </c>
      <c r="D281">
        <v>149.59815979003909</v>
      </c>
      <c r="E281">
        <v>172.18263244628909</v>
      </c>
      <c r="F281">
        <v>53.344207763671882</v>
      </c>
      <c r="G281">
        <v>151.6303405761719</v>
      </c>
      <c r="H281">
        <v>4975.509765625</v>
      </c>
      <c r="I281">
        <f t="shared" si="17"/>
        <v>-4.1224176676244112E-3</v>
      </c>
      <c r="J281">
        <f t="shared" si="17"/>
        <v>2.3453610234085106E-3</v>
      </c>
      <c r="K281">
        <f t="shared" si="17"/>
        <v>8.3331208014872735E-3</v>
      </c>
      <c r="L281">
        <f t="shared" si="16"/>
        <v>3.9023555303990165E-3</v>
      </c>
      <c r="M281">
        <f t="shared" si="16"/>
        <v>-7.3918071637688616E-3</v>
      </c>
      <c r="N281">
        <f t="shared" si="16"/>
        <v>6.3288759654942786E-3</v>
      </c>
      <c r="O281">
        <f t="shared" si="14"/>
        <v>-6.0234264658172495E-3</v>
      </c>
    </row>
    <row r="282" spans="1:15" x14ac:dyDescent="0.35">
      <c r="A282" s="2">
        <v>45343</v>
      </c>
      <c r="B282">
        <v>180.8447570800781</v>
      </c>
      <c r="C282">
        <v>716.14178466796875</v>
      </c>
      <c r="D282">
        <v>150.375244140625</v>
      </c>
      <c r="E282">
        <v>173.3034973144531</v>
      </c>
      <c r="F282">
        <v>53.805934906005859</v>
      </c>
      <c r="G282">
        <v>153.43829345703119</v>
      </c>
      <c r="H282">
        <v>4981.7998046875</v>
      </c>
      <c r="I282">
        <f t="shared" si="17"/>
        <v>4.177262967189144E-3</v>
      </c>
      <c r="J282">
        <f t="shared" si="17"/>
        <v>-3.6858617796035899E-3</v>
      </c>
      <c r="K282">
        <f t="shared" si="17"/>
        <v>5.1810332428304639E-3</v>
      </c>
      <c r="L282">
        <f t="shared" si="16"/>
        <v>6.4886471798015479E-3</v>
      </c>
      <c r="M282">
        <f t="shared" si="16"/>
        <v>8.6183739709090254E-3</v>
      </c>
      <c r="N282">
        <f t="shared" si="16"/>
        <v>1.1852900271673591E-2</v>
      </c>
      <c r="O282">
        <f t="shared" si="16"/>
        <v>1.2634014951035982E-3</v>
      </c>
    </row>
    <row r="283" spans="1:15" x14ac:dyDescent="0.35">
      <c r="A283" s="2">
        <v>45344</v>
      </c>
      <c r="B283">
        <v>182.87818908691409</v>
      </c>
      <c r="C283">
        <v>727.41351318359375</v>
      </c>
      <c r="D283">
        <v>152.05262756347659</v>
      </c>
      <c r="E283">
        <v>175.38238525390619</v>
      </c>
      <c r="F283">
        <v>53.400745391845703</v>
      </c>
      <c r="G283">
        <v>153.59136962890619</v>
      </c>
      <c r="H283">
        <v>5087.02978515625</v>
      </c>
      <c r="I283">
        <f t="shared" si="17"/>
        <v>1.1181330260062364E-2</v>
      </c>
      <c r="J283">
        <f t="shared" si="17"/>
        <v>1.5616939120821934E-2</v>
      </c>
      <c r="K283">
        <f t="shared" si="17"/>
        <v>1.1092897052539253E-2</v>
      </c>
      <c r="L283">
        <f t="shared" si="16"/>
        <v>1.1924271535564437E-2</v>
      </c>
      <c r="M283">
        <f t="shared" si="16"/>
        <v>-7.559070804073708E-3</v>
      </c>
      <c r="N283">
        <f t="shared" si="16"/>
        <v>9.971426410073053E-4</v>
      </c>
      <c r="O283">
        <f t="shared" si="16"/>
        <v>2.090288866640342E-2</v>
      </c>
    </row>
    <row r="284" spans="1:15" x14ac:dyDescent="0.35">
      <c r="A284" s="2">
        <v>45345</v>
      </c>
      <c r="B284">
        <v>181.04316711425781</v>
      </c>
      <c r="C284">
        <v>730.90985107421875</v>
      </c>
      <c r="D284">
        <v>153.369873046875</v>
      </c>
      <c r="E284">
        <v>176.26374816894531</v>
      </c>
      <c r="F284">
        <v>53.504398345947273</v>
      </c>
      <c r="G284">
        <v>154.04095458984381</v>
      </c>
      <c r="H284">
        <v>5088.7998046875</v>
      </c>
      <c r="I284">
        <f t="shared" si="17"/>
        <v>-1.0084802629295642E-2</v>
      </c>
      <c r="J284">
        <f t="shared" si="17"/>
        <v>4.7950196442850231E-3</v>
      </c>
      <c r="K284">
        <f t="shared" si="17"/>
        <v>8.6257800137570385E-3</v>
      </c>
      <c r="L284">
        <f t="shared" si="16"/>
        <v>5.0127936971219042E-3</v>
      </c>
      <c r="M284">
        <f t="shared" si="16"/>
        <v>1.9391580789902842E-3</v>
      </c>
      <c r="N284">
        <f t="shared" si="16"/>
        <v>2.922874130041859E-3</v>
      </c>
      <c r="O284">
        <f t="shared" si="16"/>
        <v>3.47887026502183E-4</v>
      </c>
    </row>
    <row r="285" spans="1:15" x14ac:dyDescent="0.35">
      <c r="A285" s="2">
        <v>45348</v>
      </c>
      <c r="B285">
        <v>179.69413757324219</v>
      </c>
      <c r="C285">
        <v>738.25927734375</v>
      </c>
      <c r="D285">
        <v>152.37480163574219</v>
      </c>
      <c r="E285">
        <v>175.66020202636719</v>
      </c>
      <c r="F285">
        <v>52.444107055664063</v>
      </c>
      <c r="G285">
        <v>153.26612854003909</v>
      </c>
      <c r="H285">
        <v>5069.52978515625</v>
      </c>
      <c r="I285">
        <f t="shared" si="17"/>
        <v>-7.4793253275482795E-3</v>
      </c>
      <c r="J285">
        <f t="shared" si="17"/>
        <v>1.0004957813543882E-2</v>
      </c>
      <c r="K285">
        <f t="shared" si="17"/>
        <v>-6.509188920830673E-3</v>
      </c>
      <c r="L285">
        <f t="shared" si="16"/>
        <v>-3.4299838584964217E-3</v>
      </c>
      <c r="M285">
        <f t="shared" si="16"/>
        <v>-2.0015887628514754E-2</v>
      </c>
      <c r="N285">
        <f t="shared" si="16"/>
        <v>-5.0426933464580532E-3</v>
      </c>
      <c r="O285">
        <f t="shared" si="16"/>
        <v>-3.7939392446684839E-3</v>
      </c>
    </row>
    <row r="286" spans="1:15" x14ac:dyDescent="0.35">
      <c r="A286" s="2">
        <v>45349</v>
      </c>
      <c r="B286">
        <v>181.1522521972656</v>
      </c>
      <c r="C286">
        <v>737.6253662109375</v>
      </c>
      <c r="D286">
        <v>152.55487060546881</v>
      </c>
      <c r="E286">
        <v>175.74641418457031</v>
      </c>
      <c r="F286">
        <v>52.833988189697273</v>
      </c>
      <c r="G286">
        <v>152.38604736328119</v>
      </c>
      <c r="H286">
        <v>5078.18017578125</v>
      </c>
      <c r="I286">
        <f t="shared" si="17"/>
        <v>8.0816801917451917E-3</v>
      </c>
      <c r="J286">
        <f t="shared" si="17"/>
        <v>-8.5902536429578551E-4</v>
      </c>
      <c r="K286">
        <f t="shared" si="17"/>
        <v>1.1810525970426145E-3</v>
      </c>
      <c r="L286">
        <f t="shared" si="16"/>
        <v>4.9066896270975988E-4</v>
      </c>
      <c r="M286">
        <f t="shared" si="16"/>
        <v>7.4067243620887287E-3</v>
      </c>
      <c r="N286">
        <f t="shared" si="16"/>
        <v>-5.7587262798177753E-3</v>
      </c>
      <c r="O286">
        <f t="shared" si="16"/>
        <v>1.704895538720964E-3</v>
      </c>
    </row>
    <row r="287" spans="1:15" x14ac:dyDescent="0.35">
      <c r="A287" s="2">
        <v>45350</v>
      </c>
      <c r="B287">
        <v>179.9520568847656</v>
      </c>
      <c r="C287">
        <v>740.84454345703125</v>
      </c>
      <c r="D287">
        <v>153.09503173828119</v>
      </c>
      <c r="E287">
        <v>176.63737487792969</v>
      </c>
      <c r="F287">
        <v>52.339504241943359</v>
      </c>
      <c r="G287">
        <v>153.103515625</v>
      </c>
      <c r="H287">
        <v>5069.759765625</v>
      </c>
      <c r="I287">
        <f t="shared" si="17"/>
        <v>-6.6473852668226963E-3</v>
      </c>
      <c r="J287">
        <f t="shared" si="17"/>
        <v>4.3547485307210542E-3</v>
      </c>
      <c r="K287">
        <f t="shared" si="17"/>
        <v>3.5345124667996906E-3</v>
      </c>
      <c r="L287">
        <f t="shared" si="16"/>
        <v>5.0567740036464217E-3</v>
      </c>
      <c r="M287">
        <f t="shared" si="16"/>
        <v>-9.4032741502233282E-3</v>
      </c>
      <c r="N287">
        <f t="shared" si="16"/>
        <v>4.6971790057546235E-3</v>
      </c>
      <c r="O287">
        <f t="shared" si="16"/>
        <v>-1.6595313211122439E-3</v>
      </c>
    </row>
    <row r="288" spans="1:15" x14ac:dyDescent="0.35">
      <c r="A288" s="2">
        <v>45351</v>
      </c>
      <c r="B288">
        <v>179.28746032714841</v>
      </c>
      <c r="C288">
        <v>736.813232421875</v>
      </c>
      <c r="D288">
        <v>152.9339294433594</v>
      </c>
      <c r="E288">
        <v>178.24684143066409</v>
      </c>
      <c r="F288">
        <v>52.482143402099609</v>
      </c>
      <c r="G288">
        <v>152.04168701171881</v>
      </c>
      <c r="H288">
        <v>5096.27001953125</v>
      </c>
      <c r="I288">
        <f t="shared" si="17"/>
        <v>-3.7000234327143298E-3</v>
      </c>
      <c r="J288">
        <f t="shared" si="17"/>
        <v>-5.4563662880786961E-3</v>
      </c>
      <c r="K288">
        <f t="shared" si="17"/>
        <v>-1.0528566262595503E-3</v>
      </c>
      <c r="L288">
        <f t="shared" si="16"/>
        <v>9.0704376997993719E-3</v>
      </c>
      <c r="M288">
        <f t="shared" si="16"/>
        <v>2.7215608875635956E-3</v>
      </c>
      <c r="N288">
        <f t="shared" si="16"/>
        <v>-6.9595254318783632E-3</v>
      </c>
      <c r="O288">
        <f t="shared" si="16"/>
        <v>5.2154704557999644E-3</v>
      </c>
    </row>
    <row r="289" spans="1:15" x14ac:dyDescent="0.35">
      <c r="A289" s="2">
        <v>45352</v>
      </c>
      <c r="B289">
        <v>178.206298828125</v>
      </c>
      <c r="C289">
        <v>742.31036376953125</v>
      </c>
      <c r="D289">
        <v>153.63519287109381</v>
      </c>
      <c r="E289">
        <v>177.50917053222659</v>
      </c>
      <c r="F289">
        <v>52.50115966796875</v>
      </c>
      <c r="G289">
        <v>151.9555969238281</v>
      </c>
      <c r="H289">
        <v>5137.080078125</v>
      </c>
      <c r="I289">
        <f t="shared" si="17"/>
        <v>-6.0485799684784616E-3</v>
      </c>
      <c r="J289">
        <f t="shared" si="17"/>
        <v>7.4329916326201081E-3</v>
      </c>
      <c r="K289">
        <f t="shared" si="17"/>
        <v>4.5749203021750087E-3</v>
      </c>
      <c r="L289">
        <f t="shared" si="16"/>
        <v>-4.1470667021613556E-3</v>
      </c>
      <c r="M289">
        <f t="shared" si="16"/>
        <v>3.6227219988361716E-4</v>
      </c>
      <c r="N289">
        <f t="shared" si="16"/>
        <v>-5.6638723265959733E-4</v>
      </c>
      <c r="O289">
        <f t="shared" si="16"/>
        <v>7.975936433387976E-3</v>
      </c>
    </row>
    <row r="290" spans="1:15" x14ac:dyDescent="0.35">
      <c r="A290" s="2">
        <v>45355</v>
      </c>
      <c r="B290">
        <v>173.68318176269531</v>
      </c>
      <c r="C290">
        <v>751.95770263671875</v>
      </c>
      <c r="D290">
        <v>151.47454833984381</v>
      </c>
      <c r="E290">
        <v>178.84075927734381</v>
      </c>
      <c r="F290">
        <v>52.272945404052727</v>
      </c>
      <c r="G290">
        <v>152.634765625</v>
      </c>
      <c r="H290">
        <v>5130.9501953125</v>
      </c>
      <c r="I290">
        <f t="shared" si="17"/>
        <v>-2.5709016285087448E-2</v>
      </c>
      <c r="J290">
        <f t="shared" si="17"/>
        <v>1.2912640148694029E-2</v>
      </c>
      <c r="K290">
        <f t="shared" si="17"/>
        <v>-1.4163301644638452E-2</v>
      </c>
      <c r="L290">
        <f t="shared" si="16"/>
        <v>7.4735243733864186E-3</v>
      </c>
      <c r="M290">
        <f t="shared" si="16"/>
        <v>-4.3563173299432665E-3</v>
      </c>
      <c r="N290">
        <f t="shared" si="16"/>
        <v>4.4595621547566687E-3</v>
      </c>
      <c r="O290">
        <f t="shared" si="16"/>
        <v>-1.1939745749630112E-3</v>
      </c>
    </row>
    <row r="291" spans="1:15" x14ac:dyDescent="0.35">
      <c r="A291" s="2">
        <v>45356</v>
      </c>
      <c r="B291">
        <v>168.74346923828119</v>
      </c>
      <c r="C291">
        <v>752.7203369140625</v>
      </c>
      <c r="D291">
        <v>151.59770202636719</v>
      </c>
      <c r="E291">
        <v>180.63227844238281</v>
      </c>
      <c r="F291">
        <v>52.681838989257813</v>
      </c>
      <c r="G291">
        <v>152.40519714355469</v>
      </c>
      <c r="H291">
        <v>5078.64990234375</v>
      </c>
      <c r="I291">
        <f t="shared" si="17"/>
        <v>-2.8853216892549466E-2</v>
      </c>
      <c r="J291">
        <f t="shared" si="17"/>
        <v>1.0136844196591422E-3</v>
      </c>
      <c r="K291">
        <f t="shared" si="17"/>
        <v>8.1270187655254624E-4</v>
      </c>
      <c r="L291">
        <f t="shared" si="16"/>
        <v>9.9675570050645097E-3</v>
      </c>
      <c r="M291">
        <f t="shared" si="16"/>
        <v>7.791844008330503E-3</v>
      </c>
      <c r="N291">
        <f t="shared" si="16"/>
        <v>-1.5051701600214003E-3</v>
      </c>
      <c r="O291">
        <f t="shared" si="16"/>
        <v>-1.0245406275917994E-2</v>
      </c>
    </row>
    <row r="292" spans="1:15" x14ac:dyDescent="0.35">
      <c r="A292" s="2">
        <v>45357</v>
      </c>
      <c r="B292">
        <v>167.75157165527341</v>
      </c>
      <c r="C292">
        <v>765.8839111328125</v>
      </c>
      <c r="D292">
        <v>151.0007019042969</v>
      </c>
      <c r="E292">
        <v>181.57112121582031</v>
      </c>
      <c r="F292">
        <v>52.805458068847663</v>
      </c>
      <c r="G292">
        <v>152.64434814453119</v>
      </c>
      <c r="H292">
        <v>5104.759765625</v>
      </c>
      <c r="I292">
        <f t="shared" si="17"/>
        <v>-5.8954833527294645E-3</v>
      </c>
      <c r="J292">
        <f t="shared" si="17"/>
        <v>1.7336845915602469E-2</v>
      </c>
      <c r="K292">
        <f t="shared" si="17"/>
        <v>-3.9458297790180589E-3</v>
      </c>
      <c r="L292">
        <f t="shared" si="16"/>
        <v>5.1840754499313845E-3</v>
      </c>
      <c r="M292">
        <f t="shared" si="16"/>
        <v>2.3437729400002374E-3</v>
      </c>
      <c r="N292">
        <f t="shared" si="16"/>
        <v>1.5679489031593461E-3</v>
      </c>
      <c r="O292">
        <f t="shared" si="16"/>
        <v>5.1279328530016433E-3</v>
      </c>
    </row>
    <row r="293" spans="1:15" x14ac:dyDescent="0.35">
      <c r="A293" s="2">
        <v>45358</v>
      </c>
      <c r="B293">
        <v>167.6325378417969</v>
      </c>
      <c r="C293">
        <v>778.11639404296875</v>
      </c>
      <c r="D293">
        <v>150.5552978515625</v>
      </c>
      <c r="E293">
        <v>179.98081970214841</v>
      </c>
      <c r="F293">
        <v>53.490127563476563</v>
      </c>
      <c r="G293">
        <v>153.64875793457031</v>
      </c>
      <c r="H293">
        <v>5157.35986328125</v>
      </c>
      <c r="I293">
        <f t="shared" si="17"/>
        <v>-7.0983576802796037E-4</v>
      </c>
      <c r="J293">
        <f t="shared" si="17"/>
        <v>1.5845513517970859E-2</v>
      </c>
      <c r="K293">
        <f t="shared" si="17"/>
        <v>-2.9540408878696496E-3</v>
      </c>
      <c r="L293">
        <f t="shared" si="16"/>
        <v>-8.7971413772538858E-3</v>
      </c>
      <c r="M293">
        <f t="shared" si="16"/>
        <v>1.2882547464422063E-2</v>
      </c>
      <c r="N293">
        <f t="shared" si="16"/>
        <v>6.55851124569459E-3</v>
      </c>
      <c r="O293">
        <f t="shared" si="16"/>
        <v>1.0251402284983627E-2</v>
      </c>
    </row>
    <row r="294" spans="1:15" x14ac:dyDescent="0.35">
      <c r="A294" s="2">
        <v>45359</v>
      </c>
      <c r="B294">
        <v>169.34852600097659</v>
      </c>
      <c r="C294">
        <v>718.65753173828125</v>
      </c>
      <c r="D294">
        <v>151.17127990722659</v>
      </c>
      <c r="E294">
        <v>180.3161315917969</v>
      </c>
      <c r="F294">
        <v>54.973594665527337</v>
      </c>
      <c r="G294">
        <v>153.39048767089841</v>
      </c>
      <c r="H294">
        <v>5123.68994140625</v>
      </c>
      <c r="I294">
        <f t="shared" si="17"/>
        <v>1.0184566291138418E-2</v>
      </c>
      <c r="J294">
        <f t="shared" si="17"/>
        <v>-7.9491187386772216E-2</v>
      </c>
      <c r="K294">
        <f t="shared" si="17"/>
        <v>4.0830537104766754E-3</v>
      </c>
      <c r="L294">
        <f t="shared" si="16"/>
        <v>1.8613090410606631E-3</v>
      </c>
      <c r="M294">
        <f t="shared" si="16"/>
        <v>2.7355867608477247E-2</v>
      </c>
      <c r="N294">
        <f t="shared" si="16"/>
        <v>-1.6823277693783242E-3</v>
      </c>
      <c r="O294">
        <f t="shared" si="16"/>
        <v>-6.5499229920503374E-3</v>
      </c>
    </row>
    <row r="295" spans="1:15" x14ac:dyDescent="0.35">
      <c r="A295" s="2">
        <v>45362</v>
      </c>
      <c r="B295">
        <v>171.3521728515625</v>
      </c>
      <c r="C295">
        <v>707.2867431640625</v>
      </c>
      <c r="D295">
        <v>152.7917785644531</v>
      </c>
      <c r="E295">
        <v>180.38319396972659</v>
      </c>
      <c r="F295">
        <v>55.030654907226563</v>
      </c>
      <c r="G295">
        <v>154.53839111328119</v>
      </c>
      <c r="H295">
        <v>5117.93994140625</v>
      </c>
      <c r="I295">
        <f t="shared" si="17"/>
        <v>1.1762053655750332E-2</v>
      </c>
      <c r="J295">
        <f t="shared" si="17"/>
        <v>-1.5948771350023452E-2</v>
      </c>
      <c r="K295">
        <f t="shared" si="17"/>
        <v>1.0662572078854363E-2</v>
      </c>
      <c r="L295">
        <f t="shared" si="16"/>
        <v>3.718464324712088E-4</v>
      </c>
      <c r="M295">
        <f t="shared" si="16"/>
        <v>1.0374189549653653E-3</v>
      </c>
      <c r="N295">
        <f t="shared" si="16"/>
        <v>7.455674597939518E-3</v>
      </c>
      <c r="O295">
        <f t="shared" si="16"/>
        <v>-1.1228682680281005E-3</v>
      </c>
    </row>
    <row r="296" spans="1:15" x14ac:dyDescent="0.35">
      <c r="A296" s="2">
        <v>45363</v>
      </c>
      <c r="B296">
        <v>171.82830810546881</v>
      </c>
      <c r="C296">
        <v>729.869873046875</v>
      </c>
      <c r="D296">
        <v>154.22276306152341</v>
      </c>
      <c r="E296">
        <v>181.86810302734381</v>
      </c>
      <c r="F296">
        <v>54.345973968505859</v>
      </c>
      <c r="G296">
        <v>154.90190124511719</v>
      </c>
      <c r="H296">
        <v>5175.27001953125</v>
      </c>
      <c r="I296">
        <f t="shared" si="17"/>
        <v>2.7748405625417838E-3</v>
      </c>
      <c r="J296">
        <f t="shared" si="17"/>
        <v>3.1430101162100418E-2</v>
      </c>
      <c r="K296">
        <f t="shared" si="17"/>
        <v>9.3220005290488312E-3</v>
      </c>
      <c r="L296">
        <f t="shared" si="16"/>
        <v>8.1982722317452683E-3</v>
      </c>
      <c r="M296">
        <f t="shared" si="16"/>
        <v>-1.2519857106561257E-2</v>
      </c>
      <c r="N296">
        <f t="shared" si="16"/>
        <v>2.3494697234181889E-3</v>
      </c>
      <c r="O296">
        <f t="shared" si="16"/>
        <v>1.1139512586668012E-2</v>
      </c>
    </row>
    <row r="297" spans="1:15" x14ac:dyDescent="0.35">
      <c r="A297" s="2">
        <v>45364</v>
      </c>
      <c r="B297">
        <v>169.74530029296881</v>
      </c>
      <c r="C297">
        <v>727.21527099609375</v>
      </c>
      <c r="D297">
        <v>152.66862487792969</v>
      </c>
      <c r="E297">
        <v>183.34344482421881</v>
      </c>
      <c r="F297">
        <v>56.618709564208977</v>
      </c>
      <c r="G297">
        <v>155.255859375</v>
      </c>
      <c r="H297">
        <v>5165.31005859375</v>
      </c>
      <c r="I297">
        <f t="shared" si="17"/>
        <v>-1.219668957694865E-2</v>
      </c>
      <c r="J297">
        <f t="shared" si="17"/>
        <v>-3.643719790379718E-3</v>
      </c>
      <c r="K297">
        <f t="shared" si="17"/>
        <v>-1.0128348532314636E-2</v>
      </c>
      <c r="L297">
        <f t="shared" si="16"/>
        <v>8.0794259165737348E-3</v>
      </c>
      <c r="M297">
        <f t="shared" si="16"/>
        <v>4.0968953451520317E-2</v>
      </c>
      <c r="N297">
        <f t="shared" si="16"/>
        <v>2.2824402835394312E-3</v>
      </c>
      <c r="O297">
        <f t="shared" si="16"/>
        <v>-1.9263840021219723E-3</v>
      </c>
    </row>
    <row r="298" spans="1:15" x14ac:dyDescent="0.35">
      <c r="A298" s="2">
        <v>45365</v>
      </c>
      <c r="B298">
        <v>171.60015869140619</v>
      </c>
      <c r="C298">
        <v>724.9866943359375</v>
      </c>
      <c r="D298">
        <v>150.87750244140619</v>
      </c>
      <c r="E298">
        <v>180.0766296386719</v>
      </c>
      <c r="F298">
        <v>56.618709564208977</v>
      </c>
      <c r="G298">
        <v>154.49055480957031</v>
      </c>
      <c r="H298">
        <v>5150.47998046875</v>
      </c>
      <c r="I298">
        <f t="shared" si="17"/>
        <v>1.086803182324631E-2</v>
      </c>
      <c r="J298">
        <f t="shared" si="17"/>
        <v>-3.0692403162021244E-3</v>
      </c>
      <c r="K298">
        <f t="shared" si="17"/>
        <v>-1.18014566050639E-2</v>
      </c>
      <c r="L298">
        <f t="shared" si="16"/>
        <v>-1.7978661112237566E-2</v>
      </c>
      <c r="M298">
        <f t="shared" si="16"/>
        <v>0</v>
      </c>
      <c r="N298">
        <f t="shared" si="16"/>
        <v>-4.9415010968804334E-3</v>
      </c>
      <c r="O298">
        <f t="shared" si="16"/>
        <v>-2.8752210514951882E-3</v>
      </c>
    </row>
    <row r="299" spans="1:15" x14ac:dyDescent="0.35">
      <c r="A299" s="2">
        <v>45366</v>
      </c>
      <c r="B299">
        <v>171.2232360839844</v>
      </c>
      <c r="C299">
        <v>718.72686767578125</v>
      </c>
      <c r="D299">
        <v>149.9013977050781</v>
      </c>
      <c r="E299">
        <v>182.30879211425781</v>
      </c>
      <c r="F299">
        <v>57.132217407226563</v>
      </c>
      <c r="G299">
        <v>154.37577819824219</v>
      </c>
      <c r="H299">
        <v>5117.08984375</v>
      </c>
      <c r="I299">
        <f t="shared" si="17"/>
        <v>-2.1989325410343009E-3</v>
      </c>
      <c r="J299">
        <f t="shared" si="17"/>
        <v>-8.6718945557968264E-3</v>
      </c>
      <c r="K299">
        <f t="shared" si="17"/>
        <v>-6.490536154977411E-3</v>
      </c>
      <c r="L299">
        <f t="shared" si="16"/>
        <v>1.2319428831770471E-2</v>
      </c>
      <c r="M299">
        <f t="shared" si="16"/>
        <v>9.0286970840991933E-3</v>
      </c>
      <c r="N299">
        <f t="shared" si="16"/>
        <v>-7.4321222059789806E-4</v>
      </c>
      <c r="O299">
        <f t="shared" si="16"/>
        <v>-6.5040228597376655E-3</v>
      </c>
    </row>
    <row r="300" spans="1:15" x14ac:dyDescent="0.35">
      <c r="A300" s="2">
        <v>45369</v>
      </c>
      <c r="B300">
        <v>172.3143615722656</v>
      </c>
      <c r="C300">
        <v>724.58062744140625</v>
      </c>
      <c r="D300">
        <v>148.55572509765619</v>
      </c>
      <c r="E300">
        <v>184.5696716308594</v>
      </c>
      <c r="F300">
        <v>57.217803955078118</v>
      </c>
      <c r="G300">
        <v>154.2131652832031</v>
      </c>
      <c r="H300">
        <v>5149.419921875</v>
      </c>
      <c r="I300">
        <f t="shared" si="17"/>
        <v>6.3523129043410644E-3</v>
      </c>
      <c r="J300">
        <f t="shared" si="17"/>
        <v>8.1116350920900204E-3</v>
      </c>
      <c r="K300">
        <f t="shared" si="17"/>
        <v>-9.0175882793446897E-3</v>
      </c>
      <c r="L300">
        <f t="shared" si="16"/>
        <v>1.2325106870391383E-2</v>
      </c>
      <c r="M300">
        <f t="shared" si="16"/>
        <v>1.496922568332166E-3</v>
      </c>
      <c r="N300">
        <f t="shared" si="16"/>
        <v>-1.0539128735860492E-3</v>
      </c>
      <c r="O300">
        <f t="shared" si="16"/>
        <v>6.2981842384804559E-3</v>
      </c>
    </row>
    <row r="301" spans="1:15" x14ac:dyDescent="0.35">
      <c r="A301" s="2">
        <v>45370</v>
      </c>
      <c r="B301">
        <v>174.6552429199219</v>
      </c>
      <c r="C301">
        <v>725.20458984375</v>
      </c>
      <c r="D301">
        <v>148.03453063964841</v>
      </c>
      <c r="E301">
        <v>185.65223693847659</v>
      </c>
      <c r="F301">
        <v>58.263832092285163</v>
      </c>
      <c r="G301">
        <v>154.80622863769531</v>
      </c>
      <c r="H301">
        <v>5178.509765625</v>
      </c>
      <c r="I301">
        <f t="shared" si="17"/>
        <v>1.3493498192001064E-2</v>
      </c>
      <c r="J301">
        <f t="shared" si="17"/>
        <v>8.6076535121180269E-4</v>
      </c>
      <c r="K301">
        <f t="shared" si="17"/>
        <v>-3.5145793526256287E-3</v>
      </c>
      <c r="L301">
        <f t="shared" si="16"/>
        <v>5.8482135606424948E-3</v>
      </c>
      <c r="M301">
        <f t="shared" si="16"/>
        <v>1.8116417157261224E-2</v>
      </c>
      <c r="N301">
        <f t="shared" si="16"/>
        <v>3.8383615675483111E-3</v>
      </c>
      <c r="O301">
        <f t="shared" si="16"/>
        <v>5.6332530443431198E-3</v>
      </c>
    </row>
    <row r="302" spans="1:15" x14ac:dyDescent="0.35">
      <c r="A302" s="2">
        <v>45371</v>
      </c>
      <c r="B302">
        <v>177.22430419921881</v>
      </c>
      <c r="C302">
        <v>733.67333984375</v>
      </c>
      <c r="D302">
        <v>147.60807800292969</v>
      </c>
      <c r="E302">
        <v>188.08558654785159</v>
      </c>
      <c r="F302">
        <v>59.148204803466797</v>
      </c>
      <c r="G302">
        <v>154.95930480957031</v>
      </c>
      <c r="H302">
        <v>5224.6201171875</v>
      </c>
      <c r="I302">
        <f t="shared" si="17"/>
        <v>1.460219526246653E-2</v>
      </c>
      <c r="J302">
        <f t="shared" si="17"/>
        <v>1.1610080535849285E-2</v>
      </c>
      <c r="K302">
        <f t="shared" si="17"/>
        <v>-2.884921997198941E-3</v>
      </c>
      <c r="L302">
        <f t="shared" si="16"/>
        <v>1.3021877056438858E-2</v>
      </c>
      <c r="M302">
        <f t="shared" si="16"/>
        <v>1.5064714996487559E-2</v>
      </c>
      <c r="N302">
        <f t="shared" si="16"/>
        <v>9.8833580761526819E-4</v>
      </c>
      <c r="O302">
        <f t="shared" si="16"/>
        <v>8.8647655163601839E-3</v>
      </c>
    </row>
    <row r="303" spans="1:15" x14ac:dyDescent="0.35">
      <c r="A303" s="2">
        <v>45372</v>
      </c>
      <c r="B303">
        <v>169.98335266113281</v>
      </c>
      <c r="C303">
        <v>735.4957275390625</v>
      </c>
      <c r="D303">
        <v>147.59858703613281</v>
      </c>
      <c r="E303">
        <v>190.7008972167969</v>
      </c>
      <c r="F303">
        <v>58.349418640136719</v>
      </c>
      <c r="G303">
        <v>154.83494567871091</v>
      </c>
      <c r="H303">
        <v>5241.52978515625</v>
      </c>
      <c r="I303">
        <f t="shared" si="17"/>
        <v>-4.1715678913806342E-2</v>
      </c>
      <c r="J303">
        <f t="shared" si="17"/>
        <v>2.4808426347120559E-3</v>
      </c>
      <c r="K303">
        <f t="shared" si="17"/>
        <v>-6.4300491311017929E-5</v>
      </c>
      <c r="L303">
        <f t="shared" si="16"/>
        <v>1.380911062412144E-2</v>
      </c>
      <c r="M303">
        <f t="shared" si="16"/>
        <v>-1.3596844704194472E-2</v>
      </c>
      <c r="N303">
        <f t="shared" si="16"/>
        <v>-8.0284987434872462E-4</v>
      </c>
      <c r="O303">
        <f t="shared" si="16"/>
        <v>3.2313090945288881E-3</v>
      </c>
    </row>
    <row r="304" spans="1:15" x14ac:dyDescent="0.35">
      <c r="A304" s="2">
        <v>45373</v>
      </c>
      <c r="B304">
        <v>170.8860168457031</v>
      </c>
      <c r="C304">
        <v>727.80963134765625</v>
      </c>
      <c r="D304">
        <v>147.10581970214841</v>
      </c>
      <c r="E304">
        <v>188.3633728027344</v>
      </c>
      <c r="F304">
        <v>58.748805999755859</v>
      </c>
      <c r="G304">
        <v>154.64363098144531</v>
      </c>
      <c r="H304">
        <v>5234.18017578125</v>
      </c>
      <c r="I304">
        <f t="shared" si="17"/>
        <v>5.2962593610573613E-3</v>
      </c>
      <c r="J304">
        <f t="shared" si="17"/>
        <v>-1.05052125050122E-2</v>
      </c>
      <c r="K304">
        <f t="shared" si="17"/>
        <v>-3.3441494728228033E-3</v>
      </c>
      <c r="L304">
        <f t="shared" si="16"/>
        <v>-1.2333286088537251E-2</v>
      </c>
      <c r="M304">
        <f t="shared" si="16"/>
        <v>6.8214340488247207E-3</v>
      </c>
      <c r="N304">
        <f t="shared" si="16"/>
        <v>-1.2363681111671261E-3</v>
      </c>
      <c r="O304">
        <f t="shared" si="16"/>
        <v>-1.4031718343267125E-3</v>
      </c>
    </row>
    <row r="305" spans="1:15" x14ac:dyDescent="0.35">
      <c r="A305" s="2">
        <v>45376</v>
      </c>
      <c r="B305">
        <v>169.46757507324219</v>
      </c>
      <c r="C305">
        <v>724.00616455078125</v>
      </c>
      <c r="D305">
        <v>147.0963439941406</v>
      </c>
      <c r="E305">
        <v>186.63897705078119</v>
      </c>
      <c r="F305">
        <v>59.5380859375</v>
      </c>
      <c r="G305">
        <v>153.2374267578125</v>
      </c>
      <c r="H305">
        <v>5218.18994140625</v>
      </c>
      <c r="I305">
        <f t="shared" si="17"/>
        <v>-8.3351550757461267E-3</v>
      </c>
      <c r="J305">
        <f t="shared" si="17"/>
        <v>-5.2396116768609873E-3</v>
      </c>
      <c r="K305">
        <f t="shared" si="17"/>
        <v>-6.4416304027344601E-5</v>
      </c>
      <c r="L305">
        <f t="shared" si="16"/>
        <v>-9.1967845366689709E-3</v>
      </c>
      <c r="M305">
        <f t="shared" si="16"/>
        <v>1.3345378155675639E-2</v>
      </c>
      <c r="N305">
        <f t="shared" si="16"/>
        <v>-9.1347873900412581E-3</v>
      </c>
      <c r="O305">
        <f t="shared" si="16"/>
        <v>-3.0596403820319297E-3</v>
      </c>
    </row>
    <row r="306" spans="1:15" x14ac:dyDescent="0.35">
      <c r="A306" s="2">
        <v>45377</v>
      </c>
      <c r="B306">
        <v>168.3367919921875</v>
      </c>
      <c r="C306">
        <v>724.0260009765625</v>
      </c>
      <c r="D306">
        <v>147.6175537109375</v>
      </c>
      <c r="E306">
        <v>187.51072692871091</v>
      </c>
      <c r="F306">
        <v>58.415977478027337</v>
      </c>
      <c r="G306">
        <v>153.5818176269531</v>
      </c>
      <c r="H306">
        <v>5203.580078125</v>
      </c>
      <c r="I306">
        <f t="shared" si="17"/>
        <v>-6.6949241333913879E-3</v>
      </c>
      <c r="J306">
        <f t="shared" si="17"/>
        <v>2.739776954498096E-5</v>
      </c>
      <c r="K306">
        <f t="shared" si="17"/>
        <v>3.5370592581537635E-3</v>
      </c>
      <c r="L306">
        <f t="shared" si="16"/>
        <v>4.6599072304051607E-3</v>
      </c>
      <c r="M306">
        <f t="shared" si="16"/>
        <v>-1.902676819639124E-2</v>
      </c>
      <c r="N306">
        <f t="shared" si="16"/>
        <v>2.244911426365211E-3</v>
      </c>
      <c r="O306">
        <f t="shared" si="16"/>
        <v>-2.803721982805726E-3</v>
      </c>
    </row>
    <row r="307" spans="1:15" x14ac:dyDescent="0.35">
      <c r="A307" s="2">
        <v>45378</v>
      </c>
      <c r="B307">
        <v>171.90765380859381</v>
      </c>
      <c r="C307">
        <v>725.115478515625</v>
      </c>
      <c r="D307">
        <v>149.69291687011719</v>
      </c>
      <c r="E307">
        <v>191.14161682128909</v>
      </c>
      <c r="F307">
        <v>60.660190582275391</v>
      </c>
      <c r="G307">
        <v>155.55238342285159</v>
      </c>
      <c r="H307">
        <v>5248.490234375</v>
      </c>
      <c r="I307">
        <f t="shared" si="17"/>
        <v>2.0990749286858464E-2</v>
      </c>
      <c r="J307">
        <f t="shared" si="17"/>
        <v>1.5036181901411792E-3</v>
      </c>
      <c r="K307">
        <f t="shared" si="17"/>
        <v>1.3961142133364709E-2</v>
      </c>
      <c r="L307">
        <f t="shared" si="16"/>
        <v>1.91785485745159E-2</v>
      </c>
      <c r="M307">
        <f t="shared" si="16"/>
        <v>3.7698204698212959E-2</v>
      </c>
      <c r="N307">
        <f t="shared" si="16"/>
        <v>1.2749106895341629E-2</v>
      </c>
      <c r="O307">
        <f t="shared" si="16"/>
        <v>8.5935955827060422E-3</v>
      </c>
    </row>
    <row r="308" spans="1:15" x14ac:dyDescent="0.35">
      <c r="A308" s="2">
        <v>45379</v>
      </c>
      <c r="B308">
        <v>170.09245300292969</v>
      </c>
      <c r="C308">
        <v>725.6602783203125</v>
      </c>
      <c r="D308">
        <v>149.91090393066409</v>
      </c>
      <c r="E308">
        <v>191.88887023925781</v>
      </c>
      <c r="F308">
        <v>60.774303436279297</v>
      </c>
      <c r="G308">
        <v>155.20799255371091</v>
      </c>
      <c r="H308">
        <v>5254.35009765625</v>
      </c>
      <c r="I308">
        <f t="shared" si="17"/>
        <v>-1.0615305755336818E-2</v>
      </c>
      <c r="J308">
        <f t="shared" si="17"/>
        <v>7.5104622851499046E-4</v>
      </c>
      <c r="K308">
        <f t="shared" si="17"/>
        <v>1.4551690190746111E-3</v>
      </c>
      <c r="L308">
        <f t="shared" si="16"/>
        <v>3.9018009857216202E-3</v>
      </c>
      <c r="M308">
        <f t="shared" si="16"/>
        <v>1.8794147168033023E-3</v>
      </c>
      <c r="N308">
        <f t="shared" si="16"/>
        <v>-2.2164409413304425E-3</v>
      </c>
      <c r="O308">
        <f t="shared" si="16"/>
        <v>1.1158627007616052E-3</v>
      </c>
    </row>
    <row r="309" spans="1:15" x14ac:dyDescent="0.35">
      <c r="A309" s="2">
        <v>45383</v>
      </c>
      <c r="B309">
        <v>168.65422058105469</v>
      </c>
      <c r="C309">
        <v>714.378662109375</v>
      </c>
      <c r="D309">
        <v>149.5223388671875</v>
      </c>
      <c r="E309">
        <v>190.5859680175781</v>
      </c>
      <c r="F309">
        <v>60.270309448242188</v>
      </c>
      <c r="G309">
        <v>153.61048889160159</v>
      </c>
      <c r="H309">
        <v>5243.77001953125</v>
      </c>
      <c r="I309">
        <f t="shared" si="17"/>
        <v>-8.4915435406884079E-3</v>
      </c>
      <c r="J309">
        <f t="shared" si="17"/>
        <v>-1.566880826229947E-2</v>
      </c>
      <c r="K309">
        <f t="shared" si="17"/>
        <v>-2.5953382994706995E-3</v>
      </c>
      <c r="L309">
        <f t="shared" si="16"/>
        <v>-6.8130351653822438E-3</v>
      </c>
      <c r="M309">
        <f t="shared" si="16"/>
        <v>-8.3274569358069723E-3</v>
      </c>
      <c r="N309">
        <f t="shared" si="16"/>
        <v>-1.0345999399391527E-2</v>
      </c>
      <c r="O309">
        <f t="shared" si="16"/>
        <v>-2.0156145269577246E-3</v>
      </c>
    </row>
    <row r="310" spans="1:15" x14ac:dyDescent="0.35">
      <c r="A310" s="2">
        <v>45384</v>
      </c>
      <c r="B310">
        <v>167.47383117675781</v>
      </c>
      <c r="C310">
        <v>704.533203125</v>
      </c>
      <c r="D310">
        <v>149.47496032714841</v>
      </c>
      <c r="E310">
        <v>190.50933837890619</v>
      </c>
      <c r="F310">
        <v>59.794837951660163</v>
      </c>
      <c r="G310">
        <v>153.60093688964841</v>
      </c>
      <c r="H310">
        <v>5205.81005859375</v>
      </c>
      <c r="I310">
        <f t="shared" si="17"/>
        <v>-7.0234795961347804E-3</v>
      </c>
      <c r="J310">
        <f t="shared" si="17"/>
        <v>-1.387770056334498E-2</v>
      </c>
      <c r="K310">
        <f t="shared" si="17"/>
        <v>-3.1691617658958555E-4</v>
      </c>
      <c r="L310">
        <f t="shared" si="16"/>
        <v>-4.0215472832370874E-4</v>
      </c>
      <c r="M310">
        <f t="shared" si="16"/>
        <v>-7.9202664957820999E-3</v>
      </c>
      <c r="N310">
        <f t="shared" si="16"/>
        <v>-6.2185199863411183E-5</v>
      </c>
      <c r="O310">
        <f t="shared" si="16"/>
        <v>-7.2653882036724264E-3</v>
      </c>
    </row>
    <row r="311" spans="1:15" x14ac:dyDescent="0.35">
      <c r="A311" s="2">
        <v>45385</v>
      </c>
      <c r="B311">
        <v>168.27726745605469</v>
      </c>
      <c r="C311">
        <v>698.97662353515625</v>
      </c>
      <c r="D311">
        <v>146.1865539550781</v>
      </c>
      <c r="E311">
        <v>189.97283935546881</v>
      </c>
      <c r="F311">
        <v>59.481021881103523</v>
      </c>
      <c r="G311">
        <v>149.37274169921881</v>
      </c>
      <c r="H311">
        <v>5211.490234375</v>
      </c>
      <c r="I311">
        <f t="shared" si="17"/>
        <v>4.7859132322996692E-3</v>
      </c>
      <c r="J311">
        <f t="shared" si="17"/>
        <v>-7.9181613354350096E-3</v>
      </c>
      <c r="K311">
        <f t="shared" si="17"/>
        <v>-2.2245316477649664E-2</v>
      </c>
      <c r="L311">
        <f t="shared" si="16"/>
        <v>-2.8201025456474483E-3</v>
      </c>
      <c r="M311">
        <f t="shared" si="16"/>
        <v>-5.2620336604690216E-3</v>
      </c>
      <c r="N311">
        <f t="shared" si="16"/>
        <v>-2.7913115997049025E-2</v>
      </c>
      <c r="O311">
        <f t="shared" si="16"/>
        <v>1.090527523337898E-3</v>
      </c>
    </row>
    <row r="312" spans="1:15" x14ac:dyDescent="0.35">
      <c r="A312" s="2">
        <v>45386</v>
      </c>
      <c r="B312">
        <v>167.45399475097659</v>
      </c>
      <c r="C312">
        <v>698.17431640625</v>
      </c>
      <c r="D312">
        <v>144.51869201660159</v>
      </c>
      <c r="E312">
        <v>188.52742004394531</v>
      </c>
      <c r="F312">
        <v>60.603130340576172</v>
      </c>
      <c r="G312">
        <v>148.70314025878909</v>
      </c>
      <c r="H312">
        <v>5147.2099609375</v>
      </c>
      <c r="I312">
        <f t="shared" si="17"/>
        <v>-4.9043651748904562E-3</v>
      </c>
      <c r="J312">
        <f t="shared" si="17"/>
        <v>-1.1484903945007355E-3</v>
      </c>
      <c r="K312">
        <f t="shared" si="17"/>
        <v>-1.1474717171726616E-2</v>
      </c>
      <c r="L312">
        <f t="shared" si="16"/>
        <v>-7.6376504481067429E-3</v>
      </c>
      <c r="M312">
        <f t="shared" si="16"/>
        <v>1.8689245834663356E-2</v>
      </c>
      <c r="N312">
        <f t="shared" si="16"/>
        <v>-4.4928329148055356E-3</v>
      </c>
      <c r="O312">
        <f t="shared" si="16"/>
        <v>-1.241103561926225E-2</v>
      </c>
    </row>
    <row r="313" spans="1:15" x14ac:dyDescent="0.35">
      <c r="A313" s="2">
        <v>45387</v>
      </c>
      <c r="B313">
        <v>168.20782470703119</v>
      </c>
      <c r="C313">
        <v>706.93017578125</v>
      </c>
      <c r="D313">
        <v>144.41444396972659</v>
      </c>
      <c r="E313">
        <v>190.26191711425781</v>
      </c>
      <c r="F313">
        <v>61.031055450439453</v>
      </c>
      <c r="G313">
        <v>149.32493591308591</v>
      </c>
      <c r="H313">
        <v>5204.33984375</v>
      </c>
      <c r="I313">
        <f t="shared" si="17"/>
        <v>4.4916113761234895E-3</v>
      </c>
      <c r="J313">
        <f t="shared" si="17"/>
        <v>1.2463091193150011E-2</v>
      </c>
      <c r="K313">
        <f t="shared" si="17"/>
        <v>-7.2160675543682926E-4</v>
      </c>
      <c r="L313">
        <f t="shared" si="16"/>
        <v>9.1581732807291798E-3</v>
      </c>
      <c r="M313">
        <f t="shared" si="16"/>
        <v>7.0362928416185669E-3</v>
      </c>
      <c r="N313">
        <f t="shared" si="16"/>
        <v>4.1727381157885468E-3</v>
      </c>
      <c r="O313">
        <f t="shared" si="16"/>
        <v>1.1038050135699558E-2</v>
      </c>
    </row>
    <row r="314" spans="1:15" x14ac:dyDescent="0.35">
      <c r="A314" s="2">
        <v>45390</v>
      </c>
      <c r="B314">
        <v>167.08695983886719</v>
      </c>
      <c r="C314">
        <v>705.03826904296875</v>
      </c>
      <c r="D314">
        <v>143.65629577636719</v>
      </c>
      <c r="E314">
        <v>191.25444030761719</v>
      </c>
      <c r="F314">
        <v>61.677688598632813</v>
      </c>
      <c r="G314">
        <v>149.2675476074219</v>
      </c>
      <c r="H314">
        <v>5202.39013671875</v>
      </c>
      <c r="I314">
        <f t="shared" si="17"/>
        <v>-6.6858722242485501E-3</v>
      </c>
      <c r="J314">
        <f t="shared" si="17"/>
        <v>-2.6798160786525283E-3</v>
      </c>
      <c r="K314">
        <f t="shared" si="17"/>
        <v>-5.2636372889305599E-3</v>
      </c>
      <c r="L314">
        <f t="shared" si="16"/>
        <v>5.2030557178741835E-3</v>
      </c>
      <c r="M314">
        <f t="shared" si="16"/>
        <v>1.0539414103215856E-2</v>
      </c>
      <c r="N314">
        <f t="shared" si="16"/>
        <v>-3.8439217018465652E-4</v>
      </c>
      <c r="O314">
        <f t="shared" si="16"/>
        <v>-3.7470119004157668E-4</v>
      </c>
    </row>
    <row r="315" spans="1:15" x14ac:dyDescent="0.35">
      <c r="A315" s="2">
        <v>45391</v>
      </c>
      <c r="B315">
        <v>168.29710388183591</v>
      </c>
      <c r="C315">
        <v>711.75384521484375</v>
      </c>
      <c r="D315">
        <v>144.3196716308594</v>
      </c>
      <c r="E315">
        <v>189.97283935546881</v>
      </c>
      <c r="F315">
        <v>62.17218017578125</v>
      </c>
      <c r="G315">
        <v>149.86065673828119</v>
      </c>
      <c r="H315">
        <v>5209.91015625</v>
      </c>
      <c r="I315">
        <f t="shared" si="17"/>
        <v>7.2164984904012422E-3</v>
      </c>
      <c r="J315">
        <f t="shared" si="17"/>
        <v>9.4800449536490139E-3</v>
      </c>
      <c r="K315">
        <f t="shared" si="17"/>
        <v>4.6071693680993136E-3</v>
      </c>
      <c r="L315">
        <f t="shared" si="16"/>
        <v>-6.7235785504965199E-3</v>
      </c>
      <c r="M315">
        <f t="shared" si="16"/>
        <v>7.9853811666935823E-3</v>
      </c>
      <c r="N315">
        <f t="shared" si="16"/>
        <v>3.9655900012585139E-3</v>
      </c>
      <c r="O315">
        <f t="shared" si="16"/>
        <v>1.4444494736345207E-3</v>
      </c>
    </row>
    <row r="316" spans="1:15" x14ac:dyDescent="0.35">
      <c r="A316" s="2">
        <v>45392</v>
      </c>
      <c r="B316">
        <v>166.4223937988281</v>
      </c>
      <c r="C316">
        <v>715.70587158203125</v>
      </c>
      <c r="D316">
        <v>142.33906555175781</v>
      </c>
      <c r="E316">
        <v>188.35398864746091</v>
      </c>
      <c r="F316">
        <v>60.869403839111328</v>
      </c>
      <c r="G316">
        <v>150.41545104980469</v>
      </c>
      <c r="H316">
        <v>5160.64013671875</v>
      </c>
      <c r="I316">
        <f t="shared" si="17"/>
        <v>-1.1201795528557225E-2</v>
      </c>
      <c r="J316">
        <f t="shared" si="17"/>
        <v>5.5371600587432275E-3</v>
      </c>
      <c r="K316">
        <f t="shared" si="17"/>
        <v>-1.3818784079726894E-2</v>
      </c>
      <c r="L316">
        <f t="shared" si="16"/>
        <v>-8.5580004825039791E-3</v>
      </c>
      <c r="M316">
        <f t="shared" si="16"/>
        <v>-2.11769871816819E-2</v>
      </c>
      <c r="N316">
        <f t="shared" si="16"/>
        <v>3.6952320110167098E-3</v>
      </c>
      <c r="O316">
        <f t="shared" si="16"/>
        <v>-9.5019818322125919E-3</v>
      </c>
    </row>
    <row r="317" spans="1:15" x14ac:dyDescent="0.35">
      <c r="A317" s="2">
        <v>45393</v>
      </c>
      <c r="B317">
        <v>173.6236572265625</v>
      </c>
      <c r="C317">
        <v>725.3829345703125</v>
      </c>
      <c r="D317">
        <v>141.00285339355469</v>
      </c>
      <c r="E317">
        <v>188.3154296875</v>
      </c>
      <c r="F317">
        <v>60.802833557128913</v>
      </c>
      <c r="G317">
        <v>149.0762023925781</v>
      </c>
      <c r="H317">
        <v>5199.06005859375</v>
      </c>
      <c r="I317">
        <f t="shared" si="17"/>
        <v>4.2360969838059613E-2</v>
      </c>
      <c r="J317">
        <f t="shared" si="17"/>
        <v>1.3430412346095058E-2</v>
      </c>
      <c r="K317">
        <f t="shared" si="17"/>
        <v>-9.4318699398055639E-3</v>
      </c>
      <c r="L317">
        <f t="shared" si="16"/>
        <v>-2.0473634555221476E-4</v>
      </c>
      <c r="M317">
        <f t="shared" si="16"/>
        <v>-1.0942560118821713E-3</v>
      </c>
      <c r="N317">
        <f t="shared" si="16"/>
        <v>-8.9435386173979878E-3</v>
      </c>
      <c r="O317">
        <f t="shared" si="16"/>
        <v>7.4172219833424369E-3</v>
      </c>
    </row>
    <row r="318" spans="1:15" x14ac:dyDescent="0.35">
      <c r="A318" s="2">
        <v>45394</v>
      </c>
      <c r="B318">
        <v>175.1214599609375</v>
      </c>
      <c r="C318">
        <v>724.3529052734375</v>
      </c>
      <c r="D318">
        <v>139.79931640625</v>
      </c>
      <c r="E318">
        <v>176.13560485839841</v>
      </c>
      <c r="F318">
        <v>59.985027313232422</v>
      </c>
      <c r="G318">
        <v>148.58836364746091</v>
      </c>
      <c r="H318">
        <v>5123.41015625</v>
      </c>
      <c r="I318">
        <f t="shared" si="17"/>
        <v>8.5897228087382215E-3</v>
      </c>
      <c r="J318">
        <f t="shared" si="17"/>
        <v>-1.4209891786996485E-3</v>
      </c>
      <c r="K318">
        <f t="shared" si="17"/>
        <v>-8.5721870172982811E-3</v>
      </c>
      <c r="L318">
        <f t="shared" si="16"/>
        <v>-6.6864193834158842E-2</v>
      </c>
      <c r="M318">
        <f t="shared" si="16"/>
        <v>-1.3541406143042282E-2</v>
      </c>
      <c r="N318">
        <f t="shared" si="16"/>
        <v>-3.2777779927141942E-3</v>
      </c>
      <c r="O318">
        <f t="shared" si="16"/>
        <v>-1.4657587802248536E-2</v>
      </c>
    </row>
    <row r="319" spans="1:15" x14ac:dyDescent="0.35">
      <c r="A319" s="2">
        <v>45397</v>
      </c>
      <c r="B319">
        <v>171.29267883300781</v>
      </c>
      <c r="C319">
        <v>711.44683837890625</v>
      </c>
      <c r="D319">
        <v>139.86567687988281</v>
      </c>
      <c r="E319">
        <v>176.23197937011719</v>
      </c>
      <c r="F319">
        <v>59.671211242675781</v>
      </c>
      <c r="G319">
        <v>148.70314025878909</v>
      </c>
      <c r="H319">
        <v>5061.81982421875</v>
      </c>
      <c r="I319">
        <f t="shared" si="17"/>
        <v>-2.2106124541898572E-2</v>
      </c>
      <c r="J319">
        <f t="shared" si="17"/>
        <v>-1.7978014779311203E-2</v>
      </c>
      <c r="K319">
        <f t="shared" si="17"/>
        <v>4.7457119390251678E-4</v>
      </c>
      <c r="L319">
        <f t="shared" si="16"/>
        <v>5.4701123732989567E-4</v>
      </c>
      <c r="M319">
        <f t="shared" si="16"/>
        <v>-5.2453059506397341E-3</v>
      </c>
      <c r="N319">
        <f t="shared" si="16"/>
        <v>7.7214865223320999E-4</v>
      </c>
      <c r="O319">
        <f t="shared" si="16"/>
        <v>-1.2094195787459195E-2</v>
      </c>
    </row>
    <row r="320" spans="1:15" x14ac:dyDescent="0.35">
      <c r="A320" s="2">
        <v>45398</v>
      </c>
      <c r="B320">
        <v>168.00946044921881</v>
      </c>
      <c r="C320">
        <v>709.1588134765625</v>
      </c>
      <c r="D320">
        <v>136.88999938964841</v>
      </c>
      <c r="E320">
        <v>174.21803283691409</v>
      </c>
      <c r="F320">
        <v>58.672737121582031</v>
      </c>
      <c r="G320">
        <v>149.18145751953119</v>
      </c>
      <c r="H320">
        <v>5051.41015625</v>
      </c>
      <c r="I320">
        <f t="shared" si="17"/>
        <v>-1.9353375539624764E-2</v>
      </c>
      <c r="J320">
        <f t="shared" si="17"/>
        <v>-3.2211991804446272E-3</v>
      </c>
      <c r="K320">
        <f t="shared" si="17"/>
        <v>-2.1504832035011946E-2</v>
      </c>
      <c r="L320">
        <f t="shared" si="16"/>
        <v>-1.1493614688149786E-2</v>
      </c>
      <c r="M320">
        <f t="shared" si="16"/>
        <v>-1.6874505670179982E-2</v>
      </c>
      <c r="N320">
        <f t="shared" si="16"/>
        <v>3.211429361533642E-3</v>
      </c>
      <c r="O320">
        <f t="shared" si="16"/>
        <v>-2.0586245275039964E-3</v>
      </c>
    </row>
    <row r="321" spans="1:15" x14ac:dyDescent="0.35">
      <c r="A321" s="2">
        <v>45399</v>
      </c>
      <c r="B321">
        <v>166.640625</v>
      </c>
      <c r="C321">
        <v>708.38623046875</v>
      </c>
      <c r="D321">
        <v>137.1932678222656</v>
      </c>
      <c r="E321">
        <v>173.5242614746094</v>
      </c>
      <c r="F321">
        <v>60.660190582275391</v>
      </c>
      <c r="G321">
        <v>150.14762878417969</v>
      </c>
      <c r="H321">
        <v>5022.2099609375</v>
      </c>
      <c r="I321">
        <f t="shared" si="17"/>
        <v>-8.1807424697385098E-3</v>
      </c>
      <c r="J321">
        <f t="shared" si="17"/>
        <v>-1.0900296785752428E-3</v>
      </c>
      <c r="K321">
        <f t="shared" si="17"/>
        <v>2.2129665883403042E-3</v>
      </c>
      <c r="L321">
        <f t="shared" si="16"/>
        <v>-3.9901518689706549E-3</v>
      </c>
      <c r="M321">
        <f t="shared" si="16"/>
        <v>3.3312469386489491E-2</v>
      </c>
      <c r="N321">
        <f t="shared" si="16"/>
        <v>6.4556013048534516E-3</v>
      </c>
      <c r="O321">
        <f t="shared" si="16"/>
        <v>-5.7973750760041852E-3</v>
      </c>
    </row>
    <row r="322" spans="1:15" x14ac:dyDescent="0.35">
      <c r="A322" s="2">
        <v>45400</v>
      </c>
      <c r="B322">
        <v>165.68836975097659</v>
      </c>
      <c r="C322">
        <v>704.48358154296875</v>
      </c>
      <c r="D322">
        <v>138.11248779296881</v>
      </c>
      <c r="E322">
        <v>174.65167236328119</v>
      </c>
      <c r="F322">
        <v>60.869403839111328</v>
      </c>
      <c r="G322">
        <v>151.4348449707031</v>
      </c>
      <c r="H322">
        <v>5011.1201171875</v>
      </c>
      <c r="I322">
        <f t="shared" si="17"/>
        <v>-5.7308141645466826E-3</v>
      </c>
      <c r="J322">
        <f t="shared" si="17"/>
        <v>-5.5244422637661548E-3</v>
      </c>
      <c r="K322">
        <f t="shared" si="17"/>
        <v>6.6778363175343048E-3</v>
      </c>
      <c r="L322">
        <f t="shared" si="16"/>
        <v>6.4761215202719467E-3</v>
      </c>
      <c r="M322">
        <f t="shared" si="16"/>
        <v>3.4430043892548137E-3</v>
      </c>
      <c r="N322">
        <f t="shared" si="16"/>
        <v>8.5364642529691132E-3</v>
      </c>
      <c r="O322">
        <f t="shared" si="16"/>
        <v>-2.2106017004853043E-3</v>
      </c>
    </row>
    <row r="323" spans="1:15" x14ac:dyDescent="0.35">
      <c r="A323" s="2">
        <v>45401</v>
      </c>
      <c r="B323">
        <v>163.6649169921875</v>
      </c>
      <c r="C323">
        <v>702.76019287109375</v>
      </c>
      <c r="D323">
        <v>140.1689147949219</v>
      </c>
      <c r="E323">
        <v>179.0360412597656</v>
      </c>
      <c r="F323">
        <v>61.145168304443359</v>
      </c>
      <c r="G323">
        <v>152.2532043457031</v>
      </c>
      <c r="H323">
        <v>4967.22998046875</v>
      </c>
      <c r="I323">
        <f t="shared" si="17"/>
        <v>-1.2287584787397898E-2</v>
      </c>
      <c r="J323">
        <f t="shared" si="17"/>
        <v>-2.4493120023384584E-3</v>
      </c>
      <c r="K323">
        <f t="shared" si="17"/>
        <v>1.4779747526635972E-2</v>
      </c>
      <c r="L323">
        <f t="shared" si="16"/>
        <v>2.4793586673294614E-2</v>
      </c>
      <c r="M323">
        <f t="shared" si="16"/>
        <v>4.5201967277563211E-3</v>
      </c>
      <c r="N323">
        <f t="shared" si="16"/>
        <v>5.3894867296799135E-3</v>
      </c>
      <c r="O323">
        <f t="shared" si="16"/>
        <v>-8.7971296540569743E-3</v>
      </c>
    </row>
    <row r="324" spans="1:15" x14ac:dyDescent="0.35">
      <c r="A324" s="2">
        <v>45404</v>
      </c>
      <c r="B324">
        <v>164.49809265136719</v>
      </c>
      <c r="C324">
        <v>708.6536865234375</v>
      </c>
      <c r="D324">
        <v>141.3155822753906</v>
      </c>
      <c r="E324">
        <v>182.5146179199219</v>
      </c>
      <c r="F324">
        <v>62.105609893798828</v>
      </c>
      <c r="G324">
        <v>154.5638732910156</v>
      </c>
      <c r="H324">
        <v>5010.60009765625</v>
      </c>
      <c r="I324">
        <f t="shared" si="17"/>
        <v>5.0778267198559974E-3</v>
      </c>
      <c r="J324">
        <f t="shared" si="17"/>
        <v>8.3512398325396413E-3</v>
      </c>
      <c r="K324">
        <f t="shared" si="17"/>
        <v>8.1473319865551213E-3</v>
      </c>
      <c r="L324">
        <f t="shared" si="16"/>
        <v>1.9243134613287388E-2</v>
      </c>
      <c r="M324">
        <f t="shared" si="16"/>
        <v>1.5585476129586264E-2</v>
      </c>
      <c r="N324">
        <f t="shared" si="16"/>
        <v>1.5062477288754136E-2</v>
      </c>
      <c r="O324">
        <f t="shared" si="16"/>
        <v>8.6933511568390801E-3</v>
      </c>
    </row>
    <row r="325" spans="1:15" x14ac:dyDescent="0.35">
      <c r="A325" s="2">
        <v>45405</v>
      </c>
      <c r="B325">
        <v>165.5495300292969</v>
      </c>
      <c r="C325">
        <v>715.80499267578125</v>
      </c>
      <c r="D325">
        <v>141.7325439453125</v>
      </c>
      <c r="E325">
        <v>185.14521789550781</v>
      </c>
      <c r="F325">
        <v>62.951942443847663</v>
      </c>
      <c r="G325">
        <v>155.4881286621094</v>
      </c>
      <c r="H325">
        <v>5070.5498046875</v>
      </c>
      <c r="I325">
        <f t="shared" si="17"/>
        <v>6.3714498310585991E-3</v>
      </c>
      <c r="J325">
        <f t="shared" si="17"/>
        <v>1.0040819489400879E-2</v>
      </c>
      <c r="K325">
        <f t="shared" si="17"/>
        <v>2.9462266866076892E-3</v>
      </c>
      <c r="L325">
        <f t="shared" si="16"/>
        <v>1.4310210748226507E-2</v>
      </c>
      <c r="M325">
        <f t="shared" si="16"/>
        <v>1.3535295632516906E-2</v>
      </c>
      <c r="N325">
        <f t="shared" si="16"/>
        <v>5.9619554331831696E-3</v>
      </c>
      <c r="O325">
        <f t="shared" si="16"/>
        <v>1.1893566567722089E-2</v>
      </c>
    </row>
    <row r="326" spans="1:15" x14ac:dyDescent="0.35">
      <c r="A326" s="2">
        <v>45406</v>
      </c>
      <c r="B326">
        <v>167.65238952636719</v>
      </c>
      <c r="C326">
        <v>717.0035400390625</v>
      </c>
      <c r="D326">
        <v>140.7564392089844</v>
      </c>
      <c r="E326">
        <v>186.05101013183591</v>
      </c>
      <c r="F326">
        <v>63.294284820556641</v>
      </c>
      <c r="G326">
        <v>156.54716491699219</v>
      </c>
      <c r="H326">
        <v>5071.6298828125</v>
      </c>
      <c r="I326">
        <f t="shared" si="17"/>
        <v>1.2622300731033372E-2</v>
      </c>
      <c r="J326">
        <f t="shared" si="17"/>
        <v>1.6730046136254498E-3</v>
      </c>
      <c r="K326">
        <f t="shared" si="17"/>
        <v>-6.9107730165163233E-3</v>
      </c>
      <c r="L326">
        <f t="shared" si="17"/>
        <v>4.8804053802735409E-3</v>
      </c>
      <c r="M326">
        <f t="shared" si="17"/>
        <v>5.4234209330530671E-3</v>
      </c>
      <c r="N326">
        <f t="shared" si="17"/>
        <v>6.7879521518510065E-3</v>
      </c>
      <c r="O326">
        <f t="shared" si="17"/>
        <v>2.1298737793290078E-4</v>
      </c>
    </row>
    <row r="327" spans="1:15" x14ac:dyDescent="0.35">
      <c r="A327" s="2">
        <v>45407</v>
      </c>
      <c r="B327">
        <v>168.5153503417969</v>
      </c>
      <c r="C327">
        <v>716.14044189453125</v>
      </c>
      <c r="D327">
        <v>139.13597106933591</v>
      </c>
      <c r="E327">
        <v>186.3304443359375</v>
      </c>
      <c r="F327">
        <v>63.617595672607422</v>
      </c>
      <c r="G327">
        <v>156.49903869628909</v>
      </c>
      <c r="H327">
        <v>5048.419921875</v>
      </c>
      <c r="I327">
        <f t="shared" ref="I327:O363" si="18">LN(B327/B326)</f>
        <v>5.1341197186023368E-3</v>
      </c>
      <c r="J327">
        <f t="shared" si="18"/>
        <v>-1.204482256854171E-3</v>
      </c>
      <c r="K327">
        <f t="shared" si="18"/>
        <v>-1.1579351110039908E-2</v>
      </c>
      <c r="L327">
        <f t="shared" si="18"/>
        <v>1.5007957737879002E-3</v>
      </c>
      <c r="M327">
        <f t="shared" si="18"/>
        <v>5.095055722321635E-3</v>
      </c>
      <c r="N327">
        <f t="shared" si="18"/>
        <v>-3.0747040230328499E-4</v>
      </c>
      <c r="O327">
        <f t="shared" si="18"/>
        <v>-4.5869342701194095E-3</v>
      </c>
    </row>
    <row r="328" spans="1:15" x14ac:dyDescent="0.35">
      <c r="A328" s="2">
        <v>45408</v>
      </c>
      <c r="B328">
        <v>167.93009948730469</v>
      </c>
      <c r="C328">
        <v>723.40228271484375</v>
      </c>
      <c r="D328">
        <v>138.4915771484375</v>
      </c>
      <c r="E328">
        <v>186.44610595703119</v>
      </c>
      <c r="F328">
        <v>62.752246856689453</v>
      </c>
      <c r="G328">
        <v>155.28593444824219</v>
      </c>
      <c r="H328">
        <v>5099.9599609375</v>
      </c>
      <c r="I328">
        <f t="shared" si="18"/>
        <v>-3.4790272544592054E-3</v>
      </c>
      <c r="J328">
        <f t="shared" si="18"/>
        <v>1.0089179425606973E-2</v>
      </c>
      <c r="K328">
        <f t="shared" si="18"/>
        <v>-4.6421551624651119E-3</v>
      </c>
      <c r="L328">
        <f t="shared" si="18"/>
        <v>6.2054131202358054E-4</v>
      </c>
      <c r="M328">
        <f t="shared" si="18"/>
        <v>-1.3695709749356928E-2</v>
      </c>
      <c r="N328">
        <f t="shared" si="18"/>
        <v>-7.7817115907587737E-3</v>
      </c>
      <c r="O328">
        <f t="shared" si="18"/>
        <v>1.0157381332325343E-2</v>
      </c>
    </row>
    <row r="329" spans="1:15" x14ac:dyDescent="0.35">
      <c r="A329" s="2">
        <v>45411</v>
      </c>
      <c r="B329">
        <v>172.09613037109381</v>
      </c>
      <c r="C329">
        <v>720.574951171875</v>
      </c>
      <c r="D329">
        <v>139.13597106933591</v>
      </c>
      <c r="E329">
        <v>186.24372863769531</v>
      </c>
      <c r="F329">
        <v>64.112083435058594</v>
      </c>
      <c r="G329">
        <v>155.64216613769531</v>
      </c>
      <c r="H329">
        <v>5116.169921875</v>
      </c>
      <c r="I329">
        <f t="shared" si="18"/>
        <v>2.4505399854844713E-2</v>
      </c>
      <c r="J329">
        <f t="shared" si="18"/>
        <v>-3.9160384108491361E-3</v>
      </c>
      <c r="K329">
        <f t="shared" si="18"/>
        <v>4.6421551624651891E-3</v>
      </c>
      <c r="L329">
        <f t="shared" si="18"/>
        <v>-1.0860362716762948E-3</v>
      </c>
      <c r="M329">
        <f t="shared" si="18"/>
        <v>2.1438471436327346E-2</v>
      </c>
      <c r="N329">
        <f t="shared" si="18"/>
        <v>2.2914097802660149E-3</v>
      </c>
      <c r="O329">
        <f t="shared" si="18"/>
        <v>3.1734080766393944E-3</v>
      </c>
    </row>
    <row r="330" spans="1:15" x14ac:dyDescent="0.35">
      <c r="A330" s="2">
        <v>45412</v>
      </c>
      <c r="B330">
        <v>168.9517822265625</v>
      </c>
      <c r="C330">
        <v>717.17218017578125</v>
      </c>
      <c r="D330">
        <v>137.02265930175781</v>
      </c>
      <c r="E330">
        <v>184.7597961425781</v>
      </c>
      <c r="F330">
        <v>63.684158325195313</v>
      </c>
      <c r="G330">
        <v>157.12486267089841</v>
      </c>
      <c r="H330">
        <v>5035.68994140625</v>
      </c>
      <c r="I330">
        <f t="shared" si="18"/>
        <v>-1.843985624984653E-2</v>
      </c>
      <c r="J330">
        <f t="shared" si="18"/>
        <v>-4.7334851524396607E-3</v>
      </c>
      <c r="K330">
        <f t="shared" si="18"/>
        <v>-1.5305355612986899E-2</v>
      </c>
      <c r="L330">
        <f t="shared" si="18"/>
        <v>-7.9996027504499276E-3</v>
      </c>
      <c r="M330">
        <f t="shared" si="18"/>
        <v>-6.6970155512959722E-3</v>
      </c>
      <c r="N330">
        <f t="shared" si="18"/>
        <v>9.4812272631202166E-3</v>
      </c>
      <c r="O330">
        <f t="shared" si="18"/>
        <v>-1.5855551118928123E-2</v>
      </c>
    </row>
    <row r="331" spans="1:15" x14ac:dyDescent="0.35">
      <c r="A331" s="2">
        <v>45413</v>
      </c>
      <c r="B331">
        <v>167.93009948730469</v>
      </c>
      <c r="C331">
        <v>716.4974365234375</v>
      </c>
      <c r="D331">
        <v>143.26776123046881</v>
      </c>
      <c r="E331">
        <v>184.87542724609381</v>
      </c>
      <c r="F331">
        <v>65.243698120117188</v>
      </c>
      <c r="G331">
        <v>157.3173828125</v>
      </c>
      <c r="H331">
        <v>5018.39013671875</v>
      </c>
      <c r="I331">
        <f t="shared" si="18"/>
        <v>-6.0655436049981406E-3</v>
      </c>
      <c r="J331">
        <f t="shared" si="18"/>
        <v>-9.4128200012563148E-4</v>
      </c>
      <c r="K331">
        <f t="shared" si="18"/>
        <v>4.4569027041417519E-2</v>
      </c>
      <c r="L331">
        <f t="shared" si="18"/>
        <v>6.2564982972944166E-4</v>
      </c>
      <c r="M331">
        <f t="shared" si="18"/>
        <v>2.4193621267005434E-2</v>
      </c>
      <c r="N331">
        <f t="shared" si="18"/>
        <v>1.2245184508319616E-3</v>
      </c>
      <c r="O331">
        <f t="shared" si="18"/>
        <v>-3.4413534856316866E-3</v>
      </c>
    </row>
    <row r="332" spans="1:15" x14ac:dyDescent="0.35">
      <c r="A332" s="2">
        <v>45414</v>
      </c>
      <c r="B332">
        <v>171.6299133300781</v>
      </c>
      <c r="C332">
        <v>726.63653564453125</v>
      </c>
      <c r="D332">
        <v>142.0736999511719</v>
      </c>
      <c r="E332">
        <v>184.68269348144531</v>
      </c>
      <c r="F332">
        <v>65.471931457519531</v>
      </c>
      <c r="G332">
        <v>157.74101257324219</v>
      </c>
      <c r="H332">
        <v>5064.2001953125</v>
      </c>
      <c r="I332">
        <f t="shared" si="18"/>
        <v>2.1792673627302455E-2</v>
      </c>
      <c r="J332">
        <f t="shared" si="18"/>
        <v>1.4051732060234783E-2</v>
      </c>
      <c r="K332">
        <f t="shared" si="18"/>
        <v>-8.3693988554061245E-3</v>
      </c>
      <c r="L332">
        <f t="shared" si="18"/>
        <v>-1.0430499091338952E-3</v>
      </c>
      <c r="M332">
        <f t="shared" si="18"/>
        <v>3.4920624270009647E-3</v>
      </c>
      <c r="N332">
        <f t="shared" si="18"/>
        <v>2.6892158549010553E-3</v>
      </c>
      <c r="O332">
        <f t="shared" si="18"/>
        <v>9.0870247250848558E-3</v>
      </c>
    </row>
    <row r="333" spans="1:15" x14ac:dyDescent="0.35">
      <c r="A333" s="2">
        <v>45415</v>
      </c>
      <c r="B333">
        <v>181.89616394042969</v>
      </c>
      <c r="C333">
        <v>738.0057373046875</v>
      </c>
      <c r="D333">
        <v>141.45771789550781</v>
      </c>
      <c r="E333">
        <v>183.5745544433594</v>
      </c>
      <c r="F333">
        <v>66.698623657226563</v>
      </c>
      <c r="G333">
        <v>158.33795166015619</v>
      </c>
      <c r="H333">
        <v>5127.7900390625</v>
      </c>
      <c r="I333">
        <f t="shared" si="18"/>
        <v>5.8095504496816122E-2</v>
      </c>
      <c r="J333">
        <f t="shared" si="18"/>
        <v>1.5525197149867382E-2</v>
      </c>
      <c r="K333">
        <f t="shared" si="18"/>
        <v>-4.3450777305152882E-3</v>
      </c>
      <c r="L333">
        <f t="shared" si="18"/>
        <v>-6.0183058938392126E-3</v>
      </c>
      <c r="M333">
        <f t="shared" si="18"/>
        <v>1.8562794453486652E-2</v>
      </c>
      <c r="N333">
        <f t="shared" si="18"/>
        <v>3.7771561170981227E-3</v>
      </c>
      <c r="O333">
        <f t="shared" si="18"/>
        <v>1.2478557659508005E-2</v>
      </c>
    </row>
    <row r="334" spans="1:15" x14ac:dyDescent="0.35">
      <c r="A334" s="2">
        <v>45418</v>
      </c>
      <c r="B334">
        <v>180.23970031738281</v>
      </c>
      <c r="C334">
        <v>750.4561767578125</v>
      </c>
      <c r="D334">
        <v>140.80384826660159</v>
      </c>
      <c r="E334">
        <v>185.01033020019531</v>
      </c>
      <c r="F334">
        <v>67.754173278808594</v>
      </c>
      <c r="G334">
        <v>158.3186950683594</v>
      </c>
      <c r="H334">
        <v>5180.740234375</v>
      </c>
      <c r="I334">
        <f t="shared" si="18"/>
        <v>-9.1483630279508808E-3</v>
      </c>
      <c r="J334">
        <f t="shared" si="18"/>
        <v>1.6729658611244574E-2</v>
      </c>
      <c r="K334">
        <f t="shared" si="18"/>
        <v>-4.6330841809694573E-3</v>
      </c>
      <c r="L334">
        <f t="shared" si="18"/>
        <v>7.7907862142132071E-3</v>
      </c>
      <c r="M334">
        <f t="shared" si="18"/>
        <v>1.5701738189427581E-2</v>
      </c>
      <c r="N334">
        <f t="shared" si="18"/>
        <v>-1.216244283483761E-4</v>
      </c>
      <c r="O334">
        <f t="shared" si="18"/>
        <v>1.0273173691247842E-2</v>
      </c>
    </row>
    <row r="335" spans="1:15" x14ac:dyDescent="0.35">
      <c r="A335" s="2">
        <v>45419</v>
      </c>
      <c r="B335">
        <v>180.9241027832031</v>
      </c>
      <c r="C335">
        <v>765.198486328125</v>
      </c>
      <c r="D335">
        <v>140.9365234375</v>
      </c>
      <c r="E335">
        <v>184.76942443847659</v>
      </c>
      <c r="F335">
        <v>68.419830322265625</v>
      </c>
      <c r="G335">
        <v>159.58955383300781</v>
      </c>
      <c r="H335">
        <v>5187.7001953125</v>
      </c>
      <c r="I335">
        <f t="shared" si="18"/>
        <v>3.7899882500674526E-3</v>
      </c>
      <c r="J335">
        <f t="shared" si="18"/>
        <v>1.9454002118164518E-2</v>
      </c>
      <c r="K335">
        <f t="shared" si="18"/>
        <v>9.4182583705154361E-4</v>
      </c>
      <c r="L335">
        <f t="shared" si="18"/>
        <v>-1.3029690932475947E-3</v>
      </c>
      <c r="M335">
        <f t="shared" si="18"/>
        <v>9.7766435289666394E-3</v>
      </c>
      <c r="N335">
        <f t="shared" si="18"/>
        <v>7.9951718067566742E-3</v>
      </c>
      <c r="O335">
        <f t="shared" si="18"/>
        <v>1.3425282288256131E-3</v>
      </c>
    </row>
    <row r="336" spans="1:15" x14ac:dyDescent="0.35">
      <c r="A336" s="2">
        <v>45420</v>
      </c>
      <c r="B336">
        <v>181.26136779785159</v>
      </c>
      <c r="C336">
        <v>757.361083984375</v>
      </c>
      <c r="D336">
        <v>141.15447998046881</v>
      </c>
      <c r="E336">
        <v>188.52742004394531</v>
      </c>
      <c r="F336">
        <v>69.275657653808594</v>
      </c>
      <c r="G336">
        <v>158.92521667480469</v>
      </c>
      <c r="H336">
        <v>5187.669921875</v>
      </c>
      <c r="I336">
        <f t="shared" si="18"/>
        <v>1.8623889665748644E-3</v>
      </c>
      <c r="J336">
        <f t="shared" si="18"/>
        <v>-1.0295126338644722E-2</v>
      </c>
      <c r="K336">
        <f t="shared" si="18"/>
        <v>1.5452927154712768E-3</v>
      </c>
      <c r="L336">
        <f t="shared" si="18"/>
        <v>2.0134767387137605E-2</v>
      </c>
      <c r="M336">
        <f t="shared" si="18"/>
        <v>1.2430884479785929E-2</v>
      </c>
      <c r="N336">
        <f t="shared" si="18"/>
        <v>-4.171474500218402E-3</v>
      </c>
      <c r="O336">
        <f t="shared" si="18"/>
        <v>-5.8356351934249121E-6</v>
      </c>
    </row>
    <row r="337" spans="1:15" x14ac:dyDescent="0.35">
      <c r="A337" s="2">
        <v>45421</v>
      </c>
      <c r="B337">
        <v>183.0765686035156</v>
      </c>
      <c r="C337">
        <v>772.8673095703125</v>
      </c>
      <c r="D337">
        <v>142.00738525390619</v>
      </c>
      <c r="E337">
        <v>190.31010437011719</v>
      </c>
      <c r="F337">
        <v>70.9207763671875</v>
      </c>
      <c r="G337">
        <v>159.85911560058591</v>
      </c>
      <c r="H337">
        <v>5214.080078125</v>
      </c>
      <c r="I337">
        <f t="shared" si="18"/>
        <v>9.9644623500891177E-3</v>
      </c>
      <c r="J337">
        <f t="shared" si="18"/>
        <v>2.026724432412947E-2</v>
      </c>
      <c r="K337">
        <f t="shared" si="18"/>
        <v>6.0241717372741367E-3</v>
      </c>
      <c r="L337">
        <f t="shared" si="18"/>
        <v>9.4114092171436927E-3</v>
      </c>
      <c r="M337">
        <f t="shared" si="18"/>
        <v>2.3469844147282381E-2</v>
      </c>
      <c r="N337">
        <f t="shared" si="18"/>
        <v>5.8591436461700296E-3</v>
      </c>
      <c r="O337">
        <f t="shared" si="18"/>
        <v>5.0780326391067108E-3</v>
      </c>
    </row>
    <row r="338" spans="1:15" x14ac:dyDescent="0.35">
      <c r="A338" s="2">
        <v>45422</v>
      </c>
      <c r="B338">
        <v>181.81512451171881</v>
      </c>
      <c r="C338">
        <v>780.95263671875</v>
      </c>
      <c r="D338">
        <v>142.0642395019531</v>
      </c>
      <c r="E338">
        <v>191.53385925292969</v>
      </c>
      <c r="F338">
        <v>70.169540405273438</v>
      </c>
      <c r="G338">
        <v>160.63897705078119</v>
      </c>
      <c r="H338">
        <v>5222.68017578125</v>
      </c>
      <c r="I338">
        <f t="shared" si="18"/>
        <v>-6.9141015860361942E-3</v>
      </c>
      <c r="J338">
        <f t="shared" si="18"/>
        <v>1.0407126183788643E-2</v>
      </c>
      <c r="K338">
        <f t="shared" si="18"/>
        <v>4.0028108301841544E-4</v>
      </c>
      <c r="L338">
        <f t="shared" si="18"/>
        <v>6.409733761388362E-3</v>
      </c>
      <c r="M338">
        <f t="shared" si="18"/>
        <v>-1.0649108719660402E-2</v>
      </c>
      <c r="N338">
        <f t="shared" si="18"/>
        <v>4.8665686768779729E-3</v>
      </c>
      <c r="O338">
        <f t="shared" si="18"/>
        <v>1.648040080166728E-3</v>
      </c>
    </row>
    <row r="339" spans="1:15" x14ac:dyDescent="0.35">
      <c r="A339" s="2">
        <v>45425</v>
      </c>
      <c r="B339">
        <v>185.02333068847659</v>
      </c>
      <c r="C339">
        <v>769.00811767578125</v>
      </c>
      <c r="D339">
        <v>143.3056945800781</v>
      </c>
      <c r="E339">
        <v>191.49531555175781</v>
      </c>
      <c r="F339">
        <v>70.9207763671875</v>
      </c>
      <c r="G339">
        <v>159.6954345703125</v>
      </c>
      <c r="H339">
        <v>5221.419921875</v>
      </c>
      <c r="I339">
        <f t="shared" si="18"/>
        <v>1.7491557539711381E-2</v>
      </c>
      <c r="J339">
        <f t="shared" si="18"/>
        <v>-1.5412977999242095E-2</v>
      </c>
      <c r="K339">
        <f t="shared" si="18"/>
        <v>8.7007267524156478E-3</v>
      </c>
      <c r="L339">
        <f t="shared" si="18"/>
        <v>-2.0125726099908003E-4</v>
      </c>
      <c r="M339">
        <f t="shared" si="18"/>
        <v>1.0649108719660471E-2</v>
      </c>
      <c r="N339">
        <f t="shared" si="18"/>
        <v>-5.8910012471580916E-3</v>
      </c>
      <c r="O339">
        <f t="shared" si="18"/>
        <v>-2.4133317386520824E-4</v>
      </c>
    </row>
    <row r="340" spans="1:15" x14ac:dyDescent="0.35">
      <c r="A340" s="2">
        <v>45426</v>
      </c>
      <c r="B340">
        <v>186.16557312011719</v>
      </c>
      <c r="C340">
        <v>771.73626708984375</v>
      </c>
      <c r="D340">
        <v>143.4573059082031</v>
      </c>
      <c r="E340">
        <v>194.17411804199219</v>
      </c>
      <c r="F340">
        <v>71.719573974609375</v>
      </c>
      <c r="G340">
        <v>159.58955383300781</v>
      </c>
      <c r="H340">
        <v>5246.68017578125</v>
      </c>
      <c r="I340">
        <f t="shared" si="18"/>
        <v>6.1545268483276568E-3</v>
      </c>
      <c r="J340">
        <f t="shared" si="18"/>
        <v>3.5413431224616976E-3</v>
      </c>
      <c r="K340">
        <f t="shared" si="18"/>
        <v>1.0573982138080804E-3</v>
      </c>
      <c r="L340">
        <f t="shared" si="18"/>
        <v>1.3891925766545358E-2</v>
      </c>
      <c r="M340">
        <f t="shared" si="18"/>
        <v>1.1200280369559244E-2</v>
      </c>
      <c r="N340">
        <f t="shared" si="18"/>
        <v>-6.6323657567134934E-4</v>
      </c>
      <c r="O340">
        <f t="shared" si="18"/>
        <v>4.8261485274540411E-3</v>
      </c>
    </row>
    <row r="341" spans="1:15" x14ac:dyDescent="0.35">
      <c r="A341" s="2">
        <v>45427</v>
      </c>
      <c r="B341">
        <v>188.44012451171881</v>
      </c>
      <c r="C341">
        <v>780.80389404296875</v>
      </c>
      <c r="D341">
        <v>144.67979431152341</v>
      </c>
      <c r="E341">
        <v>194.75225830078119</v>
      </c>
      <c r="F341">
        <v>73.26959228515625</v>
      </c>
      <c r="G341">
        <v>160.31163024902341</v>
      </c>
      <c r="H341">
        <v>5308.14990234375</v>
      </c>
      <c r="I341">
        <f t="shared" si="18"/>
        <v>1.2143858776735187E-2</v>
      </c>
      <c r="J341">
        <f t="shared" si="18"/>
        <v>1.1681153616351756E-2</v>
      </c>
      <c r="K341">
        <f t="shared" si="18"/>
        <v>8.4855142757552394E-3</v>
      </c>
      <c r="L341">
        <f t="shared" si="18"/>
        <v>2.9730083624734003E-3</v>
      </c>
      <c r="M341">
        <f t="shared" si="18"/>
        <v>2.1381975003260535E-2</v>
      </c>
      <c r="N341">
        <f t="shared" si="18"/>
        <v>4.5143793036642437E-3</v>
      </c>
      <c r="O341">
        <f t="shared" si="18"/>
        <v>1.1647827787299621E-2</v>
      </c>
    </row>
    <row r="342" spans="1:15" x14ac:dyDescent="0.35">
      <c r="A342" s="2">
        <v>45428</v>
      </c>
      <c r="B342">
        <v>188.5592956542969</v>
      </c>
      <c r="C342">
        <v>786.7861328125</v>
      </c>
      <c r="D342">
        <v>146.2055358886719</v>
      </c>
      <c r="E342">
        <v>195.09916687011719</v>
      </c>
      <c r="F342">
        <v>72.660995483398438</v>
      </c>
      <c r="G342">
        <v>161.6113586425781</v>
      </c>
      <c r="H342">
        <v>5297.10009765625</v>
      </c>
      <c r="I342">
        <f t="shared" si="18"/>
        <v>6.3220864634154906E-4</v>
      </c>
      <c r="J342">
        <f t="shared" si="18"/>
        <v>7.6324392320171229E-3</v>
      </c>
      <c r="K342">
        <f t="shared" si="18"/>
        <v>1.0490426370233969E-2</v>
      </c>
      <c r="L342">
        <f t="shared" si="18"/>
        <v>1.7796967690864455E-3</v>
      </c>
      <c r="M342">
        <f t="shared" si="18"/>
        <v>-8.340956333810658E-3</v>
      </c>
      <c r="N342">
        <f t="shared" si="18"/>
        <v>8.0748222435308471E-3</v>
      </c>
      <c r="O342">
        <f t="shared" si="18"/>
        <v>-2.0838374740880464E-3</v>
      </c>
    </row>
    <row r="343" spans="1:15" x14ac:dyDescent="0.35">
      <c r="A343" s="2">
        <v>45429</v>
      </c>
      <c r="B343">
        <v>188.589111328125</v>
      </c>
      <c r="C343">
        <v>789.5042724609375</v>
      </c>
      <c r="D343">
        <v>146.54669189453119</v>
      </c>
      <c r="E343">
        <v>197.3346862792969</v>
      </c>
      <c r="F343">
        <v>72.356697082519531</v>
      </c>
      <c r="G343">
        <v>161.39959716796881</v>
      </c>
      <c r="H343">
        <v>5303.27001953125</v>
      </c>
      <c r="I343">
        <f t="shared" si="18"/>
        <v>1.5811109546373826E-4</v>
      </c>
      <c r="J343">
        <f t="shared" si="18"/>
        <v>3.4487837184031178E-3</v>
      </c>
      <c r="K343">
        <f t="shared" si="18"/>
        <v>2.330681907186763E-3</v>
      </c>
      <c r="L343">
        <f t="shared" si="18"/>
        <v>1.139322498858537E-2</v>
      </c>
      <c r="M343">
        <f t="shared" si="18"/>
        <v>-4.1967134094249656E-3</v>
      </c>
      <c r="N343">
        <f t="shared" si="18"/>
        <v>-1.3111722753538777E-3</v>
      </c>
      <c r="O343">
        <f t="shared" si="18"/>
        <v>1.1640956878937513E-3</v>
      </c>
    </row>
    <row r="344" spans="1:15" x14ac:dyDescent="0.35">
      <c r="A344" s="2">
        <v>45432</v>
      </c>
      <c r="B344">
        <v>189.75120544433591</v>
      </c>
      <c r="C344">
        <v>786.71661376953125</v>
      </c>
      <c r="D344">
        <v>144.51182556152341</v>
      </c>
      <c r="E344">
        <v>188.4599914550781</v>
      </c>
      <c r="F344">
        <v>72.147499084472656</v>
      </c>
      <c r="G344">
        <v>161.08184814453119</v>
      </c>
      <c r="H344">
        <v>5308.1298828125</v>
      </c>
      <c r="I344">
        <f t="shared" si="18"/>
        <v>6.1431347350165482E-3</v>
      </c>
      <c r="J344">
        <f t="shared" si="18"/>
        <v>-3.537145868599659E-3</v>
      </c>
      <c r="K344">
        <f t="shared" si="18"/>
        <v>-1.3982751681624645E-2</v>
      </c>
      <c r="L344">
        <f t="shared" si="18"/>
        <v>-4.6015464899641347E-2</v>
      </c>
      <c r="M344">
        <f t="shared" si="18"/>
        <v>-2.8953919642924634E-3</v>
      </c>
      <c r="N344">
        <f t="shared" si="18"/>
        <v>-1.9706505964103807E-3</v>
      </c>
      <c r="O344">
        <f t="shared" si="18"/>
        <v>9.1597030849116642E-4</v>
      </c>
    </row>
    <row r="345" spans="1:15" x14ac:dyDescent="0.35">
      <c r="A345" s="2">
        <v>45433</v>
      </c>
      <c r="B345">
        <v>191.0523986816406</v>
      </c>
      <c r="C345">
        <v>794.58380126953125</v>
      </c>
      <c r="D345">
        <v>144.48320007324219</v>
      </c>
      <c r="E345">
        <v>192.25657653808591</v>
      </c>
      <c r="F345">
        <v>73.174507141113281</v>
      </c>
      <c r="G345">
        <v>162.08314514160159</v>
      </c>
      <c r="H345">
        <v>5321.41015625</v>
      </c>
      <c r="I345">
        <f t="shared" si="18"/>
        <v>6.8339600116124471E-3</v>
      </c>
      <c r="J345">
        <f t="shared" si="18"/>
        <v>9.9503577380666581E-3</v>
      </c>
      <c r="K345">
        <f t="shared" si="18"/>
        <v>-1.9810367539695474E-4</v>
      </c>
      <c r="L345">
        <f t="shared" si="18"/>
        <v>1.9945078623351875E-2</v>
      </c>
      <c r="M345">
        <f t="shared" si="18"/>
        <v>1.4134475314801642E-2</v>
      </c>
      <c r="N345">
        <f t="shared" si="18"/>
        <v>6.1968358088635997E-3</v>
      </c>
      <c r="O345">
        <f t="shared" si="18"/>
        <v>2.4987497668926086E-3</v>
      </c>
    </row>
    <row r="346" spans="1:15" x14ac:dyDescent="0.35">
      <c r="A346" s="2">
        <v>45434</v>
      </c>
      <c r="B346">
        <v>189.6121520996094</v>
      </c>
      <c r="C346">
        <v>795.50640869140625</v>
      </c>
      <c r="D346">
        <v>146.64219665527341</v>
      </c>
      <c r="E346">
        <v>191.0906066894531</v>
      </c>
      <c r="F346">
        <v>72.575408935546875</v>
      </c>
      <c r="G346">
        <v>161.563232421875</v>
      </c>
      <c r="H346">
        <v>5307.009765625</v>
      </c>
      <c r="I346">
        <f t="shared" si="18"/>
        <v>-7.5670479505965506E-3</v>
      </c>
      <c r="J346">
        <f t="shared" si="18"/>
        <v>1.1604467716740422E-3</v>
      </c>
      <c r="K346">
        <f t="shared" si="18"/>
        <v>1.4832345013349336E-2</v>
      </c>
      <c r="L346">
        <f t="shared" si="18"/>
        <v>-6.0831199243986033E-3</v>
      </c>
      <c r="M346">
        <f t="shared" si="18"/>
        <v>-8.2209526538830346E-3</v>
      </c>
      <c r="N346">
        <f t="shared" si="18"/>
        <v>-3.212847125736145E-3</v>
      </c>
      <c r="O346">
        <f t="shared" si="18"/>
        <v>-2.7097912093521476E-3</v>
      </c>
    </row>
    <row r="347" spans="1:15" x14ac:dyDescent="0.35">
      <c r="A347" s="2">
        <v>45435</v>
      </c>
      <c r="B347">
        <v>185.6192932128906</v>
      </c>
      <c r="C347">
        <v>790.03021240234375</v>
      </c>
      <c r="D347">
        <v>143.01197814941409</v>
      </c>
      <c r="E347">
        <v>189.75120544433591</v>
      </c>
      <c r="F347">
        <v>71.624481201171875</v>
      </c>
      <c r="G347">
        <v>159.32960510253909</v>
      </c>
      <c r="H347">
        <v>5267.83984375</v>
      </c>
      <c r="I347">
        <f t="shared" si="18"/>
        <v>-2.1282915669291146E-2</v>
      </c>
      <c r="J347">
        <f t="shared" si="18"/>
        <v>-6.9077156485906456E-3</v>
      </c>
      <c r="K347">
        <f t="shared" si="18"/>
        <v>-2.5067193303343852E-2</v>
      </c>
      <c r="L347">
        <f t="shared" si="18"/>
        <v>-7.0339270784057816E-3</v>
      </c>
      <c r="M347">
        <f t="shared" si="18"/>
        <v>-1.3189212812105633E-2</v>
      </c>
      <c r="N347">
        <f t="shared" si="18"/>
        <v>-1.3921553446495523E-2</v>
      </c>
      <c r="O347">
        <f t="shared" si="18"/>
        <v>-7.4081622834719328E-3</v>
      </c>
    </row>
    <row r="348" spans="1:15" x14ac:dyDescent="0.35">
      <c r="A348" s="2">
        <v>45436</v>
      </c>
      <c r="B348">
        <v>188.6983642578125</v>
      </c>
      <c r="C348">
        <v>803.31414794921875</v>
      </c>
      <c r="D348">
        <v>140.4039611816406</v>
      </c>
      <c r="E348">
        <v>193.40325927734381</v>
      </c>
      <c r="F348">
        <v>72.851181030273438</v>
      </c>
      <c r="G348">
        <v>159.1755676269531</v>
      </c>
      <c r="H348">
        <v>5304.72021484375</v>
      </c>
      <c r="I348">
        <f t="shared" si="18"/>
        <v>1.6452018406762591E-2</v>
      </c>
      <c r="J348">
        <f t="shared" si="18"/>
        <v>1.6674667033444699E-2</v>
      </c>
      <c r="K348">
        <f t="shared" si="18"/>
        <v>-1.8404685296410535E-2</v>
      </c>
      <c r="L348">
        <f t="shared" si="18"/>
        <v>1.906366633868212E-2</v>
      </c>
      <c r="M348">
        <f t="shared" si="18"/>
        <v>1.6981812574581333E-2</v>
      </c>
      <c r="N348">
        <f t="shared" si="18"/>
        <v>-9.6725265888422554E-4</v>
      </c>
      <c r="O348">
        <f t="shared" si="18"/>
        <v>6.9766490766732595E-3</v>
      </c>
    </row>
    <row r="349" spans="1:15" x14ac:dyDescent="0.35">
      <c r="A349" s="2">
        <v>45440</v>
      </c>
      <c r="B349">
        <v>188.70831298828119</v>
      </c>
      <c r="C349">
        <v>806.72674560546875</v>
      </c>
      <c r="D349">
        <v>137.9296569824219</v>
      </c>
      <c r="E349">
        <v>192.23728942871091</v>
      </c>
      <c r="F349">
        <v>73.726051330566406</v>
      </c>
      <c r="G349">
        <v>157.03819274902341</v>
      </c>
      <c r="H349">
        <v>5306.0400390625</v>
      </c>
      <c r="I349">
        <f t="shared" si="18"/>
        <v>5.272153923513184E-5</v>
      </c>
      <c r="J349">
        <f t="shared" si="18"/>
        <v>4.2391504220638063E-3</v>
      </c>
      <c r="K349">
        <f t="shared" si="18"/>
        <v>-1.7779881549921616E-2</v>
      </c>
      <c r="L349">
        <f t="shared" si="18"/>
        <v>-6.046944002138217E-3</v>
      </c>
      <c r="M349">
        <f t="shared" si="18"/>
        <v>1.1937470444696379E-2</v>
      </c>
      <c r="N349">
        <f t="shared" si="18"/>
        <v>-1.3518750271364318E-2</v>
      </c>
      <c r="O349">
        <f t="shared" si="18"/>
        <v>2.4877090688591537E-4</v>
      </c>
    </row>
    <row r="350" spans="1:15" x14ac:dyDescent="0.35">
      <c r="A350" s="2">
        <v>45441</v>
      </c>
      <c r="B350">
        <v>189.00627136230469</v>
      </c>
      <c r="C350">
        <v>800.12957763671875</v>
      </c>
      <c r="D350">
        <v>137.98698425292969</v>
      </c>
      <c r="E350">
        <v>190.89788818359381</v>
      </c>
      <c r="F350">
        <v>72.917755126953125</v>
      </c>
      <c r="G350">
        <v>155.6325378417969</v>
      </c>
      <c r="H350">
        <v>5266.9501953125</v>
      </c>
      <c r="I350">
        <f t="shared" si="18"/>
        <v>1.5776909241670795E-3</v>
      </c>
      <c r="J350">
        <f t="shared" si="18"/>
        <v>-8.211319134810274E-3</v>
      </c>
      <c r="K350">
        <f t="shared" si="18"/>
        <v>4.1554051307684007E-4</v>
      </c>
      <c r="L350">
        <f t="shared" si="18"/>
        <v>-6.9918231466586161E-3</v>
      </c>
      <c r="M350">
        <f t="shared" si="18"/>
        <v>-1.1024050849774676E-2</v>
      </c>
      <c r="N350">
        <f t="shared" si="18"/>
        <v>-8.9913397040838651E-3</v>
      </c>
      <c r="O350">
        <f t="shared" si="18"/>
        <v>-7.394317215742535E-3</v>
      </c>
    </row>
    <row r="351" spans="1:15" x14ac:dyDescent="0.35">
      <c r="A351" s="2">
        <v>45442</v>
      </c>
      <c r="B351">
        <v>189.99949645996091</v>
      </c>
      <c r="C351">
        <v>808.87969970703125</v>
      </c>
      <c r="D351">
        <v>138.78944396972659</v>
      </c>
      <c r="E351">
        <v>192.07347106933591</v>
      </c>
      <c r="F351">
        <v>74.353675842285156</v>
      </c>
      <c r="G351">
        <v>156.5279235839844</v>
      </c>
      <c r="H351">
        <v>5235.47998046875</v>
      </c>
      <c r="I351">
        <f t="shared" si="18"/>
        <v>5.2412256259680278E-3</v>
      </c>
      <c r="J351">
        <f t="shared" si="18"/>
        <v>1.0876516939917327E-2</v>
      </c>
      <c r="K351">
        <f t="shared" si="18"/>
        <v>5.798629387969976E-3</v>
      </c>
      <c r="L351">
        <f t="shared" si="18"/>
        <v>6.1392924026077815E-3</v>
      </c>
      <c r="M351">
        <f t="shared" si="18"/>
        <v>1.9500947478441683E-2</v>
      </c>
      <c r="N351">
        <f t="shared" si="18"/>
        <v>5.7367175438333721E-3</v>
      </c>
      <c r="O351">
        <f t="shared" si="18"/>
        <v>-5.992957535754186E-3</v>
      </c>
    </row>
    <row r="352" spans="1:15" x14ac:dyDescent="0.35">
      <c r="A352" s="2">
        <v>45443</v>
      </c>
      <c r="B352">
        <v>190.95306396484381</v>
      </c>
      <c r="C352">
        <v>803.47283935546875</v>
      </c>
      <c r="D352">
        <v>140.1173400878906</v>
      </c>
      <c r="E352">
        <v>195.25335693359381</v>
      </c>
      <c r="F352">
        <v>76.093879699707031</v>
      </c>
      <c r="G352">
        <v>158.41496276855469</v>
      </c>
      <c r="H352">
        <v>5277.509765625</v>
      </c>
      <c r="I352">
        <f t="shared" si="18"/>
        <v>5.006237497799406E-3</v>
      </c>
      <c r="J352">
        <f t="shared" si="18"/>
        <v>-6.7068218493500304E-3</v>
      </c>
      <c r="K352">
        <f t="shared" si="18"/>
        <v>9.5222219588338552E-3</v>
      </c>
      <c r="L352">
        <f t="shared" si="18"/>
        <v>1.6420020922880529E-2</v>
      </c>
      <c r="M352">
        <f t="shared" si="18"/>
        <v>2.3134725796047483E-2</v>
      </c>
      <c r="N352">
        <f t="shared" si="18"/>
        <v>1.1983517320724094E-2</v>
      </c>
      <c r="O352">
        <f t="shared" si="18"/>
        <v>7.9958242319288966E-3</v>
      </c>
    </row>
    <row r="353" spans="1:15" x14ac:dyDescent="0.35">
      <c r="A353" s="2">
        <v>45446</v>
      </c>
      <c r="B353">
        <v>192.7210388183594</v>
      </c>
      <c r="C353">
        <v>808.9293212890625</v>
      </c>
      <c r="D353">
        <v>141.13957214355469</v>
      </c>
      <c r="E353">
        <v>194.47282409667969</v>
      </c>
      <c r="F353">
        <v>74.375892639160156</v>
      </c>
      <c r="G353">
        <v>158.52085876464841</v>
      </c>
      <c r="H353">
        <v>5283.39990234375</v>
      </c>
      <c r="I353">
        <f t="shared" si="18"/>
        <v>9.216089146715175E-3</v>
      </c>
      <c r="J353">
        <f t="shared" si="18"/>
        <v>6.768166027065408E-3</v>
      </c>
      <c r="K353">
        <f t="shared" si="18"/>
        <v>7.2690590870241939E-3</v>
      </c>
      <c r="L353">
        <f t="shared" si="18"/>
        <v>-4.0055501452375096E-3</v>
      </c>
      <c r="M353">
        <f t="shared" si="18"/>
        <v>-2.2835971523214108E-2</v>
      </c>
      <c r="N353">
        <f t="shared" si="18"/>
        <v>6.6824885569666335E-4</v>
      </c>
      <c r="O353">
        <f t="shared" si="18"/>
        <v>1.1154602235352391E-3</v>
      </c>
    </row>
    <row r="354" spans="1:15" x14ac:dyDescent="0.35">
      <c r="A354" s="2">
        <v>45447</v>
      </c>
      <c r="B354">
        <v>193.03889465332031</v>
      </c>
      <c r="C354">
        <v>820.83404541015625</v>
      </c>
      <c r="D354">
        <v>141.1968688964844</v>
      </c>
      <c r="E354">
        <v>191.90968322753909</v>
      </c>
      <c r="F354">
        <v>73.839912414550781</v>
      </c>
      <c r="G354">
        <v>160.79301452636719</v>
      </c>
      <c r="H354">
        <v>5291.33984375</v>
      </c>
      <c r="I354">
        <f t="shared" si="18"/>
        <v>1.6479467114922726E-3</v>
      </c>
      <c r="J354">
        <f t="shared" si="18"/>
        <v>1.4609404167113857E-2</v>
      </c>
      <c r="K354">
        <f t="shared" si="18"/>
        <v>4.0587572404909362E-4</v>
      </c>
      <c r="L354">
        <f t="shared" si="18"/>
        <v>-1.3267569930027196E-2</v>
      </c>
      <c r="M354">
        <f t="shared" si="18"/>
        <v>-7.2324616227437541E-3</v>
      </c>
      <c r="N354">
        <f t="shared" si="18"/>
        <v>1.4231728103561358E-2</v>
      </c>
      <c r="O354">
        <f t="shared" si="18"/>
        <v>1.5016810037827531E-3</v>
      </c>
    </row>
    <row r="355" spans="1:15" x14ac:dyDescent="0.35">
      <c r="A355" s="2">
        <v>45448</v>
      </c>
      <c r="B355">
        <v>194.54862976074219</v>
      </c>
      <c r="C355">
        <v>827.6893310546875</v>
      </c>
      <c r="D355">
        <v>139.44862365722659</v>
      </c>
      <c r="E355">
        <v>190.07881164550781</v>
      </c>
      <c r="F355">
        <v>73.74420166015625</v>
      </c>
      <c r="G355">
        <v>159.86875915527341</v>
      </c>
      <c r="H355">
        <v>5354.02978515625</v>
      </c>
      <c r="I355">
        <f t="shared" si="18"/>
        <v>7.7904609821647904E-3</v>
      </c>
      <c r="J355">
        <f t="shared" si="18"/>
        <v>8.3169280558625502E-3</v>
      </c>
      <c r="K355">
        <f t="shared" si="18"/>
        <v>-1.2458905628406892E-2</v>
      </c>
      <c r="L355">
        <f t="shared" si="18"/>
        <v>-9.5860772087194793E-3</v>
      </c>
      <c r="M355">
        <f t="shared" si="18"/>
        <v>-1.2970334701998861E-3</v>
      </c>
      <c r="N355">
        <f t="shared" si="18"/>
        <v>-5.7646904401813231E-3</v>
      </c>
      <c r="O355">
        <f t="shared" si="18"/>
        <v>1.1778015849957281E-2</v>
      </c>
    </row>
    <row r="356" spans="1:15" x14ac:dyDescent="0.35">
      <c r="A356" s="2">
        <v>45449</v>
      </c>
      <c r="B356">
        <v>193.16801452636719</v>
      </c>
      <c r="C356">
        <v>835.96337890625</v>
      </c>
      <c r="D356">
        <v>139.87852478027341</v>
      </c>
      <c r="E356">
        <v>189.7415771484375</v>
      </c>
      <c r="F356">
        <v>73.409217834472656</v>
      </c>
      <c r="G356">
        <v>162.19865417480469</v>
      </c>
      <c r="H356">
        <v>5352.9599609375</v>
      </c>
      <c r="I356">
        <f t="shared" si="18"/>
        <v>-7.1218044936935919E-3</v>
      </c>
      <c r="J356">
        <f t="shared" si="18"/>
        <v>9.9469270507844838E-3</v>
      </c>
      <c r="K356">
        <f t="shared" si="18"/>
        <v>3.0781215853045185E-3</v>
      </c>
      <c r="L356">
        <f t="shared" si="18"/>
        <v>-1.7757582038100473E-3</v>
      </c>
      <c r="M356">
        <f t="shared" si="18"/>
        <v>-4.5528592604547084E-3</v>
      </c>
      <c r="N356">
        <f t="shared" si="18"/>
        <v>1.4468620966710123E-2</v>
      </c>
      <c r="O356">
        <f t="shared" si="18"/>
        <v>-1.9983660163685183E-4</v>
      </c>
    </row>
    <row r="357" spans="1:15" x14ac:dyDescent="0.35">
      <c r="A357" s="2">
        <v>45450</v>
      </c>
      <c r="B357">
        <v>195.56175231933591</v>
      </c>
      <c r="C357">
        <v>838.8800048828125</v>
      </c>
      <c r="D357">
        <v>140.509033203125</v>
      </c>
      <c r="E357">
        <v>192.6708984375</v>
      </c>
      <c r="F357">
        <v>72.155433654785156</v>
      </c>
      <c r="G357">
        <v>160.84114074707031</v>
      </c>
      <c r="H357">
        <v>5346.990234375</v>
      </c>
      <c r="I357">
        <f t="shared" si="18"/>
        <v>1.2315846399807848E-2</v>
      </c>
      <c r="J357">
        <f t="shared" si="18"/>
        <v>3.4828676556915772E-3</v>
      </c>
      <c r="K357">
        <f t="shared" si="18"/>
        <v>4.4974141516583967E-3</v>
      </c>
      <c r="L357">
        <f t="shared" si="18"/>
        <v>1.5320517885571627E-2</v>
      </c>
      <c r="M357">
        <f t="shared" si="18"/>
        <v>-1.7226918396617438E-2</v>
      </c>
      <c r="N357">
        <f t="shared" si="18"/>
        <v>-8.4046698897261643E-3</v>
      </c>
      <c r="O357">
        <f t="shared" si="18"/>
        <v>-1.1158420502790662E-3</v>
      </c>
    </row>
    <row r="358" spans="1:15" x14ac:dyDescent="0.35">
      <c r="A358" s="2">
        <v>45453</v>
      </c>
      <c r="B358">
        <v>191.81718444824219</v>
      </c>
      <c r="C358">
        <v>841.6181640625</v>
      </c>
      <c r="D358">
        <v>140.5567932128906</v>
      </c>
      <c r="E358">
        <v>192.34330749511719</v>
      </c>
      <c r="F358">
        <v>73.667633056640625</v>
      </c>
      <c r="G358">
        <v>161.120361328125</v>
      </c>
      <c r="H358">
        <v>5360.7900390625</v>
      </c>
      <c r="I358">
        <f t="shared" si="18"/>
        <v>-1.9333444091231302E-2</v>
      </c>
      <c r="J358">
        <f t="shared" si="18"/>
        <v>3.2587498795682021E-3</v>
      </c>
      <c r="K358">
        <f t="shared" si="18"/>
        <v>3.3984928608560597E-4</v>
      </c>
      <c r="L358">
        <f t="shared" si="18"/>
        <v>-1.7017087493839125E-3</v>
      </c>
      <c r="M358">
        <f t="shared" si="18"/>
        <v>2.0740938264716419E-2</v>
      </c>
      <c r="N358">
        <f t="shared" si="18"/>
        <v>1.7344971324673897E-3</v>
      </c>
      <c r="O358">
        <f t="shared" si="18"/>
        <v>2.577529978240972E-3</v>
      </c>
    </row>
    <row r="359" spans="1:15" x14ac:dyDescent="0.35">
      <c r="A359" s="2">
        <v>45454</v>
      </c>
      <c r="B359">
        <v>205.75251770019531</v>
      </c>
      <c r="C359">
        <v>842.58050537109375</v>
      </c>
      <c r="D359">
        <v>140.2033386230469</v>
      </c>
      <c r="E359">
        <v>187.284423828125</v>
      </c>
      <c r="F359">
        <v>69.619117736816406</v>
      </c>
      <c r="G359">
        <v>161.2455139160156</v>
      </c>
      <c r="H359">
        <v>5375.31982421875</v>
      </c>
      <c r="I359">
        <f t="shared" si="18"/>
        <v>7.0131322078982053E-2</v>
      </c>
      <c r="J359">
        <f t="shared" si="18"/>
        <v>1.1427884735823253E-3</v>
      </c>
      <c r="K359">
        <f t="shared" si="18"/>
        <v>-2.5178416483869911E-3</v>
      </c>
      <c r="L359">
        <f t="shared" si="18"/>
        <v>-2.6653390852625535E-2</v>
      </c>
      <c r="M359">
        <f t="shared" si="18"/>
        <v>-5.6524321430166342E-2</v>
      </c>
      <c r="N359">
        <f t="shared" si="18"/>
        <v>7.7646304270668532E-4</v>
      </c>
      <c r="O359">
        <f t="shared" si="18"/>
        <v>2.7067148552095224E-3</v>
      </c>
    </row>
    <row r="360" spans="1:15" x14ac:dyDescent="0.35">
      <c r="A360" s="2">
        <v>45455</v>
      </c>
      <c r="B360">
        <v>211.63261413574219</v>
      </c>
      <c r="C360">
        <v>841.09228515625</v>
      </c>
      <c r="D360">
        <v>138.91365051269531</v>
      </c>
      <c r="E360">
        <v>184.55743408203119</v>
      </c>
      <c r="F360">
        <v>69.159721374511719</v>
      </c>
      <c r="G360">
        <v>159.03114318847659</v>
      </c>
      <c r="H360">
        <v>5421.02978515625</v>
      </c>
      <c r="I360">
        <f t="shared" si="18"/>
        <v>2.817774300517779E-2</v>
      </c>
      <c r="J360">
        <f t="shared" si="18"/>
        <v>-1.7678263980984491E-3</v>
      </c>
      <c r="K360">
        <f t="shared" si="18"/>
        <v>-9.2412668445671069E-3</v>
      </c>
      <c r="L360">
        <f t="shared" si="18"/>
        <v>-1.4667733493872993E-2</v>
      </c>
      <c r="M360">
        <f t="shared" si="18"/>
        <v>-6.6205776510144844E-3</v>
      </c>
      <c r="N360">
        <f t="shared" si="18"/>
        <v>-1.38280824627099E-2</v>
      </c>
      <c r="O360">
        <f t="shared" si="18"/>
        <v>8.467720241887338E-3</v>
      </c>
    </row>
    <row r="361" spans="1:15" x14ac:dyDescent="0.35">
      <c r="A361" s="2">
        <v>45456</v>
      </c>
      <c r="B361">
        <v>212.7947082519531</v>
      </c>
      <c r="C361">
        <v>839.25701904296875</v>
      </c>
      <c r="D361">
        <v>138.95185852050781</v>
      </c>
      <c r="E361">
        <v>186.60990905761719</v>
      </c>
      <c r="F361">
        <v>70.040245056152344</v>
      </c>
      <c r="G361">
        <v>160.21534729003909</v>
      </c>
      <c r="H361">
        <v>5433.740234375</v>
      </c>
      <c r="I361">
        <f t="shared" si="18"/>
        <v>5.4760707377751894E-3</v>
      </c>
      <c r="J361">
        <f t="shared" si="18"/>
        <v>-2.1843873038181012E-3</v>
      </c>
      <c r="K361">
        <f t="shared" si="18"/>
        <v>2.750108006298181E-4</v>
      </c>
      <c r="L361">
        <f t="shared" si="18"/>
        <v>1.1059679330329619E-2</v>
      </c>
      <c r="M361">
        <f t="shared" si="18"/>
        <v>1.2651374116037978E-2</v>
      </c>
      <c r="N361">
        <f t="shared" si="18"/>
        <v>7.4187787070862134E-3</v>
      </c>
      <c r="O361">
        <f t="shared" si="18"/>
        <v>2.3419114371167199E-3</v>
      </c>
    </row>
    <row r="362" spans="1:15" x14ac:dyDescent="0.35">
      <c r="A362" s="2">
        <v>45457</v>
      </c>
      <c r="B362">
        <v>211.05653381347659</v>
      </c>
      <c r="C362">
        <v>848.89007568359375</v>
      </c>
      <c r="D362">
        <v>139.037841796875</v>
      </c>
      <c r="E362">
        <v>186.72554016113281</v>
      </c>
      <c r="F362">
        <v>69.925392150878906</v>
      </c>
      <c r="G362">
        <v>160.5812072753906</v>
      </c>
      <c r="H362">
        <v>5431.60009765625</v>
      </c>
      <c r="I362">
        <f t="shared" si="18"/>
        <v>-8.2018595674467291E-3</v>
      </c>
      <c r="J362">
        <f t="shared" si="18"/>
        <v>1.1412703583869288E-2</v>
      </c>
      <c r="K362">
        <f t="shared" si="18"/>
        <v>6.1860766072269245E-4</v>
      </c>
      <c r="L362">
        <f t="shared" si="18"/>
        <v>6.194488493127732E-4</v>
      </c>
      <c r="M362">
        <f t="shared" si="18"/>
        <v>-1.6411589779326936E-3</v>
      </c>
      <c r="N362">
        <f t="shared" si="18"/>
        <v>2.2809480885448005E-3</v>
      </c>
      <c r="O362">
        <f t="shared" si="18"/>
        <v>-3.9393828099749413E-4</v>
      </c>
    </row>
    <row r="363" spans="1:15" x14ac:dyDescent="0.35">
      <c r="A363" s="2">
        <v>45460</v>
      </c>
      <c r="B363">
        <v>215.20832824707031</v>
      </c>
      <c r="C363">
        <v>861.03314208984375</v>
      </c>
      <c r="D363">
        <v>139.42950439453119</v>
      </c>
      <c r="E363">
        <v>187.88182067871091</v>
      </c>
      <c r="F363">
        <v>69.207565307617188</v>
      </c>
      <c r="G363">
        <v>161.26478576660159</v>
      </c>
      <c r="H363">
        <v>5473.22998046875</v>
      </c>
      <c r="I363">
        <f t="shared" si="18"/>
        <v>1.94804972178718E-2</v>
      </c>
      <c r="J363">
        <f t="shared" si="18"/>
        <v>1.4203293361939319E-2</v>
      </c>
      <c r="K363">
        <f t="shared" si="18"/>
        <v>2.8129894673744687E-3</v>
      </c>
      <c r="L363">
        <f t="shared" ref="L363:O426" si="19">LN(E363/E362)</f>
        <v>6.1733127032922806E-3</v>
      </c>
      <c r="M363">
        <f t="shared" si="19"/>
        <v>-1.0318665333820582E-2</v>
      </c>
      <c r="N363">
        <f t="shared" si="19"/>
        <v>4.2478672028525531E-3</v>
      </c>
      <c r="O363">
        <f t="shared" si="19"/>
        <v>7.635164372320518E-3</v>
      </c>
    </row>
    <row r="364" spans="1:15" x14ac:dyDescent="0.35">
      <c r="A364" s="2">
        <v>45461</v>
      </c>
      <c r="B364">
        <v>212.8443603515625</v>
      </c>
      <c r="C364">
        <v>863.8505859375</v>
      </c>
      <c r="D364">
        <v>139.1429138183594</v>
      </c>
      <c r="E364">
        <v>189.82829284667969</v>
      </c>
      <c r="F364">
        <v>67.417808532714844</v>
      </c>
      <c r="G364">
        <v>162.2853088378906</v>
      </c>
      <c r="H364">
        <v>5487.02978515625</v>
      </c>
      <c r="I364">
        <f t="shared" ref="I364:N427" si="20">LN(B364/B363)</f>
        <v>-1.1045331530300663E-2</v>
      </c>
      <c r="J364">
        <f t="shared" si="20"/>
        <v>3.2668246648234673E-3</v>
      </c>
      <c r="K364">
        <f t="shared" si="20"/>
        <v>-2.0575667836682083E-3</v>
      </c>
      <c r="L364">
        <f t="shared" si="19"/>
        <v>1.0306789939523876E-2</v>
      </c>
      <c r="M364">
        <f t="shared" si="19"/>
        <v>-2.620097733111058E-2</v>
      </c>
      <c r="N364">
        <f t="shared" si="19"/>
        <v>6.3083057158129525E-3</v>
      </c>
      <c r="O364">
        <f t="shared" si="19"/>
        <v>2.5181541815171163E-3</v>
      </c>
    </row>
    <row r="365" spans="1:15" x14ac:dyDescent="0.35">
      <c r="A365" s="2">
        <v>45463</v>
      </c>
      <c r="B365">
        <v>208.26545715332031</v>
      </c>
      <c r="C365">
        <v>855.60638427734375</v>
      </c>
      <c r="D365">
        <v>141.17774963378909</v>
      </c>
      <c r="E365">
        <v>191.4375305175781</v>
      </c>
      <c r="F365">
        <v>69.351142883300781</v>
      </c>
      <c r="G365">
        <v>161.4284362792969</v>
      </c>
      <c r="H365">
        <v>5473.169921875</v>
      </c>
      <c r="I365">
        <f t="shared" si="20"/>
        <v>-2.1747693723323264E-2</v>
      </c>
      <c r="J365">
        <f t="shared" si="20"/>
        <v>-9.5893819715837884E-3</v>
      </c>
      <c r="K365">
        <f t="shared" si="20"/>
        <v>1.4518170238842734E-2</v>
      </c>
      <c r="L365">
        <f t="shared" si="19"/>
        <v>8.4416023076184597E-3</v>
      </c>
      <c r="M365">
        <f t="shared" si="19"/>
        <v>2.8273421985760293E-2</v>
      </c>
      <c r="N365">
        <f t="shared" si="19"/>
        <v>-5.2940264217667598E-3</v>
      </c>
      <c r="O365">
        <f t="shared" si="19"/>
        <v>-2.5291273954115403E-3</v>
      </c>
    </row>
    <row r="366" spans="1:15" x14ac:dyDescent="0.35">
      <c r="A366" s="2">
        <v>45464</v>
      </c>
      <c r="B366">
        <v>206.09025573730469</v>
      </c>
      <c r="C366">
        <v>841.5885009765625</v>
      </c>
      <c r="D366">
        <v>142.10441589355469</v>
      </c>
      <c r="E366">
        <v>189.15379333496091</v>
      </c>
      <c r="F366">
        <v>69.686111450195313</v>
      </c>
      <c r="G366">
        <v>161.99647521972659</v>
      </c>
      <c r="H366">
        <v>5464.6201171875</v>
      </c>
      <c r="I366">
        <f t="shared" si="20"/>
        <v>-1.0499294834300491E-2</v>
      </c>
      <c r="J366">
        <f t="shared" si="20"/>
        <v>-1.6519260333341192E-2</v>
      </c>
      <c r="K366">
        <f t="shared" si="20"/>
        <v>6.5423784328785114E-3</v>
      </c>
      <c r="L366">
        <f t="shared" si="19"/>
        <v>-1.2001138488814867E-2</v>
      </c>
      <c r="M366">
        <f t="shared" si="19"/>
        <v>4.8184095202744911E-3</v>
      </c>
      <c r="N366">
        <f t="shared" si="19"/>
        <v>3.5126516499279724E-3</v>
      </c>
      <c r="O366">
        <f t="shared" si="19"/>
        <v>-1.5633517188252497E-3</v>
      </c>
    </row>
    <row r="367" spans="1:15" x14ac:dyDescent="0.35">
      <c r="A367" s="2">
        <v>45467</v>
      </c>
      <c r="B367">
        <v>206.7358703613281</v>
      </c>
      <c r="C367">
        <v>841.4395751953125</v>
      </c>
      <c r="D367">
        <v>142.4578857421875</v>
      </c>
      <c r="E367">
        <v>191.6398620605469</v>
      </c>
      <c r="F367">
        <v>70.681503295898438</v>
      </c>
      <c r="G367">
        <v>162.17939758300781</v>
      </c>
      <c r="H367">
        <v>5447.8701171875</v>
      </c>
      <c r="I367">
        <f t="shared" si="20"/>
        <v>3.1277824224119695E-3</v>
      </c>
      <c r="J367">
        <f t="shared" si="20"/>
        <v>-1.7697361529156314E-4</v>
      </c>
      <c r="K367">
        <f t="shared" si="20"/>
        <v>2.4843067995710846E-3</v>
      </c>
      <c r="L367">
        <f t="shared" si="19"/>
        <v>1.3057486713500016E-2</v>
      </c>
      <c r="M367">
        <f t="shared" si="19"/>
        <v>1.4182880189890891E-2</v>
      </c>
      <c r="N367">
        <f t="shared" si="19"/>
        <v>1.1285379205667736E-3</v>
      </c>
      <c r="O367">
        <f t="shared" si="19"/>
        <v>-3.0698791558664423E-3</v>
      </c>
    </row>
    <row r="368" spans="1:15" x14ac:dyDescent="0.35">
      <c r="A368" s="2">
        <v>45468</v>
      </c>
      <c r="B368">
        <v>207.65960693359381</v>
      </c>
      <c r="C368">
        <v>848.73138427734375</v>
      </c>
      <c r="D368">
        <v>140.61412048339841</v>
      </c>
      <c r="E368">
        <v>190.85932922363281</v>
      </c>
      <c r="F368">
        <v>69.848831176757813</v>
      </c>
      <c r="G368">
        <v>160.63897705078119</v>
      </c>
      <c r="H368">
        <v>5469.2998046875</v>
      </c>
      <c r="I368">
        <f t="shared" si="20"/>
        <v>4.4582441309750139E-3</v>
      </c>
      <c r="J368">
        <f t="shared" si="20"/>
        <v>8.6285405411169469E-3</v>
      </c>
      <c r="K368">
        <f t="shared" si="20"/>
        <v>-1.3027012862801298E-2</v>
      </c>
      <c r="L368">
        <f t="shared" si="19"/>
        <v>-4.0812317417052921E-3</v>
      </c>
      <c r="M368">
        <f t="shared" si="19"/>
        <v>-1.1850564036513949E-2</v>
      </c>
      <c r="N368">
        <f t="shared" si="19"/>
        <v>-9.5436464910075777E-3</v>
      </c>
      <c r="O368">
        <f t="shared" si="19"/>
        <v>3.9258736791813438E-3</v>
      </c>
    </row>
    <row r="369" spans="1:15" x14ac:dyDescent="0.35">
      <c r="A369" s="2">
        <v>45469</v>
      </c>
      <c r="B369">
        <v>211.8114013671875</v>
      </c>
      <c r="C369">
        <v>850.05078125</v>
      </c>
      <c r="D369">
        <v>140.26066589355469</v>
      </c>
      <c r="E369">
        <v>190.24263000488281</v>
      </c>
      <c r="F369">
        <v>70.222099304199219</v>
      </c>
      <c r="G369">
        <v>161.21662902832031</v>
      </c>
      <c r="H369">
        <v>5477.89990234375</v>
      </c>
      <c r="I369">
        <f t="shared" si="20"/>
        <v>1.9796028499053691E-2</v>
      </c>
      <c r="J369">
        <f t="shared" si="20"/>
        <v>1.5533448192778727E-3</v>
      </c>
      <c r="K369">
        <f t="shared" si="20"/>
        <v>-2.5168138513140138E-3</v>
      </c>
      <c r="L369">
        <f t="shared" si="19"/>
        <v>-3.2364029735748112E-3</v>
      </c>
      <c r="M369">
        <f t="shared" si="19"/>
        <v>5.3297141632829073E-3</v>
      </c>
      <c r="N369">
        <f t="shared" si="19"/>
        <v>3.5895139737419516E-3</v>
      </c>
      <c r="O369">
        <f t="shared" si="19"/>
        <v>1.5711962247204525E-3</v>
      </c>
    </row>
    <row r="370" spans="1:15" x14ac:dyDescent="0.35">
      <c r="A370" s="2">
        <v>45470</v>
      </c>
      <c r="B370">
        <v>212.6556701660156</v>
      </c>
      <c r="C370">
        <v>843.88006591796875</v>
      </c>
      <c r="D370">
        <v>139.2862243652344</v>
      </c>
      <c r="E370">
        <v>191.9193115234375</v>
      </c>
      <c r="F370">
        <v>70.557075500488281</v>
      </c>
      <c r="G370">
        <v>160.41755676269531</v>
      </c>
      <c r="H370">
        <v>5482.8701171875</v>
      </c>
      <c r="I370">
        <f t="shared" si="20"/>
        <v>3.9780231203065215E-3</v>
      </c>
      <c r="J370">
        <f t="shared" si="20"/>
        <v>-7.2857078413158423E-3</v>
      </c>
      <c r="K370">
        <f t="shared" si="20"/>
        <v>-6.9716066179170734E-3</v>
      </c>
      <c r="L370">
        <f t="shared" si="19"/>
        <v>8.7747736997273347E-3</v>
      </c>
      <c r="M370">
        <f t="shared" si="19"/>
        <v>4.7588974568194128E-3</v>
      </c>
      <c r="N370">
        <f t="shared" si="19"/>
        <v>-4.9688369269975021E-3</v>
      </c>
      <c r="O370">
        <f t="shared" si="19"/>
        <v>9.0690985679907311E-4</v>
      </c>
    </row>
    <row r="371" spans="1:15" x14ac:dyDescent="0.35">
      <c r="A371" s="2">
        <v>45471</v>
      </c>
      <c r="B371">
        <v>209.1991271972656</v>
      </c>
      <c r="C371">
        <v>843.255126953125</v>
      </c>
      <c r="D371">
        <v>139.630126953125</v>
      </c>
      <c r="E371">
        <v>194.89680480957031</v>
      </c>
      <c r="F371">
        <v>67.771926879882813</v>
      </c>
      <c r="G371">
        <v>158.78082275390619</v>
      </c>
      <c r="H371">
        <v>5460.47998046875</v>
      </c>
      <c r="I371">
        <f t="shared" si="20"/>
        <v>-1.638772557161576E-2</v>
      </c>
      <c r="J371">
        <f t="shared" si="20"/>
        <v>-7.4082859046073642E-4</v>
      </c>
      <c r="K371">
        <f t="shared" si="20"/>
        <v>2.4659921194367792E-3</v>
      </c>
      <c r="L371">
        <f t="shared" si="19"/>
        <v>1.5395181165143516E-2</v>
      </c>
      <c r="M371">
        <f t="shared" si="19"/>
        <v>-4.0273912469137162E-2</v>
      </c>
      <c r="N371">
        <f t="shared" si="19"/>
        <v>-1.025536756296834E-2</v>
      </c>
      <c r="O371">
        <f t="shared" si="19"/>
        <v>-4.0920134623695995E-3</v>
      </c>
    </row>
    <row r="372" spans="1:15" x14ac:dyDescent="0.35">
      <c r="A372" s="2">
        <v>45474</v>
      </c>
      <c r="B372">
        <v>215.28776550292969</v>
      </c>
      <c r="C372">
        <v>838.9693603515625</v>
      </c>
      <c r="D372">
        <v>139.89762878417969</v>
      </c>
      <c r="E372">
        <v>197.9706726074219</v>
      </c>
      <c r="F372">
        <v>66.900962829589844</v>
      </c>
      <c r="G372">
        <v>156.66273498535159</v>
      </c>
      <c r="H372">
        <v>5475.08984375</v>
      </c>
      <c r="I372">
        <f t="shared" si="20"/>
        <v>2.8689017324476991E-2</v>
      </c>
      <c r="J372">
        <f t="shared" si="20"/>
        <v>-5.0953673620050882E-3</v>
      </c>
      <c r="K372">
        <f t="shared" si="20"/>
        <v>1.9139560006062005E-3</v>
      </c>
      <c r="L372">
        <f t="shared" si="19"/>
        <v>1.5648689199619859E-2</v>
      </c>
      <c r="M372">
        <f t="shared" si="19"/>
        <v>-1.2934692279688772E-2</v>
      </c>
      <c r="N372">
        <f t="shared" si="19"/>
        <v>-1.3429468123182946E-2</v>
      </c>
      <c r="O372">
        <f t="shared" si="19"/>
        <v>2.6719909814295235E-3</v>
      </c>
    </row>
    <row r="373" spans="1:15" x14ac:dyDescent="0.35">
      <c r="A373" s="2">
        <v>45475</v>
      </c>
      <c r="B373">
        <v>218.7840270996094</v>
      </c>
      <c r="C373">
        <v>852.55084228515625</v>
      </c>
      <c r="D373">
        <v>139.5059509277344</v>
      </c>
      <c r="E373">
        <v>201.2276306152344</v>
      </c>
      <c r="F373">
        <v>67.446517944335938</v>
      </c>
      <c r="G373">
        <v>157.79878234863281</v>
      </c>
      <c r="H373">
        <v>5509.009765625</v>
      </c>
      <c r="I373">
        <f t="shared" si="20"/>
        <v>1.6109488186711662E-2</v>
      </c>
      <c r="J373">
        <f t="shared" si="20"/>
        <v>1.6058659870387831E-2</v>
      </c>
      <c r="K373">
        <f t="shared" si="20"/>
        <v>-2.8036728335197234E-3</v>
      </c>
      <c r="L373">
        <f t="shared" si="19"/>
        <v>1.6317856318743208E-2</v>
      </c>
      <c r="M373">
        <f t="shared" si="19"/>
        <v>8.1215979689492138E-3</v>
      </c>
      <c r="N373">
        <f t="shared" si="19"/>
        <v>7.2253820772494991E-3</v>
      </c>
      <c r="O373">
        <f t="shared" si="19"/>
        <v>6.1762057711850496E-3</v>
      </c>
    </row>
    <row r="374" spans="1:15" x14ac:dyDescent="0.35">
      <c r="A374" s="2">
        <v>45476</v>
      </c>
      <c r="B374">
        <v>220.05540466308591</v>
      </c>
      <c r="C374">
        <v>855.82470703125</v>
      </c>
      <c r="D374">
        <v>139.18115234375</v>
      </c>
      <c r="E374">
        <v>201.0927429199219</v>
      </c>
      <c r="F374">
        <v>68.7481689453125</v>
      </c>
      <c r="G374">
        <v>157.73139953613281</v>
      </c>
      <c r="H374">
        <v>5537.02001953125</v>
      </c>
      <c r="I374">
        <f t="shared" si="20"/>
        <v>5.7942884277594432E-3</v>
      </c>
      <c r="J374">
        <f t="shared" si="20"/>
        <v>3.8327272420912465E-3</v>
      </c>
      <c r="K374">
        <f t="shared" si="20"/>
        <v>-2.3309204281741938E-3</v>
      </c>
      <c r="L374">
        <f t="shared" si="19"/>
        <v>-6.7054869322898906E-4</v>
      </c>
      <c r="M374">
        <f t="shared" si="19"/>
        <v>1.911514559811053E-2</v>
      </c>
      <c r="N374">
        <f t="shared" si="19"/>
        <v>-4.2710851381531998E-4</v>
      </c>
      <c r="O374">
        <f t="shared" si="19"/>
        <v>5.0715622695336636E-3</v>
      </c>
    </row>
    <row r="375" spans="1:15" x14ac:dyDescent="0.35">
      <c r="A375" s="2">
        <v>45478</v>
      </c>
      <c r="B375">
        <v>224.81309509277341</v>
      </c>
      <c r="C375">
        <v>878.65234375</v>
      </c>
      <c r="D375">
        <v>139.93583679199219</v>
      </c>
      <c r="E375">
        <v>198.42814636230469</v>
      </c>
      <c r="F375">
        <v>68.99700927734375</v>
      </c>
      <c r="G375">
        <v>159.0600280761719</v>
      </c>
      <c r="H375">
        <v>5567.18994140625</v>
      </c>
      <c r="I375">
        <f t="shared" si="20"/>
        <v>2.1390014491183752E-2</v>
      </c>
      <c r="J375">
        <f t="shared" si="20"/>
        <v>2.6323732416074851E-2</v>
      </c>
      <c r="K375">
        <f t="shared" si="20"/>
        <v>5.4076700216250176E-3</v>
      </c>
      <c r="L375">
        <f t="shared" si="19"/>
        <v>-1.3339157671015274E-2</v>
      </c>
      <c r="M375">
        <f t="shared" si="19"/>
        <v>3.6130571820023271E-3</v>
      </c>
      <c r="N375">
        <f t="shared" si="19"/>
        <v>8.3880825957208961E-3</v>
      </c>
      <c r="O375">
        <f t="shared" si="19"/>
        <v>5.4339743609695401E-3</v>
      </c>
    </row>
    <row r="376" spans="1:15" x14ac:dyDescent="0.35">
      <c r="A376" s="2">
        <v>45481</v>
      </c>
      <c r="B376">
        <v>226.28309631347659</v>
      </c>
      <c r="C376">
        <v>873.8607177734375</v>
      </c>
      <c r="D376">
        <v>138.98051452636719</v>
      </c>
      <c r="E376">
        <v>198.79634094238281</v>
      </c>
      <c r="F376">
        <v>69.016159057617188</v>
      </c>
      <c r="G376">
        <v>160.3212585449219</v>
      </c>
      <c r="H376">
        <v>5572.85009765625</v>
      </c>
      <c r="I376">
        <f t="shared" si="20"/>
        <v>6.5174854153798364E-3</v>
      </c>
      <c r="J376">
        <f t="shared" si="20"/>
        <v>-5.4683049408692282E-3</v>
      </c>
      <c r="K376">
        <f t="shared" si="20"/>
        <v>-6.8502688846234852E-3</v>
      </c>
      <c r="L376">
        <f t="shared" si="19"/>
        <v>1.8538367965410657E-3</v>
      </c>
      <c r="M376">
        <f t="shared" si="19"/>
        <v>2.7750656879147736E-4</v>
      </c>
      <c r="N376">
        <f t="shared" si="19"/>
        <v>7.8980020289760675E-3</v>
      </c>
      <c r="O376">
        <f t="shared" si="19"/>
        <v>1.0161824764044329E-3</v>
      </c>
    </row>
    <row r="377" spans="1:15" x14ac:dyDescent="0.35">
      <c r="A377" s="2">
        <v>45482</v>
      </c>
      <c r="B377">
        <v>227.13728332519531</v>
      </c>
      <c r="C377">
        <v>879.822998046875</v>
      </c>
      <c r="D377">
        <v>140.4803466796875</v>
      </c>
      <c r="E377">
        <v>201.1799621582031</v>
      </c>
      <c r="F377">
        <v>69.025726318359375</v>
      </c>
      <c r="G377">
        <v>159.49327087402341</v>
      </c>
      <c r="H377">
        <v>5576.97998046875</v>
      </c>
      <c r="I377">
        <f t="shared" si="20"/>
        <v>3.767753107611935E-3</v>
      </c>
      <c r="J377">
        <f t="shared" si="20"/>
        <v>6.7997475172746936E-3</v>
      </c>
      <c r="K377">
        <f t="shared" si="20"/>
        <v>1.0733857665583948E-2</v>
      </c>
      <c r="L377">
        <f t="shared" si="19"/>
        <v>1.1918953276309501E-2</v>
      </c>
      <c r="M377">
        <f t="shared" si="19"/>
        <v>1.3861388130784248E-4</v>
      </c>
      <c r="N377">
        <f t="shared" si="19"/>
        <v>-5.1779356137110757E-3</v>
      </c>
      <c r="O377">
        <f t="shared" si="19"/>
        <v>7.4079747806547519E-4</v>
      </c>
    </row>
    <row r="378" spans="1:15" x14ac:dyDescent="0.35">
      <c r="A378" s="2">
        <v>45483</v>
      </c>
      <c r="B378">
        <v>231.40827941894531</v>
      </c>
      <c r="C378">
        <v>877.30316162109375</v>
      </c>
      <c r="D378">
        <v>142.7540283203125</v>
      </c>
      <c r="E378">
        <v>201.34466552734381</v>
      </c>
      <c r="F378">
        <v>69.772254943847656</v>
      </c>
      <c r="G378">
        <v>160.59083557128909</v>
      </c>
      <c r="H378">
        <v>5633.91015625</v>
      </c>
      <c r="I378">
        <f t="shared" si="20"/>
        <v>1.8628986765803959E-2</v>
      </c>
      <c r="J378">
        <f t="shared" si="20"/>
        <v>-2.8681357218511326E-3</v>
      </c>
      <c r="K378">
        <f t="shared" si="20"/>
        <v>1.6055469838563853E-2</v>
      </c>
      <c r="L378">
        <f t="shared" si="19"/>
        <v>8.1835180758764968E-4</v>
      </c>
      <c r="M378">
        <f t="shared" si="19"/>
        <v>1.0757156804261068E-2</v>
      </c>
      <c r="N378">
        <f t="shared" si="19"/>
        <v>6.8580037365361451E-3</v>
      </c>
      <c r="O378">
        <f t="shared" si="19"/>
        <v>1.0156314878105886E-2</v>
      </c>
    </row>
    <row r="379" spans="1:15" x14ac:dyDescent="0.35">
      <c r="A379" s="2">
        <v>45484</v>
      </c>
      <c r="B379">
        <v>226.0347900390625</v>
      </c>
      <c r="C379">
        <v>839.88214111328125</v>
      </c>
      <c r="D379">
        <v>143.01197814941409</v>
      </c>
      <c r="E379">
        <v>201.0055236816406</v>
      </c>
      <c r="F379">
        <v>71.495025634765625</v>
      </c>
      <c r="G379">
        <v>159.37773132324219</v>
      </c>
      <c r="H379">
        <v>5584.5400390625</v>
      </c>
      <c r="I379">
        <f t="shared" si="20"/>
        <v>-2.349466815283793E-2</v>
      </c>
      <c r="J379">
        <f t="shared" si="20"/>
        <v>-4.3591039141458267E-2</v>
      </c>
      <c r="K379">
        <f t="shared" si="20"/>
        <v>1.8053224898732518E-3</v>
      </c>
      <c r="L379">
        <f t="shared" si="19"/>
        <v>-1.6858047298960116E-3</v>
      </c>
      <c r="M379">
        <f t="shared" si="19"/>
        <v>2.439143863237327E-2</v>
      </c>
      <c r="N379">
        <f t="shared" si="19"/>
        <v>-7.5826827135611636E-3</v>
      </c>
      <c r="O379">
        <f t="shared" si="19"/>
        <v>-8.8016499692667241E-3</v>
      </c>
    </row>
    <row r="380" spans="1:15" x14ac:dyDescent="0.35">
      <c r="A380" s="2">
        <v>45485</v>
      </c>
      <c r="B380">
        <v>228.9847412109375</v>
      </c>
      <c r="C380">
        <v>836.2213134765625</v>
      </c>
      <c r="D380">
        <v>143.18394470214841</v>
      </c>
      <c r="E380">
        <v>198.57350158691409</v>
      </c>
      <c r="F380">
        <v>72.739265441894531</v>
      </c>
      <c r="G380">
        <v>160.40791320800781</v>
      </c>
      <c r="H380">
        <v>5615.35009765625</v>
      </c>
      <c r="I380">
        <f t="shared" si="20"/>
        <v>1.2966443416609821E-2</v>
      </c>
      <c r="J380">
        <f t="shared" si="20"/>
        <v>-4.368266705665578E-3</v>
      </c>
      <c r="K380">
        <f t="shared" si="20"/>
        <v>1.2017402045198431E-3</v>
      </c>
      <c r="L380">
        <f t="shared" si="19"/>
        <v>-1.2173072023405569E-2</v>
      </c>
      <c r="M380">
        <f t="shared" si="19"/>
        <v>1.7253465363114309E-2</v>
      </c>
      <c r="N380">
        <f t="shared" si="19"/>
        <v>6.4429749497320063E-3</v>
      </c>
      <c r="O380">
        <f t="shared" si="19"/>
        <v>5.5018640249651198E-3</v>
      </c>
    </row>
    <row r="381" spans="1:15" x14ac:dyDescent="0.35">
      <c r="A381" s="2">
        <v>45488</v>
      </c>
      <c r="B381">
        <v>232.81871032714841</v>
      </c>
      <c r="C381">
        <v>842.0050048828125</v>
      </c>
      <c r="D381">
        <v>142.5725402832031</v>
      </c>
      <c r="E381">
        <v>203.52473449707031</v>
      </c>
      <c r="F381">
        <v>67.925064086914063</v>
      </c>
      <c r="G381">
        <v>158.45347595214841</v>
      </c>
      <c r="H381">
        <v>5631.22021484375</v>
      </c>
      <c r="I381">
        <f t="shared" si="20"/>
        <v>1.6604714381242461E-2</v>
      </c>
      <c r="J381">
        <f t="shared" si="20"/>
        <v>6.8926511769031714E-3</v>
      </c>
      <c r="K381">
        <f t="shared" si="20"/>
        <v>-4.2792054357687756E-3</v>
      </c>
      <c r="L381">
        <f t="shared" si="19"/>
        <v>2.4628226275488826E-2</v>
      </c>
      <c r="M381">
        <f t="shared" si="19"/>
        <v>-6.8476242293920048E-2</v>
      </c>
      <c r="N381">
        <f t="shared" si="19"/>
        <v>-1.2259005315997613E-2</v>
      </c>
      <c r="O381">
        <f t="shared" si="19"/>
        <v>2.8222164233526843E-3</v>
      </c>
    </row>
    <row r="382" spans="1:15" x14ac:dyDescent="0.35">
      <c r="A382" s="2">
        <v>45489</v>
      </c>
      <c r="B382">
        <v>233.23588562011719</v>
      </c>
      <c r="C382">
        <v>844.0289306640625</v>
      </c>
      <c r="D382">
        <v>144.2634582519531</v>
      </c>
      <c r="E382">
        <v>206.9838562011719</v>
      </c>
      <c r="F382">
        <v>68.815162658691406</v>
      </c>
      <c r="G382">
        <v>160.73524475097659</v>
      </c>
      <c r="H382">
        <v>5667.2001953125</v>
      </c>
      <c r="I382">
        <f t="shared" si="20"/>
        <v>1.7902426368753997E-3</v>
      </c>
      <c r="J382">
        <f t="shared" si="20"/>
        <v>2.4008137804612541E-3</v>
      </c>
      <c r="K382">
        <f t="shared" si="20"/>
        <v>1.1790274340011824E-2</v>
      </c>
      <c r="L382">
        <f t="shared" si="19"/>
        <v>1.685325792097098E-2</v>
      </c>
      <c r="M382">
        <f t="shared" si="19"/>
        <v>1.3019009331319803E-2</v>
      </c>
      <c r="N382">
        <f t="shared" si="19"/>
        <v>1.4297545750147437E-2</v>
      </c>
      <c r="O382">
        <f t="shared" si="19"/>
        <v>6.3690499714532745E-3</v>
      </c>
    </row>
    <row r="383" spans="1:15" x14ac:dyDescent="0.35">
      <c r="A383" s="2">
        <v>45490</v>
      </c>
      <c r="B383">
        <v>227.33595275878909</v>
      </c>
      <c r="C383">
        <v>839.5745849609375</v>
      </c>
      <c r="D383">
        <v>149.58460998535159</v>
      </c>
      <c r="E383">
        <v>210.13288879394531</v>
      </c>
      <c r="F383">
        <v>67.858070373535156</v>
      </c>
      <c r="G383">
        <v>163.132568359375</v>
      </c>
      <c r="H383">
        <v>5588.27001953125</v>
      </c>
      <c r="I383">
        <f t="shared" si="20"/>
        <v>-2.5621434577345316E-2</v>
      </c>
      <c r="J383">
        <f t="shared" si="20"/>
        <v>-5.2914549715140811E-3</v>
      </c>
      <c r="K383">
        <f t="shared" si="20"/>
        <v>3.6220986675633483E-2</v>
      </c>
      <c r="L383">
        <f t="shared" si="19"/>
        <v>1.5099333504553855E-2</v>
      </c>
      <c r="M383">
        <f t="shared" si="19"/>
        <v>-1.4005784589988392E-2</v>
      </c>
      <c r="N383">
        <f t="shared" si="19"/>
        <v>1.4804604209306189E-2</v>
      </c>
      <c r="O383">
        <f t="shared" si="19"/>
        <v>-1.4025441523645543E-2</v>
      </c>
    </row>
    <row r="384" spans="1:15" x14ac:dyDescent="0.35">
      <c r="A384" s="2">
        <v>45491</v>
      </c>
      <c r="B384">
        <v>222.66766357421881</v>
      </c>
      <c r="C384">
        <v>832.71929931640625</v>
      </c>
      <c r="D384">
        <v>148.47642517089841</v>
      </c>
      <c r="E384">
        <v>203.45692443847659</v>
      </c>
      <c r="F384">
        <v>68.595039367675781</v>
      </c>
      <c r="G384">
        <v>162.1697998046875</v>
      </c>
      <c r="H384">
        <v>5544.58984375</v>
      </c>
      <c r="I384">
        <f t="shared" si="20"/>
        <v>-2.0748529520096631E-2</v>
      </c>
      <c r="J384">
        <f t="shared" si="20"/>
        <v>-8.1987073077063807E-3</v>
      </c>
      <c r="K384">
        <f t="shared" si="20"/>
        <v>-7.4359932367412561E-3</v>
      </c>
      <c r="L384">
        <f t="shared" si="19"/>
        <v>-3.2285825406626403E-2</v>
      </c>
      <c r="M384">
        <f t="shared" si="19"/>
        <v>1.0801896144082881E-2</v>
      </c>
      <c r="N384">
        <f t="shared" si="19"/>
        <v>-5.9192398210632484E-3</v>
      </c>
      <c r="O384">
        <f t="shared" si="19"/>
        <v>-7.8471121453500721E-3</v>
      </c>
    </row>
    <row r="385" spans="1:15" x14ac:dyDescent="0.35">
      <c r="A385" s="2">
        <v>45492</v>
      </c>
      <c r="B385">
        <v>222.79676818847659</v>
      </c>
      <c r="C385">
        <v>831.48907470703125</v>
      </c>
      <c r="D385">
        <v>147.77906799316409</v>
      </c>
      <c r="E385">
        <v>203.26313781738281</v>
      </c>
      <c r="F385">
        <v>68.910873413085938</v>
      </c>
      <c r="G385">
        <v>162.68022155761719</v>
      </c>
      <c r="H385">
        <v>5505</v>
      </c>
      <c r="I385">
        <f t="shared" si="20"/>
        <v>5.7964052196796394E-4</v>
      </c>
      <c r="J385">
        <f t="shared" si="20"/>
        <v>-1.4784504785152711E-3</v>
      </c>
      <c r="K385">
        <f t="shared" si="20"/>
        <v>-4.7078179599539744E-3</v>
      </c>
      <c r="L385">
        <f t="shared" si="19"/>
        <v>-9.5292390880920871E-4</v>
      </c>
      <c r="M385">
        <f t="shared" si="19"/>
        <v>4.5937602890483986E-3</v>
      </c>
      <c r="N385">
        <f t="shared" si="19"/>
        <v>3.1425097085681962E-3</v>
      </c>
      <c r="O385">
        <f t="shared" si="19"/>
        <v>-7.1658792264060849E-3</v>
      </c>
    </row>
    <row r="386" spans="1:15" x14ac:dyDescent="0.35">
      <c r="A386" s="2">
        <v>45495</v>
      </c>
      <c r="B386">
        <v>222.4491271972656</v>
      </c>
      <c r="C386">
        <v>840.70538330078125</v>
      </c>
      <c r="D386">
        <v>147.34913635253909</v>
      </c>
      <c r="E386">
        <v>203.74761962890619</v>
      </c>
      <c r="F386">
        <v>69.772254943847656</v>
      </c>
      <c r="G386">
        <v>162.96110534667969</v>
      </c>
      <c r="H386">
        <v>5564.41015625</v>
      </c>
      <c r="I386">
        <f t="shared" si="20"/>
        <v>-1.5615688564777634E-3</v>
      </c>
      <c r="J386">
        <f t="shared" si="20"/>
        <v>1.1023122187295105E-2</v>
      </c>
      <c r="K386">
        <f t="shared" si="20"/>
        <v>-2.91352665331285E-3</v>
      </c>
      <c r="L386">
        <f t="shared" si="19"/>
        <v>2.3806842029740118E-3</v>
      </c>
      <c r="M386">
        <f t="shared" si="19"/>
        <v>1.2422457123970143E-2</v>
      </c>
      <c r="N386">
        <f t="shared" si="19"/>
        <v>1.7251118670480916E-3</v>
      </c>
      <c r="O386">
        <f t="shared" si="19"/>
        <v>1.0734217246220293E-2</v>
      </c>
    </row>
    <row r="387" spans="1:15" x14ac:dyDescent="0.35">
      <c r="A387" s="2">
        <v>45496</v>
      </c>
      <c r="B387">
        <v>223.49205017089841</v>
      </c>
      <c r="C387">
        <v>845.3582763671875</v>
      </c>
      <c r="D387">
        <v>145.5436096191406</v>
      </c>
      <c r="E387">
        <v>203.79606628417969</v>
      </c>
      <c r="F387">
        <v>69.016159057617188</v>
      </c>
      <c r="G387">
        <v>161.38232421875</v>
      </c>
      <c r="H387">
        <v>5555.740234375</v>
      </c>
      <c r="I387">
        <f t="shared" si="20"/>
        <v>4.6774100621249795E-3</v>
      </c>
      <c r="J387">
        <f t="shared" si="20"/>
        <v>5.5192517211830605E-3</v>
      </c>
      <c r="K387">
        <f t="shared" si="20"/>
        <v>-1.2329083796902415E-2</v>
      </c>
      <c r="L387">
        <f t="shared" si="19"/>
        <v>2.3774950846386291E-4</v>
      </c>
      <c r="M387">
        <f t="shared" si="19"/>
        <v>-1.0895770685568825E-2</v>
      </c>
      <c r="N387">
        <f t="shared" si="19"/>
        <v>-9.7353203627373232E-3</v>
      </c>
      <c r="O387">
        <f t="shared" si="19"/>
        <v>-1.5593176939461904E-3</v>
      </c>
    </row>
    <row r="388" spans="1:15" x14ac:dyDescent="0.35">
      <c r="A388" s="2">
        <v>45497</v>
      </c>
      <c r="B388">
        <v>217.06568908691409</v>
      </c>
      <c r="C388">
        <v>824.2369384765625</v>
      </c>
      <c r="D388">
        <v>149.29801940917969</v>
      </c>
      <c r="E388">
        <v>202.110107421875</v>
      </c>
      <c r="F388">
        <v>72.174568176269531</v>
      </c>
      <c r="G388">
        <v>162.7189636230469</v>
      </c>
      <c r="H388">
        <v>5427.1298828125</v>
      </c>
      <c r="I388">
        <f t="shared" si="20"/>
        <v>-2.9175821298000663E-2</v>
      </c>
      <c r="J388">
        <f t="shared" si="20"/>
        <v>-2.5302497926508186E-2</v>
      </c>
      <c r="K388">
        <f t="shared" si="20"/>
        <v>2.5468674439007299E-2</v>
      </c>
      <c r="L388">
        <f t="shared" si="19"/>
        <v>-8.3071836157116233E-3</v>
      </c>
      <c r="M388">
        <f t="shared" si="19"/>
        <v>4.474707610125761E-2</v>
      </c>
      <c r="N388">
        <f t="shared" si="19"/>
        <v>8.2483287330911044E-3</v>
      </c>
      <c r="O388">
        <f t="shared" si="19"/>
        <v>-2.3421242222892859E-2</v>
      </c>
    </row>
    <row r="389" spans="1:15" x14ac:dyDescent="0.35">
      <c r="A389" s="2">
        <v>45498</v>
      </c>
      <c r="B389">
        <v>216.0227966308594</v>
      </c>
      <c r="C389">
        <v>809.48480224609375</v>
      </c>
      <c r="D389">
        <v>152.5079040527344</v>
      </c>
      <c r="E389">
        <v>202.18763732910159</v>
      </c>
      <c r="F389">
        <v>70.289093017578125</v>
      </c>
      <c r="G389">
        <v>161.6535339355469</v>
      </c>
      <c r="H389">
        <v>5399.22021484375</v>
      </c>
      <c r="I389">
        <f t="shared" si="20"/>
        <v>-4.8160803449554621E-3</v>
      </c>
      <c r="J389">
        <f t="shared" si="20"/>
        <v>-1.8060036577435837E-2</v>
      </c>
      <c r="K389">
        <f t="shared" si="20"/>
        <v>2.1271985947273198E-2</v>
      </c>
      <c r="L389">
        <f t="shared" si="19"/>
        <v>3.8352876900018298E-4</v>
      </c>
      <c r="M389">
        <f t="shared" si="19"/>
        <v>-2.6471104851416759E-2</v>
      </c>
      <c r="N389">
        <f t="shared" si="19"/>
        <v>-6.5691976170035339E-3</v>
      </c>
      <c r="O389">
        <f t="shared" si="19"/>
        <v>-5.1558890197172594E-3</v>
      </c>
    </row>
    <row r="390" spans="1:15" x14ac:dyDescent="0.35">
      <c r="A390" s="2">
        <v>45499</v>
      </c>
      <c r="B390">
        <v>216.4896240234375</v>
      </c>
      <c r="C390">
        <v>812.2764892578125</v>
      </c>
      <c r="D390">
        <v>153.4632263183594</v>
      </c>
      <c r="E390">
        <v>205.64671325683591</v>
      </c>
      <c r="F390">
        <v>71.07391357421875</v>
      </c>
      <c r="G390">
        <v>163.7940673828125</v>
      </c>
      <c r="H390">
        <v>5459.10009765625</v>
      </c>
      <c r="I390">
        <f t="shared" si="20"/>
        <v>2.1586782324184671E-3</v>
      </c>
      <c r="J390">
        <f t="shared" si="20"/>
        <v>3.4427875221617857E-3</v>
      </c>
      <c r="K390">
        <f t="shared" si="20"/>
        <v>6.2445458093518501E-3</v>
      </c>
      <c r="L390">
        <f t="shared" si="19"/>
        <v>1.6963548418992957E-2</v>
      </c>
      <c r="M390">
        <f t="shared" si="19"/>
        <v>1.1103734125547712E-2</v>
      </c>
      <c r="N390">
        <f t="shared" si="19"/>
        <v>1.3154586517515509E-2</v>
      </c>
      <c r="O390">
        <f t="shared" si="19"/>
        <v>1.1029420409570924E-2</v>
      </c>
    </row>
    <row r="391" spans="1:15" x14ac:dyDescent="0.35">
      <c r="A391" s="2">
        <v>45502</v>
      </c>
      <c r="B391">
        <v>216.7677307128906</v>
      </c>
      <c r="C391">
        <v>810.249755859375</v>
      </c>
      <c r="D391">
        <v>151.4761657714844</v>
      </c>
      <c r="E391">
        <v>204.2999267578125</v>
      </c>
      <c r="F391">
        <v>71.150466918945313</v>
      </c>
      <c r="G391">
        <v>164.58827209472659</v>
      </c>
      <c r="H391">
        <v>5463.5400390625</v>
      </c>
      <c r="I391">
        <f t="shared" si="20"/>
        <v>1.2837946066427013E-3</v>
      </c>
      <c r="J391">
        <f t="shared" si="20"/>
        <v>-2.4982455089966483E-3</v>
      </c>
      <c r="K391">
        <f t="shared" si="20"/>
        <v>-1.303267943498432E-2</v>
      </c>
      <c r="L391">
        <f t="shared" si="19"/>
        <v>-6.5705690101669056E-3</v>
      </c>
      <c r="M391">
        <f t="shared" si="19"/>
        <v>1.0765151776952564E-3</v>
      </c>
      <c r="N391">
        <f t="shared" si="19"/>
        <v>4.8370826622535969E-3</v>
      </c>
      <c r="O391">
        <f t="shared" si="19"/>
        <v>8.1297957182845169E-4</v>
      </c>
    </row>
    <row r="392" spans="1:15" x14ac:dyDescent="0.35">
      <c r="A392" s="2">
        <v>45503</v>
      </c>
      <c r="B392">
        <v>217.32395935058591</v>
      </c>
      <c r="C392">
        <v>804.75579833984375</v>
      </c>
      <c r="D392">
        <v>154.12242126464841</v>
      </c>
      <c r="E392">
        <v>208.5050964355469</v>
      </c>
      <c r="F392">
        <v>71.093048095703125</v>
      </c>
      <c r="G392">
        <v>156.61698913574219</v>
      </c>
      <c r="H392">
        <v>5436.43994140625</v>
      </c>
      <c r="I392">
        <f t="shared" si="20"/>
        <v>2.5627255939229938E-3</v>
      </c>
      <c r="J392">
        <f t="shared" si="20"/>
        <v>-6.8036654092096449E-3</v>
      </c>
      <c r="K392">
        <f t="shared" si="20"/>
        <v>1.7318938957801577E-2</v>
      </c>
      <c r="L392">
        <f t="shared" si="19"/>
        <v>2.037434095568735E-2</v>
      </c>
      <c r="M392">
        <f t="shared" si="19"/>
        <v>-8.0733137612630545E-4</v>
      </c>
      <c r="N392">
        <f t="shared" si="19"/>
        <v>-4.9643769631951683E-2</v>
      </c>
      <c r="O392">
        <f t="shared" si="19"/>
        <v>-4.9725143613676215E-3</v>
      </c>
    </row>
    <row r="393" spans="1:15" x14ac:dyDescent="0.35">
      <c r="A393" s="2">
        <v>45504</v>
      </c>
      <c r="B393">
        <v>220.5818176269531</v>
      </c>
      <c r="C393">
        <v>816.6478271484375</v>
      </c>
      <c r="D393">
        <v>150.79789733886719</v>
      </c>
      <c r="E393">
        <v>206.1893310546875</v>
      </c>
      <c r="F393">
        <v>73.112525939941406</v>
      </c>
      <c r="G393">
        <v>155.70654296875</v>
      </c>
      <c r="H393">
        <v>5522.2998046875</v>
      </c>
      <c r="I393">
        <f t="shared" si="20"/>
        <v>1.4879540554657331E-2</v>
      </c>
      <c r="J393">
        <f t="shared" si="20"/>
        <v>1.4669070509521306E-2</v>
      </c>
      <c r="K393">
        <f t="shared" si="20"/>
        <v>-2.1806717790077434E-2</v>
      </c>
      <c r="L393">
        <f t="shared" si="19"/>
        <v>-1.1168654794731123E-2</v>
      </c>
      <c r="M393">
        <f t="shared" si="19"/>
        <v>2.8010149966945268E-2</v>
      </c>
      <c r="N393">
        <f t="shared" si="19"/>
        <v>-5.8301642515156274E-3</v>
      </c>
      <c r="O393">
        <f t="shared" si="19"/>
        <v>1.5669980701917767E-2</v>
      </c>
    </row>
    <row r="394" spans="1:15" x14ac:dyDescent="0.35">
      <c r="A394" s="2">
        <v>45505</v>
      </c>
      <c r="B394">
        <v>216.8869323730469</v>
      </c>
      <c r="C394">
        <v>811.57110595703125</v>
      </c>
      <c r="D394">
        <v>153.577880859375</v>
      </c>
      <c r="E394">
        <v>201.49971008300781</v>
      </c>
      <c r="F394">
        <v>75.026710510253906</v>
      </c>
      <c r="G394">
        <v>160.4815673828125</v>
      </c>
      <c r="H394">
        <v>5446.68017578125</v>
      </c>
      <c r="I394">
        <f t="shared" si="20"/>
        <v>-1.6892512285401461E-2</v>
      </c>
      <c r="J394">
        <f t="shared" si="20"/>
        <v>-6.2359398231880362E-3</v>
      </c>
      <c r="K394">
        <f t="shared" si="20"/>
        <v>1.8267293421670952E-2</v>
      </c>
      <c r="L394">
        <f t="shared" si="19"/>
        <v>-2.300688688965119E-2</v>
      </c>
      <c r="M394">
        <f t="shared" si="19"/>
        <v>2.5844484706212461E-2</v>
      </c>
      <c r="N394">
        <f t="shared" si="19"/>
        <v>3.0205990130286815E-2</v>
      </c>
      <c r="O394">
        <f t="shared" si="19"/>
        <v>-1.3788123791990166E-2</v>
      </c>
    </row>
    <row r="395" spans="1:15" x14ac:dyDescent="0.35">
      <c r="A395" s="2">
        <v>45506</v>
      </c>
      <c r="B395">
        <v>218.3768005371094</v>
      </c>
      <c r="C395">
        <v>816.727294921875</v>
      </c>
      <c r="D395">
        <v>156.80686950683591</v>
      </c>
      <c r="E395">
        <v>192.95365905761719</v>
      </c>
      <c r="F395">
        <v>75.801963806152344</v>
      </c>
      <c r="G395">
        <v>164.73359680175781</v>
      </c>
      <c r="H395">
        <v>5346.56005859375</v>
      </c>
      <c r="I395">
        <f t="shared" si="20"/>
        <v>6.8458448064398604E-3</v>
      </c>
      <c r="J395">
        <f t="shared" si="20"/>
        <v>6.3332448114010193E-3</v>
      </c>
      <c r="K395">
        <f t="shared" si="20"/>
        <v>2.0807112064876222E-2</v>
      </c>
      <c r="L395">
        <f t="shared" si="19"/>
        <v>-4.3337891027230034E-2</v>
      </c>
      <c r="M395">
        <f t="shared" si="19"/>
        <v>1.0280009775423296E-2</v>
      </c>
      <c r="N395">
        <f t="shared" si="19"/>
        <v>2.6150513240298372E-2</v>
      </c>
      <c r="O395">
        <f t="shared" si="19"/>
        <v>-1.8552906608553271E-2</v>
      </c>
    </row>
    <row r="396" spans="1:15" x14ac:dyDescent="0.35">
      <c r="A396" s="2">
        <v>45509</v>
      </c>
      <c r="B396">
        <v>207.8582458496094</v>
      </c>
      <c r="C396">
        <v>796.6092529296875</v>
      </c>
      <c r="D396">
        <v>154.04597473144531</v>
      </c>
      <c r="E396">
        <v>188.84538269042969</v>
      </c>
      <c r="F396">
        <v>73.390083312988281</v>
      </c>
      <c r="G396">
        <v>162.7770690917969</v>
      </c>
      <c r="H396">
        <v>5186.330078125</v>
      </c>
      <c r="I396">
        <f t="shared" si="20"/>
        <v>-4.9365676552411211E-2</v>
      </c>
      <c r="J396">
        <f t="shared" si="20"/>
        <v>-2.494096458676754E-2</v>
      </c>
      <c r="K396">
        <f t="shared" si="20"/>
        <v>-1.7763822509542365E-2</v>
      </c>
      <c r="L396">
        <f t="shared" si="19"/>
        <v>-2.1521452318719703E-2</v>
      </c>
      <c r="M396">
        <f t="shared" si="19"/>
        <v>-3.2335378280283038E-2</v>
      </c>
      <c r="N396">
        <f t="shared" si="19"/>
        <v>-1.1948013845081235E-2</v>
      </c>
      <c r="O396">
        <f t="shared" si="19"/>
        <v>-3.0427041392393099E-2</v>
      </c>
    </row>
    <row r="397" spans="1:15" x14ac:dyDescent="0.35">
      <c r="A397" s="2">
        <v>45510</v>
      </c>
      <c r="B397">
        <v>205.8320007324219</v>
      </c>
      <c r="C397">
        <v>811.5611572265625</v>
      </c>
      <c r="D397">
        <v>151.8678283691406</v>
      </c>
      <c r="E397">
        <v>194.11639404296881</v>
      </c>
      <c r="F397">
        <v>73.667633056640625</v>
      </c>
      <c r="G397">
        <v>162.80613708496091</v>
      </c>
      <c r="H397">
        <v>5240.02978515625</v>
      </c>
      <c r="I397">
        <f t="shared" si="20"/>
        <v>-9.7960313905698839E-3</v>
      </c>
      <c r="J397">
        <f t="shared" si="20"/>
        <v>1.8595461094180081E-2</v>
      </c>
      <c r="K397">
        <f t="shared" si="20"/>
        <v>-1.4240502712266012E-2</v>
      </c>
      <c r="L397">
        <f t="shared" si="19"/>
        <v>2.7529349201614671E-2</v>
      </c>
      <c r="M397">
        <f t="shared" si="19"/>
        <v>3.7747094142096221E-3</v>
      </c>
      <c r="N397">
        <f t="shared" si="19"/>
        <v>1.7855953679286313E-4</v>
      </c>
      <c r="O397">
        <f t="shared" si="19"/>
        <v>1.0300849493599515E-2</v>
      </c>
    </row>
    <row r="398" spans="1:15" x14ac:dyDescent="0.35">
      <c r="A398" s="2">
        <v>45511</v>
      </c>
      <c r="B398">
        <v>208.40452575683591</v>
      </c>
      <c r="C398">
        <v>805.02398681640625</v>
      </c>
      <c r="D398">
        <v>151.80096435546881</v>
      </c>
      <c r="E398">
        <v>194.17454528808591</v>
      </c>
      <c r="F398">
        <v>74.232322692871094</v>
      </c>
      <c r="G398">
        <v>164.67546081542969</v>
      </c>
      <c r="H398">
        <v>5199.5</v>
      </c>
      <c r="I398">
        <f t="shared" si="20"/>
        <v>1.2420720688285224E-2</v>
      </c>
      <c r="J398">
        <f t="shared" si="20"/>
        <v>-8.0876730402738E-3</v>
      </c>
      <c r="K398">
        <f t="shared" si="20"/>
        <v>-4.4037462099707684E-4</v>
      </c>
      <c r="L398">
        <f t="shared" si="19"/>
        <v>2.9952409217700308E-4</v>
      </c>
      <c r="M398">
        <f t="shared" si="19"/>
        <v>7.6361399476689504E-3</v>
      </c>
      <c r="N398">
        <f t="shared" si="19"/>
        <v>1.1416482915502464E-2</v>
      </c>
      <c r="O398">
        <f t="shared" si="19"/>
        <v>-7.764715388769489E-3</v>
      </c>
    </row>
    <row r="399" spans="1:15" x14ac:dyDescent="0.35">
      <c r="A399" s="2">
        <v>45512</v>
      </c>
      <c r="B399">
        <v>211.8710021972656</v>
      </c>
      <c r="C399">
        <v>833.96441650390625</v>
      </c>
      <c r="D399">
        <v>153.06201171875</v>
      </c>
      <c r="E399">
        <v>197.72084045410159</v>
      </c>
      <c r="F399">
        <v>74.213180541992188</v>
      </c>
      <c r="G399">
        <v>165.4987487792969</v>
      </c>
      <c r="H399">
        <v>5319.31005859375</v>
      </c>
      <c r="I399">
        <f t="shared" si="20"/>
        <v>1.6496582944345049E-2</v>
      </c>
      <c r="J399">
        <f t="shared" si="20"/>
        <v>3.5318661123967678E-2</v>
      </c>
      <c r="K399">
        <f t="shared" si="20"/>
        <v>8.2729268855401689E-3</v>
      </c>
      <c r="L399">
        <f t="shared" si="19"/>
        <v>1.809866661900196E-2</v>
      </c>
      <c r="M399">
        <f t="shared" si="19"/>
        <v>-2.5790139233412195E-4</v>
      </c>
      <c r="N399">
        <f t="shared" si="19"/>
        <v>4.9870016871040555E-3</v>
      </c>
      <c r="O399">
        <f t="shared" si="19"/>
        <v>2.2781139590898881E-2</v>
      </c>
    </row>
    <row r="400" spans="1:15" x14ac:dyDescent="0.35">
      <c r="A400" s="2">
        <v>45513</v>
      </c>
      <c r="B400">
        <v>214.78123474121091</v>
      </c>
      <c r="C400">
        <v>849.3634033203125</v>
      </c>
      <c r="D400">
        <v>153.44410705566409</v>
      </c>
      <c r="E400">
        <v>199.40678405761719</v>
      </c>
      <c r="F400">
        <v>74.136611938476563</v>
      </c>
      <c r="G400">
        <v>165.1791076660156</v>
      </c>
      <c r="H400">
        <v>5344.16015625</v>
      </c>
      <c r="I400">
        <f t="shared" si="20"/>
        <v>1.3642388007254754E-2</v>
      </c>
      <c r="J400">
        <f t="shared" si="20"/>
        <v>1.8296396234455586E-2</v>
      </c>
      <c r="K400">
        <f t="shared" si="20"/>
        <v>2.493232672639296E-3</v>
      </c>
      <c r="L400">
        <f t="shared" si="19"/>
        <v>8.4907401456015604E-3</v>
      </c>
      <c r="M400">
        <f t="shared" si="19"/>
        <v>-1.0322712156796122E-3</v>
      </c>
      <c r="N400">
        <f t="shared" si="19"/>
        <v>-1.9332483660737874E-3</v>
      </c>
      <c r="O400">
        <f t="shared" si="19"/>
        <v>4.6607984343816989E-3</v>
      </c>
    </row>
    <row r="401" spans="1:15" x14ac:dyDescent="0.35">
      <c r="A401" s="2">
        <v>45516</v>
      </c>
      <c r="B401">
        <v>216.3125915527344</v>
      </c>
      <c r="C401">
        <v>857.9471435546875</v>
      </c>
      <c r="D401">
        <v>152.73716735839841</v>
      </c>
      <c r="E401">
        <v>199.78466796875</v>
      </c>
      <c r="F401">
        <v>74.25146484375</v>
      </c>
      <c r="G401">
        <v>161.56636047363281</v>
      </c>
      <c r="H401">
        <v>5344.39013671875</v>
      </c>
      <c r="I401">
        <f t="shared" si="20"/>
        <v>7.1045473599131688E-3</v>
      </c>
      <c r="J401">
        <f t="shared" si="20"/>
        <v>1.0055361721209138E-2</v>
      </c>
      <c r="K401">
        <f t="shared" si="20"/>
        <v>-4.6177935267331244E-3</v>
      </c>
      <c r="L401">
        <f t="shared" si="19"/>
        <v>1.893247072741774E-3</v>
      </c>
      <c r="M401">
        <f t="shared" si="19"/>
        <v>1.5480075043688101E-3</v>
      </c>
      <c r="N401">
        <f t="shared" si="19"/>
        <v>-2.2114427144886633E-2</v>
      </c>
      <c r="O401">
        <f t="shared" si="19"/>
        <v>4.3033051720097097E-5</v>
      </c>
    </row>
    <row r="402" spans="1:15" x14ac:dyDescent="0.35">
      <c r="A402" s="2">
        <v>45517</v>
      </c>
      <c r="B402">
        <v>220.03167724609381</v>
      </c>
      <c r="C402">
        <v>859.18896484375</v>
      </c>
      <c r="D402">
        <v>151.31373596191409</v>
      </c>
      <c r="E402">
        <v>201.48030090332031</v>
      </c>
      <c r="F402">
        <v>74.768295288085938</v>
      </c>
      <c r="G402">
        <v>162.0312805175781</v>
      </c>
      <c r="H402">
        <v>5434.43017578125</v>
      </c>
      <c r="I402">
        <f t="shared" si="20"/>
        <v>1.7046978831008777E-2</v>
      </c>
      <c r="J402">
        <f t="shared" si="20"/>
        <v>1.4463868058953834E-3</v>
      </c>
      <c r="K402">
        <f t="shared" si="20"/>
        <v>-9.3631808370054671E-3</v>
      </c>
      <c r="L402">
        <f t="shared" si="19"/>
        <v>8.4514879644113101E-3</v>
      </c>
      <c r="M402">
        <f t="shared" si="19"/>
        <v>6.9364293179767517E-3</v>
      </c>
      <c r="N402">
        <f t="shared" si="19"/>
        <v>2.8734471760250642E-3</v>
      </c>
      <c r="O402">
        <f t="shared" si="19"/>
        <v>1.6707233419049988E-2</v>
      </c>
    </row>
    <row r="403" spans="1:15" x14ac:dyDescent="0.35">
      <c r="A403" s="2">
        <v>45518</v>
      </c>
      <c r="B403">
        <v>220.4791564941406</v>
      </c>
      <c r="C403">
        <v>857.09283447265625</v>
      </c>
      <c r="D403">
        <v>151.39970397949219</v>
      </c>
      <c r="E403">
        <v>203.70884704589841</v>
      </c>
      <c r="F403">
        <v>74.663032531738281</v>
      </c>
      <c r="G403">
        <v>163.49383544921881</v>
      </c>
      <c r="H403">
        <v>5455.2099609375</v>
      </c>
      <c r="I403">
        <f t="shared" si="20"/>
        <v>2.0316385781645133E-3</v>
      </c>
      <c r="J403">
        <f t="shared" si="20"/>
        <v>-2.4426424776425848E-3</v>
      </c>
      <c r="K403">
        <f t="shared" si="20"/>
        <v>5.6798284150097412E-4</v>
      </c>
      <c r="L403">
        <f t="shared" si="19"/>
        <v>1.1000139690594067E-2</v>
      </c>
      <c r="M403">
        <f t="shared" si="19"/>
        <v>-1.4088447890313091E-3</v>
      </c>
      <c r="N403">
        <f t="shared" si="19"/>
        <v>8.985879744340633E-3</v>
      </c>
      <c r="O403">
        <f t="shared" si="19"/>
        <v>3.8164365611984101E-3</v>
      </c>
    </row>
    <row r="404" spans="1:15" x14ac:dyDescent="0.35">
      <c r="A404" s="2">
        <v>45519</v>
      </c>
      <c r="B404">
        <v>223.46235656738281</v>
      </c>
      <c r="C404">
        <v>871.63739013671875</v>
      </c>
      <c r="D404">
        <v>151.98246765136719</v>
      </c>
      <c r="E404">
        <v>204.97816467285159</v>
      </c>
      <c r="F404">
        <v>74.088768005371094</v>
      </c>
      <c r="G404">
        <v>162.64146423339841</v>
      </c>
      <c r="H404">
        <v>5543.22021484375</v>
      </c>
      <c r="I404">
        <f t="shared" si="20"/>
        <v>1.3439810829061014E-2</v>
      </c>
      <c r="J404">
        <f t="shared" si="20"/>
        <v>1.6827262755643092E-2</v>
      </c>
      <c r="K404">
        <f t="shared" si="20"/>
        <v>3.8417840145822976E-3</v>
      </c>
      <c r="L404">
        <f t="shared" si="19"/>
        <v>6.2117056425541623E-3</v>
      </c>
      <c r="M404">
        <f t="shared" si="19"/>
        <v>-7.7211486145844334E-3</v>
      </c>
      <c r="N404">
        <f t="shared" si="19"/>
        <v>-5.2271137617254599E-3</v>
      </c>
      <c r="O404">
        <f t="shared" si="19"/>
        <v>1.6004489931304131E-2</v>
      </c>
    </row>
    <row r="405" spans="1:15" x14ac:dyDescent="0.35">
      <c r="A405" s="2">
        <v>45520</v>
      </c>
      <c r="B405">
        <v>224.78492736816409</v>
      </c>
      <c r="C405">
        <v>864.9215087890625</v>
      </c>
      <c r="D405">
        <v>152.2690734863281</v>
      </c>
      <c r="E405">
        <v>207.3229675292969</v>
      </c>
      <c r="F405">
        <v>75.198982238769531</v>
      </c>
      <c r="G405">
        <v>162.6124267578125</v>
      </c>
      <c r="H405">
        <v>5554.25</v>
      </c>
      <c r="I405">
        <f t="shared" si="20"/>
        <v>5.9010938210141287E-3</v>
      </c>
      <c r="J405">
        <f t="shared" si="20"/>
        <v>-7.7347388953034734E-3</v>
      </c>
      <c r="K405">
        <f t="shared" si="20"/>
        <v>1.8840063630530092E-3</v>
      </c>
      <c r="L405">
        <f t="shared" si="19"/>
        <v>1.1374347307388497E-2</v>
      </c>
      <c r="M405">
        <f t="shared" si="19"/>
        <v>1.4873754867373745E-2</v>
      </c>
      <c r="N405">
        <f t="shared" si="19"/>
        <v>-1.7855267203458334E-4</v>
      </c>
      <c r="O405">
        <f t="shared" si="19"/>
        <v>1.9878023683961516E-3</v>
      </c>
    </row>
    <row r="406" spans="1:15" x14ac:dyDescent="0.35">
      <c r="A406" s="2">
        <v>45523</v>
      </c>
      <c r="B406">
        <v>224.62580871582031</v>
      </c>
      <c r="C406">
        <v>866.66998291015625</v>
      </c>
      <c r="D406">
        <v>152.49835205078119</v>
      </c>
      <c r="E406">
        <v>208.75700378417969</v>
      </c>
      <c r="F406">
        <v>75.945526123046875</v>
      </c>
      <c r="G406">
        <v>163.1257629394531</v>
      </c>
      <c r="H406">
        <v>5608.25</v>
      </c>
      <c r="I406">
        <f t="shared" si="20"/>
        <v>-7.0812130737808103E-4</v>
      </c>
      <c r="J406">
        <f t="shared" si="20"/>
        <v>2.0195002386194194E-3</v>
      </c>
      <c r="K406">
        <f t="shared" si="20"/>
        <v>1.5046136069405932E-3</v>
      </c>
      <c r="L406">
        <f t="shared" si="19"/>
        <v>6.8931072482471822E-3</v>
      </c>
      <c r="M406">
        <f t="shared" si="19"/>
        <v>9.8786249458194253E-3</v>
      </c>
      <c r="N406">
        <f t="shared" si="19"/>
        <v>3.1518355712439263E-3</v>
      </c>
      <c r="O406">
        <f t="shared" si="19"/>
        <v>9.6753274361777754E-3</v>
      </c>
    </row>
    <row r="407" spans="1:15" x14ac:dyDescent="0.35">
      <c r="A407" s="2">
        <v>45524</v>
      </c>
      <c r="B407">
        <v>225.24235534667969</v>
      </c>
      <c r="C407">
        <v>870.49493408203125</v>
      </c>
      <c r="D407">
        <v>153.00468444824219</v>
      </c>
      <c r="E407">
        <v>207.85591125488281</v>
      </c>
      <c r="F407">
        <v>75.591400146484375</v>
      </c>
      <c r="G407">
        <v>165.0531921386719</v>
      </c>
      <c r="H407">
        <v>5597.1201171875</v>
      </c>
      <c r="I407">
        <f t="shared" si="20"/>
        <v>2.741011994753064E-3</v>
      </c>
      <c r="J407">
        <f t="shared" si="20"/>
        <v>4.4036778727232226E-3</v>
      </c>
      <c r="K407">
        <f t="shared" si="20"/>
        <v>3.3147484678147346E-3</v>
      </c>
      <c r="L407">
        <f t="shared" si="19"/>
        <v>-4.3258089315946491E-3</v>
      </c>
      <c r="M407">
        <f t="shared" si="19"/>
        <v>-4.6737997123108468E-3</v>
      </c>
      <c r="N407">
        <f t="shared" si="19"/>
        <v>1.1746343456933844E-2</v>
      </c>
      <c r="O407">
        <f t="shared" si="19"/>
        <v>-1.9865272376097089E-3</v>
      </c>
    </row>
    <row r="408" spans="1:15" x14ac:dyDescent="0.35">
      <c r="A408" s="2">
        <v>45525</v>
      </c>
      <c r="B408">
        <v>225.13294982910159</v>
      </c>
      <c r="C408">
        <v>875.68084716796875</v>
      </c>
      <c r="D408">
        <v>154.21791076660159</v>
      </c>
      <c r="E408">
        <v>207.93341064453119</v>
      </c>
      <c r="F408">
        <v>76.223091125488281</v>
      </c>
      <c r="G408">
        <v>164.8110656738281</v>
      </c>
      <c r="H408">
        <v>5620.85009765625</v>
      </c>
      <c r="I408">
        <f t="shared" si="20"/>
        <v>-4.8584155690955828E-4</v>
      </c>
      <c r="J408">
        <f t="shared" si="20"/>
        <v>5.9397551936031748E-3</v>
      </c>
      <c r="K408">
        <f t="shared" si="20"/>
        <v>7.8980689829017698E-3</v>
      </c>
      <c r="L408">
        <f t="shared" si="19"/>
        <v>3.7278201465994529E-4</v>
      </c>
      <c r="M408">
        <f t="shared" si="19"/>
        <v>8.3219278914214451E-3</v>
      </c>
      <c r="N408">
        <f t="shared" si="19"/>
        <v>-1.4680372461935245E-3</v>
      </c>
      <c r="O408">
        <f t="shared" si="19"/>
        <v>4.2307147210067959E-3</v>
      </c>
    </row>
    <row r="409" spans="1:15" x14ac:dyDescent="0.35">
      <c r="A409" s="2">
        <v>45526</v>
      </c>
      <c r="B409">
        <v>223.2734375</v>
      </c>
      <c r="C409">
        <v>871.8460693359375</v>
      </c>
      <c r="D409">
        <v>155.0968322753906</v>
      </c>
      <c r="E409">
        <v>209.90034484863281</v>
      </c>
      <c r="F409">
        <v>75.533973693847656</v>
      </c>
      <c r="G409">
        <v>164.8013916015625</v>
      </c>
      <c r="H409">
        <v>5570.64013671875</v>
      </c>
      <c r="I409">
        <f t="shared" si="20"/>
        <v>-8.2939183791634237E-3</v>
      </c>
      <c r="J409">
        <f t="shared" si="20"/>
        <v>-4.3888124997294694E-3</v>
      </c>
      <c r="K409">
        <f t="shared" si="20"/>
        <v>5.6830390021689638E-3</v>
      </c>
      <c r="L409">
        <f t="shared" si="19"/>
        <v>9.4149824307821952E-3</v>
      </c>
      <c r="M409">
        <f t="shared" si="19"/>
        <v>-9.0819121871281369E-3</v>
      </c>
      <c r="N409">
        <f t="shared" si="19"/>
        <v>-5.8699676270414073E-5</v>
      </c>
      <c r="O409">
        <f t="shared" si="19"/>
        <v>-8.9729422566572192E-3</v>
      </c>
    </row>
    <row r="410" spans="1:15" x14ac:dyDescent="0.35">
      <c r="A410" s="2">
        <v>45527</v>
      </c>
      <c r="B410">
        <v>225.57049560546881</v>
      </c>
      <c r="C410">
        <v>873.48529052734375</v>
      </c>
      <c r="D410">
        <v>156.79731750488281</v>
      </c>
      <c r="E410">
        <v>211.52815246582031</v>
      </c>
      <c r="F410">
        <v>76.242225646972656</v>
      </c>
      <c r="G410">
        <v>163.85218811035159</v>
      </c>
      <c r="H410">
        <v>5634.60986328125</v>
      </c>
      <c r="I410">
        <f t="shared" si="20"/>
        <v>1.0235531731609031E-2</v>
      </c>
      <c r="J410">
        <f t="shared" si="20"/>
        <v>1.8784074028467337E-3</v>
      </c>
      <c r="K410">
        <f t="shared" si="20"/>
        <v>1.0904353802918E-2</v>
      </c>
      <c r="L410">
        <f t="shared" si="19"/>
        <v>7.7252284696830908E-3</v>
      </c>
      <c r="M410">
        <f t="shared" si="19"/>
        <v>9.3329138180550664E-3</v>
      </c>
      <c r="N410">
        <f t="shared" si="19"/>
        <v>-5.7763322176675068E-3</v>
      </c>
      <c r="O410">
        <f t="shared" si="19"/>
        <v>1.141793740166443E-2</v>
      </c>
    </row>
    <row r="411" spans="1:15" x14ac:dyDescent="0.35">
      <c r="A411" s="2">
        <v>45530</v>
      </c>
      <c r="B411">
        <v>225.9085998535156</v>
      </c>
      <c r="C411">
        <v>886.69879150390625</v>
      </c>
      <c r="D411">
        <v>157.255859375</v>
      </c>
      <c r="E411">
        <v>212.36143493652341</v>
      </c>
      <c r="F411">
        <v>77.180183410644531</v>
      </c>
      <c r="G411">
        <v>164.99510192871091</v>
      </c>
      <c r="H411">
        <v>5616.83984375</v>
      </c>
      <c r="I411">
        <f t="shared" si="20"/>
        <v>1.4977628627906117E-3</v>
      </c>
      <c r="J411">
        <f t="shared" si="20"/>
        <v>1.5014053732368323E-2</v>
      </c>
      <c r="K411">
        <f t="shared" si="20"/>
        <v>2.9201563920922195E-3</v>
      </c>
      <c r="L411">
        <f t="shared" si="19"/>
        <v>3.931606573227657E-3</v>
      </c>
      <c r="M411">
        <f t="shared" si="19"/>
        <v>1.2227280946698813E-2</v>
      </c>
      <c r="N411">
        <f t="shared" si="19"/>
        <v>6.9510587731337267E-3</v>
      </c>
      <c r="O411">
        <f t="shared" si="19"/>
        <v>-3.1587101696058145E-3</v>
      </c>
    </row>
    <row r="412" spans="1:15" x14ac:dyDescent="0.35">
      <c r="A412" s="2">
        <v>45531</v>
      </c>
      <c r="B412">
        <v>226.75384521484381</v>
      </c>
      <c r="C412">
        <v>902.9820556640625</v>
      </c>
      <c r="D412">
        <v>156.85157775878909</v>
      </c>
      <c r="E412">
        <v>213.3400573730469</v>
      </c>
      <c r="F412">
        <v>76.194374084472656</v>
      </c>
      <c r="G412">
        <v>163.92967224121091</v>
      </c>
      <c r="H412">
        <v>5625.7998046875</v>
      </c>
      <c r="I412">
        <f t="shared" si="20"/>
        <v>3.7345547567113691E-3</v>
      </c>
      <c r="J412">
        <f t="shared" si="20"/>
        <v>1.8197337837448445E-2</v>
      </c>
      <c r="K412">
        <f t="shared" si="20"/>
        <v>-2.5741627969165844E-3</v>
      </c>
      <c r="L412">
        <f t="shared" si="19"/>
        <v>4.5977013382165356E-3</v>
      </c>
      <c r="M412">
        <f t="shared" si="19"/>
        <v>-1.2855103453315718E-2</v>
      </c>
      <c r="N412">
        <f t="shared" si="19"/>
        <v>-6.4782801256545973E-3</v>
      </c>
      <c r="O412">
        <f t="shared" si="19"/>
        <v>1.5939251127232035E-3</v>
      </c>
    </row>
    <row r="413" spans="1:15" x14ac:dyDescent="0.35">
      <c r="A413" s="2">
        <v>45532</v>
      </c>
      <c r="B413">
        <v>225.22245788574219</v>
      </c>
      <c r="C413">
        <v>882.26776123046875</v>
      </c>
      <c r="D413">
        <v>157.7852783203125</v>
      </c>
      <c r="E413">
        <v>214.41558837890619</v>
      </c>
      <c r="F413">
        <v>76.002952575683594</v>
      </c>
      <c r="G413">
        <v>163.7456359863281</v>
      </c>
      <c r="H413">
        <v>5592.18017578125</v>
      </c>
      <c r="I413">
        <f t="shared" si="20"/>
        <v>-6.7764313248428231E-3</v>
      </c>
      <c r="J413">
        <f t="shared" si="20"/>
        <v>-2.3207087212225957E-2</v>
      </c>
      <c r="K413">
        <f t="shared" si="20"/>
        <v>5.9351171633570616E-3</v>
      </c>
      <c r="L413">
        <f t="shared" si="19"/>
        <v>5.0287274197346335E-3</v>
      </c>
      <c r="M413">
        <f t="shared" si="19"/>
        <v>-2.5154398427831449E-3</v>
      </c>
      <c r="N413">
        <f t="shared" si="19"/>
        <v>-1.1232843587099934E-3</v>
      </c>
      <c r="O413">
        <f t="shared" si="19"/>
        <v>-5.9939007947352116E-3</v>
      </c>
    </row>
    <row r="414" spans="1:15" x14ac:dyDescent="0.35">
      <c r="A414" s="2">
        <v>45533</v>
      </c>
      <c r="B414">
        <v>228.50398254394531</v>
      </c>
      <c r="C414">
        <v>880.8570556640625</v>
      </c>
      <c r="D414">
        <v>158.08369445800781</v>
      </c>
      <c r="E414">
        <v>215.3070068359375</v>
      </c>
      <c r="F414">
        <v>76.596336364746094</v>
      </c>
      <c r="G414">
        <v>164.68513488769531</v>
      </c>
      <c r="H414">
        <v>5591.9599609375</v>
      </c>
      <c r="I414">
        <f t="shared" si="20"/>
        <v>1.4465023783508509E-2</v>
      </c>
      <c r="J414">
        <f t="shared" si="20"/>
        <v>-1.6002336918260487E-3</v>
      </c>
      <c r="K414">
        <f t="shared" si="20"/>
        <v>1.8894937597316052E-3</v>
      </c>
      <c r="L414">
        <f t="shared" si="19"/>
        <v>4.1488148195968451E-3</v>
      </c>
      <c r="M414">
        <f t="shared" si="19"/>
        <v>7.7770582545208132E-3</v>
      </c>
      <c r="N414">
        <f t="shared" si="19"/>
        <v>5.7211537242635134E-3</v>
      </c>
      <c r="O414">
        <f t="shared" si="19"/>
        <v>-3.9379843436586222E-5</v>
      </c>
    </row>
    <row r="415" spans="1:15" x14ac:dyDescent="0.35">
      <c r="A415" s="2">
        <v>45534</v>
      </c>
      <c r="B415">
        <v>227.71842956542969</v>
      </c>
      <c r="C415">
        <v>886.569580078125</v>
      </c>
      <c r="D415">
        <v>159.65269470214841</v>
      </c>
      <c r="E415">
        <v>217.81654357910159</v>
      </c>
      <c r="F415">
        <v>77.554824829101563</v>
      </c>
      <c r="G415">
        <v>166.1476745605469</v>
      </c>
      <c r="H415">
        <v>5648.39990234375</v>
      </c>
      <c r="I415">
        <f t="shared" si="20"/>
        <v>-3.4437315397326256E-3</v>
      </c>
      <c r="J415">
        <f t="shared" si="20"/>
        <v>6.4642505558560629E-3</v>
      </c>
      <c r="K415">
        <f t="shared" si="20"/>
        <v>9.8761932904108049E-3</v>
      </c>
      <c r="L415">
        <f t="shared" si="19"/>
        <v>1.1588216913297146E-2</v>
      </c>
      <c r="M415">
        <f t="shared" si="19"/>
        <v>1.2435855941161063E-2</v>
      </c>
      <c r="N415">
        <f t="shared" si="19"/>
        <v>8.84162125894092E-3</v>
      </c>
      <c r="O415">
        <f t="shared" si="19"/>
        <v>1.0042457079144168E-2</v>
      </c>
    </row>
    <row r="416" spans="1:15" x14ac:dyDescent="0.35">
      <c r="A416" s="2">
        <v>45538</v>
      </c>
      <c r="B416">
        <v>221.5232849121094</v>
      </c>
      <c r="C416">
        <v>872.8494873046875</v>
      </c>
      <c r="D416">
        <v>160.9040222167969</v>
      </c>
      <c r="E416">
        <v>213.45634460449219</v>
      </c>
      <c r="F416">
        <v>76.996109008789063</v>
      </c>
      <c r="G416">
        <v>169.0340270996094</v>
      </c>
      <c r="H416">
        <v>5528.93017578125</v>
      </c>
      <c r="I416">
        <f t="shared" si="20"/>
        <v>-2.7582200002212256E-2</v>
      </c>
      <c r="J416">
        <f t="shared" si="20"/>
        <v>-1.5596478570165535E-2</v>
      </c>
      <c r="K416">
        <f t="shared" si="20"/>
        <v>7.8072540965963295E-3</v>
      </c>
      <c r="L416">
        <f t="shared" si="19"/>
        <v>-2.0220828437261557E-2</v>
      </c>
      <c r="M416">
        <f t="shared" si="19"/>
        <v>-7.2302151839382231E-3</v>
      </c>
      <c r="N416">
        <f t="shared" si="19"/>
        <v>1.7223039762541293E-2</v>
      </c>
      <c r="O416">
        <f t="shared" si="19"/>
        <v>-2.1377963372397696E-2</v>
      </c>
    </row>
    <row r="417" spans="1:15" x14ac:dyDescent="0.35">
      <c r="A417" s="2">
        <v>45539</v>
      </c>
      <c r="B417">
        <v>219.6140441894531</v>
      </c>
      <c r="C417">
        <v>884.2249755859375</v>
      </c>
      <c r="D417">
        <v>161.09654235839841</v>
      </c>
      <c r="E417">
        <v>212.5164794921875</v>
      </c>
      <c r="F417">
        <v>78.103912353515625</v>
      </c>
      <c r="G417">
        <v>170.3706359863281</v>
      </c>
      <c r="H417">
        <v>5520.06982421875</v>
      </c>
      <c r="I417">
        <f t="shared" si="20"/>
        <v>-8.6560466224547845E-3</v>
      </c>
      <c r="J417">
        <f t="shared" si="20"/>
        <v>1.2948395138029291E-2</v>
      </c>
      <c r="K417">
        <f t="shared" si="20"/>
        <v>1.1957753229129677E-3</v>
      </c>
      <c r="L417">
        <f t="shared" si="19"/>
        <v>-4.4128009313677205E-3</v>
      </c>
      <c r="M417">
        <f t="shared" si="19"/>
        <v>1.4285261522606981E-2</v>
      </c>
      <c r="N417">
        <f t="shared" si="19"/>
        <v>7.8762370810234721E-3</v>
      </c>
      <c r="O417">
        <f t="shared" si="19"/>
        <v>-1.6038290273809634E-3</v>
      </c>
    </row>
    <row r="418" spans="1:15" x14ac:dyDescent="0.35">
      <c r="A418" s="2">
        <v>45540</v>
      </c>
      <c r="B418">
        <v>221.13548278808591</v>
      </c>
      <c r="C418">
        <v>880.21124267578125</v>
      </c>
      <c r="D418">
        <v>158.81524658203119</v>
      </c>
      <c r="E418">
        <v>210.86930847167969</v>
      </c>
      <c r="F418">
        <v>77.381431579589844</v>
      </c>
      <c r="G418">
        <v>169.95414733886719</v>
      </c>
      <c r="H418">
        <v>5503.41015625</v>
      </c>
      <c r="I418">
        <f t="shared" si="20"/>
        <v>6.9038968785248723E-3</v>
      </c>
      <c r="J418">
        <f t="shared" si="20"/>
        <v>-4.5496003674388615E-3</v>
      </c>
      <c r="K418">
        <f t="shared" si="20"/>
        <v>-1.426227182256923E-2</v>
      </c>
      <c r="L418">
        <f t="shared" si="19"/>
        <v>-7.7809854643984952E-3</v>
      </c>
      <c r="M418">
        <f t="shared" si="19"/>
        <v>-9.2933000040062736E-3</v>
      </c>
      <c r="N418">
        <f t="shared" si="19"/>
        <v>-2.4475963890378343E-3</v>
      </c>
      <c r="O418">
        <f t="shared" si="19"/>
        <v>-3.0225810146741962E-3</v>
      </c>
    </row>
    <row r="419" spans="1:15" x14ac:dyDescent="0.35">
      <c r="A419" s="2">
        <v>45541</v>
      </c>
      <c r="B419">
        <v>219.58421325683591</v>
      </c>
      <c r="C419">
        <v>870.9718017578125</v>
      </c>
      <c r="D419">
        <v>158.22807312011719</v>
      </c>
      <c r="E419">
        <v>205.8598937988281</v>
      </c>
      <c r="F419">
        <v>77.044281005859375</v>
      </c>
      <c r="G419">
        <v>170.07037353515619</v>
      </c>
      <c r="H419">
        <v>5408.419921875</v>
      </c>
      <c r="I419">
        <f t="shared" si="20"/>
        <v>-7.0397395516561163E-3</v>
      </c>
      <c r="J419">
        <f t="shared" si="20"/>
        <v>-1.0552325392483491E-2</v>
      </c>
      <c r="K419">
        <f t="shared" si="20"/>
        <v>-3.704062484611467E-3</v>
      </c>
      <c r="L419">
        <f t="shared" si="19"/>
        <v>-2.4042740236649186E-2</v>
      </c>
      <c r="M419">
        <f t="shared" si="19"/>
        <v>-4.3665151842196114E-3</v>
      </c>
      <c r="N419">
        <f t="shared" si="19"/>
        <v>6.8363423035970139E-4</v>
      </c>
      <c r="O419">
        <f t="shared" si="19"/>
        <v>-1.7410944507424406E-2</v>
      </c>
    </row>
    <row r="420" spans="1:15" x14ac:dyDescent="0.35">
      <c r="A420" s="2">
        <v>45544</v>
      </c>
      <c r="B420">
        <v>219.6737060546875</v>
      </c>
      <c r="C420">
        <v>890.65283203125</v>
      </c>
      <c r="D420">
        <v>160.37461853027341</v>
      </c>
      <c r="E420">
        <v>210.0747375488281</v>
      </c>
      <c r="F420">
        <v>78.209869384765625</v>
      </c>
      <c r="G420">
        <v>170.52558898925781</v>
      </c>
      <c r="H420">
        <v>5471.0498046875</v>
      </c>
      <c r="I420">
        <f t="shared" si="20"/>
        <v>4.0747267222904763E-4</v>
      </c>
      <c r="J420">
        <f t="shared" si="20"/>
        <v>2.23451112007996E-2</v>
      </c>
      <c r="K420">
        <f t="shared" si="20"/>
        <v>1.3474951380549365E-2</v>
      </c>
      <c r="L420">
        <f t="shared" si="19"/>
        <v>2.0267550284196596E-2</v>
      </c>
      <c r="M420">
        <f t="shared" si="19"/>
        <v>1.5015511996274836E-2</v>
      </c>
      <c r="N420">
        <f t="shared" si="19"/>
        <v>2.6730541476698874E-3</v>
      </c>
      <c r="O420">
        <f t="shared" si="19"/>
        <v>1.1513534435818254E-2</v>
      </c>
    </row>
    <row r="421" spans="1:15" x14ac:dyDescent="0.35">
      <c r="A421" s="2">
        <v>45545</v>
      </c>
      <c r="B421">
        <v>218.878173828125</v>
      </c>
      <c r="C421">
        <v>888.46722412109375</v>
      </c>
      <c r="D421">
        <v>161.11579895019531</v>
      </c>
      <c r="E421">
        <v>199.1742248535156</v>
      </c>
      <c r="F421">
        <v>79.279129028320313</v>
      </c>
      <c r="G421">
        <v>172.2012023925781</v>
      </c>
      <c r="H421">
        <v>5495.52001953125</v>
      </c>
      <c r="I421">
        <f t="shared" si="20"/>
        <v>-3.6279999500473344E-3</v>
      </c>
      <c r="J421">
        <f t="shared" si="20"/>
        <v>-2.4569550571625089E-3</v>
      </c>
      <c r="K421">
        <f t="shared" si="20"/>
        <v>4.6109102652901902E-3</v>
      </c>
      <c r="L421">
        <f t="shared" si="19"/>
        <v>-5.3283417019385104E-2</v>
      </c>
      <c r="M421">
        <f t="shared" si="19"/>
        <v>1.3579057387059517E-2</v>
      </c>
      <c r="N421">
        <f t="shared" si="19"/>
        <v>9.7782069937288173E-3</v>
      </c>
      <c r="O421">
        <f t="shared" si="19"/>
        <v>4.4626999777935411E-3</v>
      </c>
    </row>
    <row r="422" spans="1:15" x14ac:dyDescent="0.35">
      <c r="A422" s="2">
        <v>45546</v>
      </c>
      <c r="B422">
        <v>221.4139099121094</v>
      </c>
      <c r="C422">
        <v>894.53741455078125</v>
      </c>
      <c r="D422">
        <v>158.651611328125</v>
      </c>
      <c r="E422">
        <v>200.79234313964841</v>
      </c>
      <c r="F422">
        <v>80.367645263671875</v>
      </c>
      <c r="G422">
        <v>168.45286560058591</v>
      </c>
      <c r="H422">
        <v>5554.1298828125</v>
      </c>
      <c r="I422">
        <f t="shared" si="20"/>
        <v>1.1518554222257876E-2</v>
      </c>
      <c r="J422">
        <f t="shared" si="20"/>
        <v>6.8089714970328208E-3</v>
      </c>
      <c r="K422">
        <f t="shared" si="20"/>
        <v>-1.5412680113494198E-2</v>
      </c>
      <c r="L422">
        <f t="shared" si="19"/>
        <v>8.0913118430628907E-3</v>
      </c>
      <c r="M422">
        <f t="shared" si="19"/>
        <v>1.3636769156578589E-2</v>
      </c>
      <c r="N422">
        <f t="shared" si="19"/>
        <v>-2.2007593217069233E-2</v>
      </c>
      <c r="O422">
        <f t="shared" si="19"/>
        <v>1.0608555649843339E-2</v>
      </c>
    </row>
    <row r="423" spans="1:15" x14ac:dyDescent="0.35">
      <c r="A423" s="2">
        <v>45547</v>
      </c>
      <c r="B423">
        <v>221.5232849121094</v>
      </c>
      <c r="C423">
        <v>909.0721435546875</v>
      </c>
      <c r="D423">
        <v>158.47833251953119</v>
      </c>
      <c r="E423">
        <v>200.18193054199219</v>
      </c>
      <c r="F423">
        <v>80.396537780761719</v>
      </c>
      <c r="G423">
        <v>168.01701354980469</v>
      </c>
      <c r="H423">
        <v>5595.759765625</v>
      </c>
      <c r="I423">
        <f t="shared" si="20"/>
        <v>4.9386235114633832E-4</v>
      </c>
      <c r="J423">
        <f t="shared" si="20"/>
        <v>1.6117727466302977E-2</v>
      </c>
      <c r="K423">
        <f t="shared" si="20"/>
        <v>-1.0927938480710614E-3</v>
      </c>
      <c r="L423">
        <f t="shared" si="19"/>
        <v>-3.0446495411771764E-3</v>
      </c>
      <c r="M423">
        <f t="shared" si="19"/>
        <v>3.5943973158409888E-4</v>
      </c>
      <c r="N423">
        <f t="shared" si="19"/>
        <v>-2.590735882006155E-3</v>
      </c>
      <c r="O423">
        <f t="shared" si="19"/>
        <v>7.4673521568026698E-3</v>
      </c>
    </row>
    <row r="424" spans="1:15" x14ac:dyDescent="0.35">
      <c r="A424" s="2">
        <v>45548</v>
      </c>
      <c r="B424">
        <v>221.25477600097659</v>
      </c>
      <c r="C424">
        <v>910.0357666015625</v>
      </c>
      <c r="D424">
        <v>159.3254089355469</v>
      </c>
      <c r="E424">
        <v>197.97276306152341</v>
      </c>
      <c r="F424">
        <v>81.542877197265625</v>
      </c>
      <c r="G424">
        <v>168.60784912109381</v>
      </c>
      <c r="H424">
        <v>5626.02001953125</v>
      </c>
      <c r="I424">
        <f t="shared" si="20"/>
        <v>-1.2128376166301506E-3</v>
      </c>
      <c r="J424">
        <f t="shared" si="20"/>
        <v>1.0594458213588269E-3</v>
      </c>
      <c r="K424">
        <f t="shared" si="20"/>
        <v>5.3308272466187183E-3</v>
      </c>
      <c r="L424">
        <f t="shared" si="19"/>
        <v>-1.1097144837789367E-2</v>
      </c>
      <c r="M424">
        <f t="shared" si="19"/>
        <v>1.415786965500153E-2</v>
      </c>
      <c r="N424">
        <f t="shared" si="19"/>
        <v>3.5103537707790824E-3</v>
      </c>
      <c r="O424">
        <f t="shared" si="19"/>
        <v>5.3931422343560355E-3</v>
      </c>
    </row>
    <row r="425" spans="1:15" x14ac:dyDescent="0.35">
      <c r="A425" s="2">
        <v>45551</v>
      </c>
      <c r="B425">
        <v>215.10939025878909</v>
      </c>
      <c r="C425">
        <v>901.958740234375</v>
      </c>
      <c r="D425">
        <v>160.74040222167969</v>
      </c>
      <c r="E425">
        <v>201.4028015136719</v>
      </c>
      <c r="F425">
        <v>81.533233642578125</v>
      </c>
      <c r="G425">
        <v>171.66850280761719</v>
      </c>
      <c r="H425">
        <v>5633.08984375</v>
      </c>
      <c r="I425">
        <f t="shared" si="20"/>
        <v>-2.816817946185219E-2</v>
      </c>
      <c r="J425">
        <f t="shared" si="20"/>
        <v>-8.9151262138267122E-3</v>
      </c>
      <c r="K425">
        <f t="shared" si="20"/>
        <v>8.8419472213515371E-3</v>
      </c>
      <c r="L425">
        <f t="shared" si="19"/>
        <v>1.7177429447782899E-2</v>
      </c>
      <c r="M425">
        <f t="shared" si="19"/>
        <v>-1.1827059952652702E-4</v>
      </c>
      <c r="N425">
        <f t="shared" si="19"/>
        <v>1.798970872887385E-2</v>
      </c>
      <c r="O425">
        <f t="shared" si="19"/>
        <v>1.2558408673102855E-3</v>
      </c>
    </row>
    <row r="426" spans="1:15" x14ac:dyDescent="0.35">
      <c r="A426" s="2">
        <v>45552</v>
      </c>
      <c r="B426">
        <v>215.57672119140619</v>
      </c>
      <c r="C426">
        <v>891.42779541015625</v>
      </c>
      <c r="D426">
        <v>160.8173828125</v>
      </c>
      <c r="E426">
        <v>202.7496032714844</v>
      </c>
      <c r="F426">
        <v>81.851119995117188</v>
      </c>
      <c r="G426">
        <v>170.35127258300781</v>
      </c>
      <c r="H426">
        <v>5634.580078125</v>
      </c>
      <c r="I426">
        <f t="shared" si="20"/>
        <v>2.1701703565820993E-3</v>
      </c>
      <c r="J426">
        <f t="shared" si="20"/>
        <v>-1.1744334708147159E-2</v>
      </c>
      <c r="K426">
        <f t="shared" si="20"/>
        <v>4.7879787629945345E-4</v>
      </c>
      <c r="L426">
        <f t="shared" si="19"/>
        <v>6.6648458714729788E-3</v>
      </c>
      <c r="M426">
        <f t="shared" si="19"/>
        <v>3.8912753465255045E-3</v>
      </c>
      <c r="N426">
        <f t="shared" si="19"/>
        <v>-7.7026934238957024E-3</v>
      </c>
      <c r="O426">
        <f t="shared" ref="O426:O489" si="21">LN(H426/H425)</f>
        <v>2.6451509389645083E-4</v>
      </c>
    </row>
    <row r="427" spans="1:15" x14ac:dyDescent="0.35">
      <c r="A427" s="2">
        <v>45553</v>
      </c>
      <c r="B427">
        <v>219.45491027832031</v>
      </c>
      <c r="C427">
        <v>886.70867919921875</v>
      </c>
      <c r="D427">
        <v>159.93182373046881</v>
      </c>
      <c r="E427">
        <v>201.0830383300781</v>
      </c>
      <c r="F427">
        <v>81.186447143554688</v>
      </c>
      <c r="G427">
        <v>168.45286560058591</v>
      </c>
      <c r="H427">
        <v>5618.259765625</v>
      </c>
      <c r="I427">
        <f t="shared" si="20"/>
        <v>1.7829930274414912E-2</v>
      </c>
      <c r="J427">
        <f t="shared" si="20"/>
        <v>-5.3079472336754439E-3</v>
      </c>
      <c r="K427">
        <f t="shared" si="20"/>
        <v>-5.52183022790675E-3</v>
      </c>
      <c r="L427">
        <f t="shared" si="20"/>
        <v>-8.2537874898633689E-3</v>
      </c>
      <c r="M427">
        <f t="shared" si="20"/>
        <v>-8.1536610933593597E-3</v>
      </c>
      <c r="N427">
        <f t="shared" si="20"/>
        <v>-1.1206633193751271E-2</v>
      </c>
      <c r="O427">
        <f t="shared" si="21"/>
        <v>-2.9006587083132912E-3</v>
      </c>
    </row>
    <row r="428" spans="1:15" x14ac:dyDescent="0.35">
      <c r="A428" s="2">
        <v>45554</v>
      </c>
      <c r="B428">
        <v>227.5891418457031</v>
      </c>
      <c r="C428">
        <v>894.8751220703125</v>
      </c>
      <c r="D428">
        <v>158.651611328125</v>
      </c>
      <c r="E428">
        <v>203.94139099121091</v>
      </c>
      <c r="F428">
        <v>79.269493103027344</v>
      </c>
      <c r="G428">
        <v>166.1476745605469</v>
      </c>
      <c r="H428">
        <v>5713.64013671875</v>
      </c>
      <c r="I428">
        <f t="shared" ref="I428:N470" si="22">LN(B428/B427)</f>
        <v>3.6395202664293913E-2</v>
      </c>
      <c r="J428">
        <f t="shared" si="22"/>
        <v>9.1676855861750062E-3</v>
      </c>
      <c r="K428">
        <f t="shared" si="22"/>
        <v>-8.0369482682921198E-3</v>
      </c>
      <c r="L428">
        <f t="shared" si="22"/>
        <v>1.4114704736936275E-2</v>
      </c>
      <c r="M428">
        <f t="shared" si="22"/>
        <v>-2.3894973871934313E-2</v>
      </c>
      <c r="N428">
        <f t="shared" si="22"/>
        <v>-1.3778982609216407E-2</v>
      </c>
      <c r="O428">
        <f t="shared" si="21"/>
        <v>1.6834356892725128E-2</v>
      </c>
    </row>
    <row r="429" spans="1:15" x14ac:dyDescent="0.35">
      <c r="A429" s="2">
        <v>45555</v>
      </c>
      <c r="B429">
        <v>226.9228820800781</v>
      </c>
      <c r="C429">
        <v>901.07452392578125</v>
      </c>
      <c r="D429">
        <v>158.01629638671881</v>
      </c>
      <c r="E429">
        <v>204.53245544433591</v>
      </c>
      <c r="F429">
        <v>79.722236633300781</v>
      </c>
      <c r="G429">
        <v>168.74345397949219</v>
      </c>
      <c r="H429">
        <v>5702.5498046875</v>
      </c>
      <c r="I429">
        <f t="shared" si="22"/>
        <v>-2.9317606917899411E-3</v>
      </c>
      <c r="J429">
        <f t="shared" si="22"/>
        <v>6.9037865202956905E-3</v>
      </c>
      <c r="K429">
        <f t="shared" si="22"/>
        <v>-4.012505077523488E-3</v>
      </c>
      <c r="L429">
        <f t="shared" si="22"/>
        <v>2.8940157163675293E-3</v>
      </c>
      <c r="M429">
        <f t="shared" si="22"/>
        <v>5.6951987976049407E-3</v>
      </c>
      <c r="N429">
        <f t="shared" si="22"/>
        <v>1.5502539089337086E-2</v>
      </c>
      <c r="O429">
        <f t="shared" si="21"/>
        <v>-1.9429136300157343E-3</v>
      </c>
    </row>
    <row r="430" spans="1:15" x14ac:dyDescent="0.35">
      <c r="A430" s="2">
        <v>45558</v>
      </c>
      <c r="B430">
        <v>225.20257568359381</v>
      </c>
      <c r="C430">
        <v>911.10870361328125</v>
      </c>
      <c r="D430">
        <v>157.11146545410159</v>
      </c>
      <c r="E430">
        <v>204.8715515136719</v>
      </c>
      <c r="F430">
        <v>81.706634521484375</v>
      </c>
      <c r="G430">
        <v>168.3075866699219</v>
      </c>
      <c r="H430">
        <v>5718.56982421875</v>
      </c>
      <c r="I430">
        <f t="shared" si="22"/>
        <v>-7.6098997255302425E-3</v>
      </c>
      <c r="J430">
        <f t="shared" si="22"/>
        <v>1.1074246889869395E-2</v>
      </c>
      <c r="K430">
        <f t="shared" si="22"/>
        <v>-5.7426449129981318E-3</v>
      </c>
      <c r="L430">
        <f t="shared" si="22"/>
        <v>1.6565355546890909E-3</v>
      </c>
      <c r="M430">
        <f t="shared" si="22"/>
        <v>2.4586653398576151E-2</v>
      </c>
      <c r="N430">
        <f t="shared" si="22"/>
        <v>-2.5863593341791972E-3</v>
      </c>
      <c r="O430">
        <f t="shared" si="21"/>
        <v>2.8053344257131223E-3</v>
      </c>
    </row>
    <row r="431" spans="1:15" x14ac:dyDescent="0.35">
      <c r="A431" s="2">
        <v>45559</v>
      </c>
      <c r="B431">
        <v>226.09751892089841</v>
      </c>
      <c r="C431">
        <v>895.66986083984375</v>
      </c>
      <c r="D431">
        <v>156.68792724609381</v>
      </c>
      <c r="E431">
        <v>205.01690673828119</v>
      </c>
      <c r="F431">
        <v>81.196075439453125</v>
      </c>
      <c r="G431">
        <v>167.79426574707031</v>
      </c>
      <c r="H431">
        <v>5732.93017578125</v>
      </c>
      <c r="I431">
        <f t="shared" si="22"/>
        <v>3.9660723368111902E-3</v>
      </c>
      <c r="J431">
        <f t="shared" si="22"/>
        <v>-1.7090327343793055E-2</v>
      </c>
      <c r="K431">
        <f t="shared" si="22"/>
        <v>-2.6994218284015145E-3</v>
      </c>
      <c r="L431">
        <f t="shared" si="22"/>
        <v>7.0924285754377374E-4</v>
      </c>
      <c r="M431">
        <f t="shared" si="22"/>
        <v>-6.2682904890958317E-3</v>
      </c>
      <c r="N431">
        <f t="shared" si="22"/>
        <v>-3.0545581244557324E-3</v>
      </c>
      <c r="O431">
        <f t="shared" si="21"/>
        <v>2.5080311033453448E-3</v>
      </c>
    </row>
    <row r="432" spans="1:15" x14ac:dyDescent="0.35">
      <c r="A432" s="2">
        <v>45560</v>
      </c>
      <c r="B432">
        <v>225.10313415527341</v>
      </c>
      <c r="C432">
        <v>902.505126953125</v>
      </c>
      <c r="D432">
        <v>154.58952331542969</v>
      </c>
      <c r="E432">
        <v>203.6604309082031</v>
      </c>
      <c r="F432">
        <v>81.513969421386719</v>
      </c>
      <c r="G432">
        <v>166.84504699707031</v>
      </c>
      <c r="H432">
        <v>5722.259765625</v>
      </c>
      <c r="I432">
        <f t="shared" si="22"/>
        <v>-4.4077346465005093E-3</v>
      </c>
      <c r="J432">
        <f t="shared" si="22"/>
        <v>7.6024848322135017E-3</v>
      </c>
      <c r="K432">
        <f t="shared" si="22"/>
        <v>-1.3482735192221443E-2</v>
      </c>
      <c r="L432">
        <f t="shared" si="22"/>
        <v>-6.6383950690796717E-3</v>
      </c>
      <c r="M432">
        <f t="shared" si="22"/>
        <v>3.9074955290719993E-3</v>
      </c>
      <c r="N432">
        <f t="shared" si="22"/>
        <v>-5.6731009158803667E-3</v>
      </c>
      <c r="O432">
        <f t="shared" si="21"/>
        <v>-1.862983206212128E-3</v>
      </c>
    </row>
    <row r="433" spans="1:15" x14ac:dyDescent="0.35">
      <c r="A433" s="2">
        <v>45561</v>
      </c>
      <c r="B433">
        <v>226.2467041015625</v>
      </c>
      <c r="C433">
        <v>895.57061767578125</v>
      </c>
      <c r="D433">
        <v>155.34996032714841</v>
      </c>
      <c r="E433">
        <v>203.26313781738281</v>
      </c>
      <c r="F433">
        <v>80.396537780761719</v>
      </c>
      <c r="G433">
        <v>167.76518249511719</v>
      </c>
      <c r="H433">
        <v>5745.3701171875</v>
      </c>
      <c r="I433">
        <f t="shared" si="22"/>
        <v>5.067343760445959E-3</v>
      </c>
      <c r="J433">
        <f t="shared" si="22"/>
        <v>-7.7132942576976504E-3</v>
      </c>
      <c r="K433">
        <f t="shared" si="22"/>
        <v>4.9070129990997037E-3</v>
      </c>
      <c r="L433">
        <f t="shared" si="22"/>
        <v>-1.9526675159241211E-3</v>
      </c>
      <c r="M433">
        <f t="shared" si="22"/>
        <v>-1.3803296672863972E-2</v>
      </c>
      <c r="N433">
        <f t="shared" si="22"/>
        <v>5.4997590405237917E-3</v>
      </c>
      <c r="O433">
        <f t="shared" si="21"/>
        <v>4.0305421581992218E-3</v>
      </c>
    </row>
    <row r="434" spans="1:15" x14ac:dyDescent="0.35">
      <c r="A434" s="2">
        <v>45562</v>
      </c>
      <c r="B434">
        <v>226.51518249511719</v>
      </c>
      <c r="C434">
        <v>879.85357666015625</v>
      </c>
      <c r="D434">
        <v>155.35960388183591</v>
      </c>
      <c r="E434">
        <v>203.9607849121094</v>
      </c>
      <c r="F434">
        <v>81.436904907226563</v>
      </c>
      <c r="G434">
        <v>168.09449768066409</v>
      </c>
      <c r="H434">
        <v>5738.169921875</v>
      </c>
      <c r="I434">
        <f t="shared" si="22"/>
        <v>1.1859585931167842E-3</v>
      </c>
      <c r="J434">
        <f t="shared" si="22"/>
        <v>-1.7705573298729415E-2</v>
      </c>
      <c r="K434">
        <f t="shared" si="22"/>
        <v>6.2074398740433279E-5</v>
      </c>
      <c r="L434">
        <f t="shared" si="22"/>
        <v>3.4263594956713351E-3</v>
      </c>
      <c r="M434">
        <f t="shared" si="22"/>
        <v>1.2857434673372432E-2</v>
      </c>
      <c r="N434">
        <f t="shared" si="22"/>
        <v>1.9610290280157312E-3</v>
      </c>
      <c r="O434">
        <f t="shared" si="21"/>
        <v>-1.2540029000721238E-3</v>
      </c>
    </row>
    <row r="435" spans="1:15" x14ac:dyDescent="0.35">
      <c r="A435" s="2">
        <v>45565</v>
      </c>
      <c r="B435">
        <v>231.696044921875</v>
      </c>
      <c r="C435">
        <v>880.74774169921875</v>
      </c>
      <c r="D435">
        <v>155.9949035644531</v>
      </c>
      <c r="E435">
        <v>204.3096008300781</v>
      </c>
      <c r="F435">
        <v>81.427276611328125</v>
      </c>
      <c r="G435">
        <v>167.7554931640625</v>
      </c>
      <c r="H435">
        <v>5762.47998046875</v>
      </c>
      <c r="I435">
        <f t="shared" si="22"/>
        <v>2.2614387908913857E-2</v>
      </c>
      <c r="J435">
        <f t="shared" si="22"/>
        <v>1.0157496834945141E-3</v>
      </c>
      <c r="K435">
        <f t="shared" si="22"/>
        <v>4.0808823967033855E-3</v>
      </c>
      <c r="L435">
        <f t="shared" si="22"/>
        <v>1.7087499609264502E-3</v>
      </c>
      <c r="M435">
        <f t="shared" si="22"/>
        <v>-1.1823712027872559E-4</v>
      </c>
      <c r="N435">
        <f t="shared" si="22"/>
        <v>-2.0187860114763891E-3</v>
      </c>
      <c r="O435">
        <f t="shared" si="21"/>
        <v>4.2276036584415087E-3</v>
      </c>
    </row>
    <row r="436" spans="1:15" x14ac:dyDescent="0.35">
      <c r="A436" s="2">
        <v>45566</v>
      </c>
      <c r="B436">
        <v>224.94403076171881</v>
      </c>
      <c r="C436">
        <v>871.667236328125</v>
      </c>
      <c r="D436">
        <v>155.9275207519531</v>
      </c>
      <c r="E436">
        <v>200.6082458496094</v>
      </c>
      <c r="F436">
        <v>82.140113830566406</v>
      </c>
      <c r="G436">
        <v>167.60054016113281</v>
      </c>
      <c r="H436">
        <v>5708.75</v>
      </c>
      <c r="I436">
        <f t="shared" si="22"/>
        <v>-2.9574742378724136E-2</v>
      </c>
      <c r="J436">
        <f t="shared" si="22"/>
        <v>-1.0363511790445395E-2</v>
      </c>
      <c r="K436">
        <f t="shared" si="22"/>
        <v>-4.3204853704155487E-4</v>
      </c>
      <c r="L436">
        <f t="shared" si="22"/>
        <v>-1.8282513890171024E-2</v>
      </c>
      <c r="M436">
        <f t="shared" si="22"/>
        <v>8.7161839566069106E-3</v>
      </c>
      <c r="N436">
        <f t="shared" si="22"/>
        <v>-9.2411048890637373E-4</v>
      </c>
      <c r="O436">
        <f t="shared" si="21"/>
        <v>-9.3678486944544469E-3</v>
      </c>
    </row>
    <row r="437" spans="1:15" x14ac:dyDescent="0.35">
      <c r="A437" s="2">
        <v>45567</v>
      </c>
      <c r="B437">
        <v>225.51084899902341</v>
      </c>
      <c r="C437">
        <v>872.809814453125</v>
      </c>
      <c r="D437">
        <v>155.13819885253909</v>
      </c>
      <c r="E437">
        <v>200.8504943847656</v>
      </c>
      <c r="F437">
        <v>82.294235229492188</v>
      </c>
      <c r="G437">
        <v>166.51573181152341</v>
      </c>
      <c r="H437">
        <v>5709.5400390625</v>
      </c>
      <c r="I437">
        <f t="shared" si="22"/>
        <v>2.5166495555282711E-3</v>
      </c>
      <c r="J437">
        <f t="shared" si="22"/>
        <v>1.3099378841022883E-3</v>
      </c>
      <c r="K437">
        <f t="shared" si="22"/>
        <v>-5.0749635447825204E-3</v>
      </c>
      <c r="L437">
        <f t="shared" si="22"/>
        <v>1.2068416516079572E-3</v>
      </c>
      <c r="M437">
        <f t="shared" si="22"/>
        <v>1.8745650764402317E-3</v>
      </c>
      <c r="N437">
        <f t="shared" si="22"/>
        <v>-6.4936206497090533E-3</v>
      </c>
      <c r="O437">
        <f t="shared" si="21"/>
        <v>1.3838132698647728E-4</v>
      </c>
    </row>
    <row r="438" spans="1:15" x14ac:dyDescent="0.35">
      <c r="A438" s="2">
        <v>45568</v>
      </c>
      <c r="B438">
        <v>224.40704345703119</v>
      </c>
      <c r="C438">
        <v>869.9683837890625</v>
      </c>
      <c r="D438">
        <v>154.4932556152344</v>
      </c>
      <c r="E438">
        <v>198.8544921875</v>
      </c>
      <c r="F438">
        <v>81.928184509277344</v>
      </c>
      <c r="G438">
        <v>164.77232360839841</v>
      </c>
      <c r="H438">
        <v>5699.93994140625</v>
      </c>
      <c r="I438">
        <f t="shared" si="22"/>
        <v>-4.9067075352227452E-3</v>
      </c>
      <c r="J438">
        <f t="shared" si="22"/>
        <v>-3.2608087301555996E-3</v>
      </c>
      <c r="K438">
        <f t="shared" si="22"/>
        <v>-4.1658827662684602E-3</v>
      </c>
      <c r="L438">
        <f t="shared" si="22"/>
        <v>-9.9874600315430166E-3</v>
      </c>
      <c r="M438">
        <f t="shared" si="22"/>
        <v>-4.4579945543275958E-3</v>
      </c>
      <c r="N438">
        <f t="shared" si="22"/>
        <v>-1.0525126208967461E-2</v>
      </c>
      <c r="O438">
        <f t="shared" si="21"/>
        <v>-1.6828286544586894E-3</v>
      </c>
    </row>
    <row r="439" spans="1:15" x14ac:dyDescent="0.35">
      <c r="A439" s="2">
        <v>45569</v>
      </c>
      <c r="B439">
        <v>225.5307312011719</v>
      </c>
      <c r="C439">
        <v>877.35992431640625</v>
      </c>
      <c r="D439">
        <v>154.29112243652341</v>
      </c>
      <c r="E439">
        <v>205.91258239746091</v>
      </c>
      <c r="F439">
        <v>80.772239685058594</v>
      </c>
      <c r="G439">
        <v>163.57130432128909</v>
      </c>
      <c r="H439">
        <v>5751.06982421875</v>
      </c>
      <c r="I439">
        <f t="shared" si="22"/>
        <v>4.9948688180586681E-3</v>
      </c>
      <c r="J439">
        <f t="shared" si="22"/>
        <v>8.4604416731209001E-3</v>
      </c>
      <c r="K439">
        <f t="shared" si="22"/>
        <v>-1.3092191312177477E-3</v>
      </c>
      <c r="L439">
        <f t="shared" si="22"/>
        <v>3.4878359197334244E-2</v>
      </c>
      <c r="M439">
        <f t="shared" si="22"/>
        <v>-1.4209726621454232E-2</v>
      </c>
      <c r="N439">
        <f t="shared" si="22"/>
        <v>-7.315656777667422E-3</v>
      </c>
      <c r="O439">
        <f t="shared" si="21"/>
        <v>8.9302556991863822E-3</v>
      </c>
    </row>
    <row r="440" spans="1:15" x14ac:dyDescent="0.35">
      <c r="A440" s="2">
        <v>45572</v>
      </c>
      <c r="B440">
        <v>220.4493408203125</v>
      </c>
      <c r="C440">
        <v>867.9019775390625</v>
      </c>
      <c r="D440">
        <v>153.5595703125</v>
      </c>
      <c r="E440">
        <v>205.6298522949219</v>
      </c>
      <c r="F440">
        <v>77.342903137207031</v>
      </c>
      <c r="G440">
        <v>161.8666076660156</v>
      </c>
      <c r="H440">
        <v>5695.93994140625</v>
      </c>
      <c r="I440">
        <f t="shared" si="22"/>
        <v>-2.278850828429712E-2</v>
      </c>
      <c r="J440">
        <f t="shared" si="22"/>
        <v>-1.0838533008160822E-2</v>
      </c>
      <c r="K440">
        <f t="shared" si="22"/>
        <v>-4.7526513226047442E-3</v>
      </c>
      <c r="L440">
        <f t="shared" si="22"/>
        <v>-1.3740024025975966E-3</v>
      </c>
      <c r="M440">
        <f t="shared" si="22"/>
        <v>-4.3384515433731598E-2</v>
      </c>
      <c r="N440">
        <f t="shared" si="22"/>
        <v>-1.0476420749337249E-2</v>
      </c>
      <c r="O440">
        <f t="shared" si="21"/>
        <v>-9.6322638293887732E-3</v>
      </c>
    </row>
    <row r="441" spans="1:15" x14ac:dyDescent="0.35">
      <c r="A441" s="2">
        <v>45573</v>
      </c>
      <c r="B441">
        <v>224.5065002441406</v>
      </c>
      <c r="C441">
        <v>884.62237548828125</v>
      </c>
      <c r="D441">
        <v>153.7135925292969</v>
      </c>
      <c r="E441">
        <v>205.45436096191409</v>
      </c>
      <c r="F441">
        <v>77.545204162597656</v>
      </c>
      <c r="G441">
        <v>162.87394714355469</v>
      </c>
      <c r="H441">
        <v>5751.1298828125</v>
      </c>
      <c r="I441">
        <f t="shared" si="22"/>
        <v>1.8236739435629836E-2</v>
      </c>
      <c r="J441">
        <f t="shared" si="22"/>
        <v>1.9082080403545008E-2</v>
      </c>
      <c r="K441">
        <f t="shared" si="22"/>
        <v>1.0025101331475612E-3</v>
      </c>
      <c r="L441">
        <f t="shared" si="22"/>
        <v>-8.5379753349381824E-4</v>
      </c>
      <c r="M441">
        <f t="shared" si="22"/>
        <v>2.6122230293121299E-3</v>
      </c>
      <c r="N441">
        <f t="shared" si="22"/>
        <v>6.2039846493510487E-3</v>
      </c>
      <c r="O441">
        <f t="shared" si="21"/>
        <v>9.6427068046943849E-3</v>
      </c>
    </row>
    <row r="442" spans="1:15" x14ac:dyDescent="0.35">
      <c r="A442" s="2">
        <v>45574</v>
      </c>
      <c r="B442">
        <v>228.25538635253909</v>
      </c>
      <c r="C442">
        <v>903.18072509765625</v>
      </c>
      <c r="D442">
        <v>154.63764953613281</v>
      </c>
      <c r="E442">
        <v>208.05726623535159</v>
      </c>
      <c r="F442">
        <v>77.622261047363281</v>
      </c>
      <c r="G442">
        <v>163.94903564453119</v>
      </c>
      <c r="H442">
        <v>5792.0400390625</v>
      </c>
      <c r="I442">
        <f t="shared" si="22"/>
        <v>1.6560456594330555E-2</v>
      </c>
      <c r="J442">
        <f t="shared" si="22"/>
        <v>2.0761812343089495E-2</v>
      </c>
      <c r="K442">
        <f t="shared" si="22"/>
        <v>5.9935531108066724E-3</v>
      </c>
      <c r="L442">
        <f t="shared" si="22"/>
        <v>1.2589438752768557E-2</v>
      </c>
      <c r="M442">
        <f t="shared" si="22"/>
        <v>9.9320938182315241E-4</v>
      </c>
      <c r="N442">
        <f t="shared" si="22"/>
        <v>6.5790500388768726E-3</v>
      </c>
      <c r="O442">
        <f t="shared" si="21"/>
        <v>7.088231016994585E-3</v>
      </c>
    </row>
    <row r="443" spans="1:15" x14ac:dyDescent="0.35">
      <c r="A443" s="2">
        <v>45575</v>
      </c>
      <c r="B443">
        <v>227.75819396972659</v>
      </c>
      <c r="C443">
        <v>887.8114013671875</v>
      </c>
      <c r="D443">
        <v>154.5028991699219</v>
      </c>
      <c r="E443">
        <v>207.49186706542969</v>
      </c>
      <c r="F443">
        <v>77.969039916992188</v>
      </c>
      <c r="G443">
        <v>163.63909912109381</v>
      </c>
      <c r="H443">
        <v>5780.0498046875</v>
      </c>
      <c r="I443">
        <f t="shared" si="22"/>
        <v>-2.1806042682985232E-3</v>
      </c>
      <c r="J443">
        <f t="shared" si="22"/>
        <v>-1.7163337340210853E-2</v>
      </c>
      <c r="K443">
        <f t="shared" si="22"/>
        <v>-8.7177418367796148E-4</v>
      </c>
      <c r="L443">
        <f t="shared" si="22"/>
        <v>-2.7212162101266746E-3</v>
      </c>
      <c r="M443">
        <f t="shared" si="22"/>
        <v>4.457568536094093E-3</v>
      </c>
      <c r="N443">
        <f t="shared" si="22"/>
        <v>-1.892233466500039E-3</v>
      </c>
      <c r="O443">
        <f t="shared" si="21"/>
        <v>-2.0722685059824846E-3</v>
      </c>
    </row>
    <row r="444" spans="1:15" x14ac:dyDescent="0.35">
      <c r="A444" s="2">
        <v>45576</v>
      </c>
      <c r="B444">
        <v>226.27653503417969</v>
      </c>
      <c r="C444">
        <v>883.24151611328125</v>
      </c>
      <c r="D444">
        <v>155.41734313964841</v>
      </c>
      <c r="E444">
        <v>216.7043762207031</v>
      </c>
      <c r="F444">
        <v>78.855270385742188</v>
      </c>
      <c r="G444">
        <v>165.71180725097659</v>
      </c>
      <c r="H444">
        <v>5815.02978515625</v>
      </c>
      <c r="I444">
        <f t="shared" si="22"/>
        <v>-6.5266557839823132E-3</v>
      </c>
      <c r="J444">
        <f t="shared" si="22"/>
        <v>-5.1606537004366716E-3</v>
      </c>
      <c r="K444">
        <f t="shared" si="22"/>
        <v>5.901173906006414E-3</v>
      </c>
      <c r="L444">
        <f t="shared" si="22"/>
        <v>4.3441959135994294E-2</v>
      </c>
      <c r="M444">
        <f t="shared" si="22"/>
        <v>1.1302328078292794E-2</v>
      </c>
      <c r="N444">
        <f t="shared" si="22"/>
        <v>1.2586790891855082E-2</v>
      </c>
      <c r="O444">
        <f t="shared" si="21"/>
        <v>6.0336087072987198E-3</v>
      </c>
    </row>
    <row r="445" spans="1:15" x14ac:dyDescent="0.35">
      <c r="A445" s="2">
        <v>45579</v>
      </c>
      <c r="B445">
        <v>230.00555419921881</v>
      </c>
      <c r="C445">
        <v>883.96661376953125</v>
      </c>
      <c r="D445">
        <v>155.5521240234375</v>
      </c>
      <c r="E445">
        <v>215.91474914550781</v>
      </c>
      <c r="F445">
        <v>79.866737365722656</v>
      </c>
      <c r="G445">
        <v>167.0871887207031</v>
      </c>
      <c r="H445">
        <v>5859.85009765625</v>
      </c>
      <c r="I445">
        <f t="shared" si="22"/>
        <v>1.6345599701801005E-2</v>
      </c>
      <c r="J445">
        <f t="shared" si="22"/>
        <v>8.2061380850312804E-4</v>
      </c>
      <c r="K445">
        <f t="shared" si="22"/>
        <v>8.6684325286583359E-4</v>
      </c>
      <c r="L445">
        <f t="shared" si="22"/>
        <v>-3.6504532775566419E-3</v>
      </c>
      <c r="M445">
        <f t="shared" si="22"/>
        <v>1.2745310954828037E-2</v>
      </c>
      <c r="N445">
        <f t="shared" si="22"/>
        <v>8.2655856349338041E-3</v>
      </c>
      <c r="O445">
        <f t="shared" si="21"/>
        <v>7.6781145745943233E-3</v>
      </c>
    </row>
    <row r="446" spans="1:15" x14ac:dyDescent="0.35">
      <c r="A446" s="2">
        <v>45580</v>
      </c>
      <c r="B446">
        <v>232.5412902832031</v>
      </c>
      <c r="C446">
        <v>888.7850341796875</v>
      </c>
      <c r="D446">
        <v>157.95854187011719</v>
      </c>
      <c r="E446">
        <v>216.8018798828125</v>
      </c>
      <c r="F446">
        <v>79.751144409179688</v>
      </c>
      <c r="G446">
        <v>168.1138610839844</v>
      </c>
      <c r="H446">
        <v>5815.259765625</v>
      </c>
      <c r="I446">
        <f t="shared" si="22"/>
        <v>1.0964344551760315E-2</v>
      </c>
      <c r="J446">
        <f t="shared" si="22"/>
        <v>5.4361052565742108E-3</v>
      </c>
      <c r="K446">
        <f t="shared" si="22"/>
        <v>1.5351727194256265E-2</v>
      </c>
      <c r="L446">
        <f t="shared" si="22"/>
        <v>4.1002906784283581E-3</v>
      </c>
      <c r="M446">
        <f t="shared" si="22"/>
        <v>-1.4483712659882908E-3</v>
      </c>
      <c r="N446">
        <f t="shared" si="22"/>
        <v>6.1257300615892955E-3</v>
      </c>
      <c r="O446">
        <f t="shared" si="21"/>
        <v>-7.6385660375134215E-3</v>
      </c>
    </row>
    <row r="447" spans="1:15" x14ac:dyDescent="0.35">
      <c r="A447" s="2">
        <v>45581</v>
      </c>
      <c r="B447">
        <v>230.48284912109381</v>
      </c>
      <c r="C447">
        <v>881.6021728515625</v>
      </c>
      <c r="D447">
        <v>158.1318054199219</v>
      </c>
      <c r="E447">
        <v>218.02049255371091</v>
      </c>
      <c r="F447">
        <v>81.292404174804688</v>
      </c>
      <c r="G447">
        <v>166.96128845214841</v>
      </c>
      <c r="H447">
        <v>5842.47021484375</v>
      </c>
      <c r="I447">
        <f t="shared" si="22"/>
        <v>-8.8913494910504588E-3</v>
      </c>
      <c r="J447">
        <f t="shared" si="22"/>
        <v>-8.1144968880803546E-3</v>
      </c>
      <c r="K447">
        <f t="shared" si="22"/>
        <v>1.0962914156873345E-3</v>
      </c>
      <c r="L447">
        <f t="shared" si="22"/>
        <v>5.6051203370045015E-3</v>
      </c>
      <c r="M447">
        <f t="shared" si="22"/>
        <v>1.9141491084391032E-2</v>
      </c>
      <c r="N447">
        <f t="shared" si="22"/>
        <v>-6.879514515758983E-3</v>
      </c>
      <c r="O447">
        <f t="shared" si="21"/>
        <v>4.6682327827797659E-3</v>
      </c>
    </row>
    <row r="448" spans="1:15" x14ac:dyDescent="0.35">
      <c r="A448" s="2">
        <v>45582</v>
      </c>
      <c r="B448">
        <v>230.85078430175781</v>
      </c>
      <c r="C448">
        <v>879.52569580078125</v>
      </c>
      <c r="D448">
        <v>158.314697265625</v>
      </c>
      <c r="E448">
        <v>218.7808837890625</v>
      </c>
      <c r="F448">
        <v>80.704795837402344</v>
      </c>
      <c r="G448">
        <v>166.86442565917969</v>
      </c>
      <c r="H448">
        <v>5841.47021484375</v>
      </c>
      <c r="I448">
        <f t="shared" si="22"/>
        <v>1.5950940144829474E-3</v>
      </c>
      <c r="J448">
        <f t="shared" si="22"/>
        <v>-2.3581229392501653E-3</v>
      </c>
      <c r="K448">
        <f t="shared" si="22"/>
        <v>1.1559101744838488E-3</v>
      </c>
      <c r="L448">
        <f t="shared" si="22"/>
        <v>3.4816373969657802E-3</v>
      </c>
      <c r="M448">
        <f t="shared" si="22"/>
        <v>-7.2545811218525224E-3</v>
      </c>
      <c r="N448">
        <f t="shared" si="22"/>
        <v>-5.8031955953393756E-4</v>
      </c>
      <c r="O448">
        <f t="shared" si="21"/>
        <v>-1.7117512853816633E-4</v>
      </c>
    </row>
    <row r="449" spans="1:15" x14ac:dyDescent="0.35">
      <c r="A449" s="2">
        <v>45583</v>
      </c>
      <c r="B449">
        <v>233.6848449707031</v>
      </c>
      <c r="C449">
        <v>883.7679443359375</v>
      </c>
      <c r="D449">
        <v>158.94036865234381</v>
      </c>
      <c r="E449">
        <v>219.7070007324219</v>
      </c>
      <c r="F449">
        <v>81.28277587890625</v>
      </c>
      <c r="G449">
        <v>166.8712463378906</v>
      </c>
      <c r="H449">
        <v>5864.669921875</v>
      </c>
      <c r="I449">
        <f t="shared" si="22"/>
        <v>1.2201844821795963E-2</v>
      </c>
      <c r="J449">
        <f t="shared" si="22"/>
        <v>4.811741644844607E-3</v>
      </c>
      <c r="K449">
        <f t="shared" si="22"/>
        <v>3.944284993899567E-3</v>
      </c>
      <c r="L449">
        <f t="shared" si="22"/>
        <v>4.2241455380673514E-3</v>
      </c>
      <c r="M449">
        <f t="shared" si="22"/>
        <v>7.1361338175775745E-3</v>
      </c>
      <c r="N449">
        <f t="shared" si="22"/>
        <v>4.0874735811302617E-5</v>
      </c>
      <c r="O449">
        <f t="shared" si="21"/>
        <v>3.9636869427743873E-3</v>
      </c>
    </row>
    <row r="450" spans="1:15" x14ac:dyDescent="0.35">
      <c r="A450" s="2">
        <v>45586</v>
      </c>
      <c r="B450">
        <v>235.15655517578119</v>
      </c>
      <c r="C450">
        <v>880.9962158203125</v>
      </c>
      <c r="D450">
        <v>156.736083984375</v>
      </c>
      <c r="E450">
        <v>217.39656066894531</v>
      </c>
      <c r="F450">
        <v>80.945625305175781</v>
      </c>
      <c r="G450">
        <v>165.17604064941409</v>
      </c>
      <c r="H450">
        <v>5853.97998046875</v>
      </c>
      <c r="I450">
        <f t="shared" si="22"/>
        <v>6.278093353117852E-3</v>
      </c>
      <c r="J450">
        <f t="shared" si="22"/>
        <v>-3.1411911656817866E-3</v>
      </c>
      <c r="K450">
        <f t="shared" si="22"/>
        <v>-1.3965694789902257E-2</v>
      </c>
      <c r="L450">
        <f t="shared" si="22"/>
        <v>-1.0571689574191636E-2</v>
      </c>
      <c r="M450">
        <f t="shared" si="22"/>
        <v>-4.1564985744474755E-3</v>
      </c>
      <c r="N450">
        <f t="shared" si="22"/>
        <v>-1.0210716866056901E-2</v>
      </c>
      <c r="O450">
        <f t="shared" si="21"/>
        <v>-1.8244327564190331E-3</v>
      </c>
    </row>
    <row r="451" spans="1:15" x14ac:dyDescent="0.35">
      <c r="A451" s="2">
        <v>45587</v>
      </c>
      <c r="B451">
        <v>234.5400085449219</v>
      </c>
      <c r="C451">
        <v>887.67236328125</v>
      </c>
      <c r="D451">
        <v>157.33287048339841</v>
      </c>
      <c r="E451">
        <v>218.48841857910159</v>
      </c>
      <c r="F451">
        <v>80.627738952636719</v>
      </c>
      <c r="G451">
        <v>165.33189392089841</v>
      </c>
      <c r="H451">
        <v>5851.2001953125</v>
      </c>
      <c r="I451">
        <f t="shared" si="22"/>
        <v>-2.6252991083800807E-3</v>
      </c>
      <c r="J451">
        <f t="shared" si="22"/>
        <v>7.5493840369072135E-3</v>
      </c>
      <c r="K451">
        <f t="shared" si="22"/>
        <v>3.800357907408822E-3</v>
      </c>
      <c r="L451">
        <f t="shared" si="22"/>
        <v>5.0098546443068685E-3</v>
      </c>
      <c r="M451">
        <f t="shared" si="22"/>
        <v>-3.9348906815390109E-3</v>
      </c>
      <c r="N451">
        <f t="shared" si="22"/>
        <v>9.4311371519168732E-4</v>
      </c>
      <c r="O451">
        <f t="shared" si="21"/>
        <v>-4.7496666719579368E-4</v>
      </c>
    </row>
    <row r="452" spans="1:15" x14ac:dyDescent="0.35">
      <c r="A452" s="2">
        <v>45588</v>
      </c>
      <c r="B452">
        <v>229.46856689453119</v>
      </c>
      <c r="C452">
        <v>893.3153076171875</v>
      </c>
      <c r="D452">
        <v>159.65269470214841</v>
      </c>
      <c r="E452">
        <v>217.79624938964841</v>
      </c>
      <c r="F452">
        <v>81.841484069824219</v>
      </c>
      <c r="G452">
        <v>165.21501159667969</v>
      </c>
      <c r="H452">
        <v>5797.419921875</v>
      </c>
      <c r="I452">
        <f t="shared" si="22"/>
        <v>-2.1860128767870909E-2</v>
      </c>
      <c r="J452">
        <f t="shared" si="22"/>
        <v>6.3368919520311543E-3</v>
      </c>
      <c r="K452">
        <f t="shared" si="22"/>
        <v>1.4637042758860016E-2</v>
      </c>
      <c r="L452">
        <f t="shared" si="22"/>
        <v>-3.1730189988500028E-3</v>
      </c>
      <c r="M452">
        <f t="shared" si="22"/>
        <v>1.4941509229972087E-2</v>
      </c>
      <c r="N452">
        <f t="shared" si="22"/>
        <v>-7.0720570750563842E-4</v>
      </c>
      <c r="O452">
        <f t="shared" si="21"/>
        <v>-9.2338242676795641E-3</v>
      </c>
    </row>
    <row r="453" spans="1:15" x14ac:dyDescent="0.35">
      <c r="A453" s="2">
        <v>45589</v>
      </c>
      <c r="B453">
        <v>229.2796325683594</v>
      </c>
      <c r="C453">
        <v>887.602783203125</v>
      </c>
      <c r="D453">
        <v>157.54463195800781</v>
      </c>
      <c r="E453">
        <v>219.32679748535159</v>
      </c>
      <c r="F453">
        <v>79.770401000976563</v>
      </c>
      <c r="G453">
        <v>165.25396728515619</v>
      </c>
      <c r="H453">
        <v>5809.85986328125</v>
      </c>
      <c r="I453">
        <f t="shared" si="22"/>
        <v>-8.2369516469049436E-4</v>
      </c>
      <c r="J453">
        <f t="shared" si="22"/>
        <v>-6.4152798890203255E-3</v>
      </c>
      <c r="K453">
        <f t="shared" si="22"/>
        <v>-1.3292002196146407E-2</v>
      </c>
      <c r="L453">
        <f t="shared" si="22"/>
        <v>7.0028535968288102E-3</v>
      </c>
      <c r="M453">
        <f t="shared" si="22"/>
        <v>-2.5631734399328285E-2</v>
      </c>
      <c r="N453">
        <f t="shared" si="22"/>
        <v>2.3576003284026984E-4</v>
      </c>
      <c r="O453">
        <f t="shared" si="21"/>
        <v>2.1434731305568283E-3</v>
      </c>
    </row>
    <row r="454" spans="1:15" x14ac:dyDescent="0.35">
      <c r="A454" s="2">
        <v>45590</v>
      </c>
      <c r="B454">
        <v>230.11492919921881</v>
      </c>
      <c r="C454">
        <v>885.41705322265625</v>
      </c>
      <c r="D454">
        <v>154.85906982421881</v>
      </c>
      <c r="E454">
        <v>216.72389221191409</v>
      </c>
      <c r="F454">
        <v>78.441070556640625</v>
      </c>
      <c r="G454">
        <v>163.8900146484375</v>
      </c>
      <c r="H454">
        <v>5808.1201171875</v>
      </c>
      <c r="I454">
        <f t="shared" si="22"/>
        <v>3.6365147561123481E-3</v>
      </c>
      <c r="J454">
        <f t="shared" si="22"/>
        <v>-2.46554611832683E-3</v>
      </c>
      <c r="K454">
        <f t="shared" si="22"/>
        <v>-1.719331925183883E-2</v>
      </c>
      <c r="L454">
        <f t="shared" si="22"/>
        <v>-1.193868626449004E-2</v>
      </c>
      <c r="M454">
        <f t="shared" si="22"/>
        <v>-1.6804871544245065E-2</v>
      </c>
      <c r="N454">
        <f t="shared" si="22"/>
        <v>-8.2879257652329428E-3</v>
      </c>
      <c r="O454">
        <f t="shared" si="21"/>
        <v>-2.9949201318627087E-4</v>
      </c>
    </row>
    <row r="455" spans="1:15" x14ac:dyDescent="0.35">
      <c r="A455" s="2">
        <v>45593</v>
      </c>
      <c r="B455">
        <v>232.0937805175781</v>
      </c>
      <c r="C455">
        <v>885.15887451171875</v>
      </c>
      <c r="D455">
        <v>155.5521240234375</v>
      </c>
      <c r="E455">
        <v>219.833740234375</v>
      </c>
      <c r="F455">
        <v>79.828208923339844</v>
      </c>
      <c r="G455">
        <v>164.94221496582031</v>
      </c>
      <c r="H455">
        <v>5823.52001953125</v>
      </c>
      <c r="I455">
        <f t="shared" si="22"/>
        <v>8.5626400685589639E-3</v>
      </c>
      <c r="J455">
        <f t="shared" si="22"/>
        <v>-2.9163246684109373E-4</v>
      </c>
      <c r="K455">
        <f t="shared" si="22"/>
        <v>4.4654017932918349E-3</v>
      </c>
      <c r="L455">
        <f t="shared" si="22"/>
        <v>1.4247377190250108E-2</v>
      </c>
      <c r="M455">
        <f t="shared" si="22"/>
        <v>1.7529287940086107E-2</v>
      </c>
      <c r="N455">
        <f t="shared" si="22"/>
        <v>6.3996397781372494E-3</v>
      </c>
      <c r="O455">
        <f t="shared" si="21"/>
        <v>2.6479346267329448E-3</v>
      </c>
    </row>
    <row r="456" spans="1:15" x14ac:dyDescent="0.35">
      <c r="A456" s="2">
        <v>45594</v>
      </c>
      <c r="B456">
        <v>232.36228942871091</v>
      </c>
      <c r="C456">
        <v>881.2147216796875</v>
      </c>
      <c r="D456">
        <v>154.09861755371091</v>
      </c>
      <c r="E456">
        <v>217.299072265625</v>
      </c>
      <c r="F456">
        <v>76.639694213867188</v>
      </c>
      <c r="G456">
        <v>162.86701965332031</v>
      </c>
      <c r="H456">
        <v>5832.919921875</v>
      </c>
      <c r="I456">
        <f t="shared" si="22"/>
        <v>1.1562296562395737E-3</v>
      </c>
      <c r="J456">
        <f t="shared" si="22"/>
        <v>-4.4658269299170036E-3</v>
      </c>
      <c r="K456">
        <f t="shared" si="22"/>
        <v>-9.388106987215138E-3</v>
      </c>
      <c r="L456">
        <f t="shared" si="22"/>
        <v>-1.1596916557963423E-2</v>
      </c>
      <c r="M456">
        <f t="shared" si="22"/>
        <v>-4.076179351889736E-2</v>
      </c>
      <c r="N456">
        <f t="shared" si="22"/>
        <v>-1.2661162745214611E-2</v>
      </c>
      <c r="O456">
        <f t="shared" si="21"/>
        <v>1.6128259449012198E-3</v>
      </c>
    </row>
    <row r="457" spans="1:15" x14ac:dyDescent="0.35">
      <c r="A457" s="2">
        <v>45595</v>
      </c>
      <c r="B457">
        <v>228.812255859375</v>
      </c>
      <c r="C457">
        <v>873.36614990234375</v>
      </c>
      <c r="D457">
        <v>154.59916687011719</v>
      </c>
      <c r="E457">
        <v>218.77113342285159</v>
      </c>
      <c r="F457">
        <v>76.186935424804688</v>
      </c>
      <c r="G457">
        <v>161.8830261230469</v>
      </c>
      <c r="H457">
        <v>5813.669921875</v>
      </c>
      <c r="I457">
        <f t="shared" si="22"/>
        <v>-1.5395922123959786E-2</v>
      </c>
      <c r="J457">
        <f t="shared" si="22"/>
        <v>-8.9464375835242339E-3</v>
      </c>
      <c r="K457">
        <f t="shared" si="22"/>
        <v>3.2429760130983131E-3</v>
      </c>
      <c r="L457">
        <f t="shared" si="22"/>
        <v>6.7515126223114171E-3</v>
      </c>
      <c r="M457">
        <f t="shared" si="22"/>
        <v>-5.9251468769486206E-3</v>
      </c>
      <c r="N457">
        <f t="shared" si="22"/>
        <v>-6.0600240363843831E-3</v>
      </c>
      <c r="O457">
        <f t="shared" si="21"/>
        <v>-3.3056916724881185E-3</v>
      </c>
    </row>
    <row r="458" spans="1:15" x14ac:dyDescent="0.35">
      <c r="A458" s="2">
        <v>45596</v>
      </c>
      <c r="B458">
        <v>224.64570617675781</v>
      </c>
      <c r="C458">
        <v>868.488037109375</v>
      </c>
      <c r="D458">
        <v>153.87724304199219</v>
      </c>
      <c r="E458">
        <v>216.34370422363281</v>
      </c>
      <c r="F458">
        <v>76.341072082519531</v>
      </c>
      <c r="G458">
        <v>160.92826843261719</v>
      </c>
      <c r="H458">
        <v>5705.4501953125</v>
      </c>
      <c r="I458">
        <f t="shared" si="22"/>
        <v>-1.8377301947281943E-2</v>
      </c>
      <c r="J458">
        <f t="shared" si="22"/>
        <v>-5.6010722164382453E-3</v>
      </c>
      <c r="K458">
        <f t="shared" si="22"/>
        <v>-4.6805857622334961E-3</v>
      </c>
      <c r="L458">
        <f t="shared" si="22"/>
        <v>-1.1157764216936768E-2</v>
      </c>
      <c r="M458">
        <f t="shared" si="22"/>
        <v>2.0210938660011803E-3</v>
      </c>
      <c r="N458">
        <f t="shared" si="22"/>
        <v>-5.9152854345103732E-3</v>
      </c>
      <c r="O458">
        <f t="shared" si="21"/>
        <v>-1.8790134928745348E-2</v>
      </c>
    </row>
    <row r="459" spans="1:15" x14ac:dyDescent="0.35">
      <c r="A459" s="2">
        <v>45597</v>
      </c>
      <c r="B459">
        <v>221.66249084472659</v>
      </c>
      <c r="C459">
        <v>872.755859375</v>
      </c>
      <c r="D459">
        <v>154.13713073730469</v>
      </c>
      <c r="E459">
        <v>217.33807373046881</v>
      </c>
      <c r="F459">
        <v>74.510818481445313</v>
      </c>
      <c r="G459">
        <v>160.8503112792969</v>
      </c>
      <c r="H459">
        <v>5728.7998046875</v>
      </c>
      <c r="I459">
        <f t="shared" si="22"/>
        <v>-1.3368608426875303E-2</v>
      </c>
      <c r="J459">
        <f t="shared" si="22"/>
        <v>4.9020482662767125E-3</v>
      </c>
      <c r="K459">
        <f t="shared" si="22"/>
        <v>1.6875040849332775E-3</v>
      </c>
      <c r="L459">
        <f t="shared" si="22"/>
        <v>4.5857183765503212E-3</v>
      </c>
      <c r="M459">
        <f t="shared" si="22"/>
        <v>-2.426676138217888E-2</v>
      </c>
      <c r="N459">
        <f t="shared" si="22"/>
        <v>-4.8453911951071651E-4</v>
      </c>
      <c r="O459">
        <f t="shared" si="21"/>
        <v>4.0841580045254591E-3</v>
      </c>
    </row>
    <row r="460" spans="1:15" x14ac:dyDescent="0.35">
      <c r="A460" s="2">
        <v>45600</v>
      </c>
      <c r="B460">
        <v>220.76751708984381</v>
      </c>
      <c r="C460">
        <v>881.47039794921875</v>
      </c>
      <c r="D460">
        <v>152.31785583496091</v>
      </c>
      <c r="E460">
        <v>214.25746154785159</v>
      </c>
      <c r="F460">
        <v>75.493385314941406</v>
      </c>
      <c r="G460">
        <v>160.83082580566409</v>
      </c>
      <c r="H460">
        <v>5712.68994140625</v>
      </c>
      <c r="I460">
        <f t="shared" si="22"/>
        <v>-4.0457245646438843E-3</v>
      </c>
      <c r="J460">
        <f t="shared" si="22"/>
        <v>9.9355601661382277E-3</v>
      </c>
      <c r="K460">
        <f t="shared" si="22"/>
        <v>-1.187317129283829E-2</v>
      </c>
      <c r="L460">
        <f t="shared" si="22"/>
        <v>-1.4275701431434371E-2</v>
      </c>
      <c r="M460">
        <f t="shared" si="22"/>
        <v>1.3100711335266441E-2</v>
      </c>
      <c r="N460">
        <f t="shared" si="22"/>
        <v>-1.2114775415942444E-4</v>
      </c>
      <c r="O460">
        <f t="shared" si="21"/>
        <v>-2.8160448131902913E-3</v>
      </c>
    </row>
    <row r="461" spans="1:15" x14ac:dyDescent="0.35">
      <c r="A461" s="2">
        <v>45601</v>
      </c>
      <c r="B461">
        <v>222.199462890625</v>
      </c>
      <c r="C461">
        <v>885.549072265625</v>
      </c>
      <c r="D461">
        <v>152.42375183105469</v>
      </c>
      <c r="E461">
        <v>215.92449951171881</v>
      </c>
      <c r="F461">
        <v>75.763099670410156</v>
      </c>
      <c r="G461">
        <v>161.4933166503906</v>
      </c>
      <c r="H461">
        <v>5782.759765625</v>
      </c>
      <c r="I461">
        <f t="shared" si="22"/>
        <v>6.4652710175059896E-3</v>
      </c>
      <c r="J461">
        <f t="shared" si="22"/>
        <v>4.6164534446377411E-3</v>
      </c>
      <c r="K461">
        <f t="shared" si="22"/>
        <v>6.949887884835095E-4</v>
      </c>
      <c r="L461">
        <f t="shared" si="22"/>
        <v>7.7504240509677566E-3</v>
      </c>
      <c r="M461">
        <f t="shared" si="22"/>
        <v>3.5663216867916243E-3</v>
      </c>
      <c r="N461">
        <f t="shared" si="22"/>
        <v>4.1107176929142631E-3</v>
      </c>
      <c r="O461">
        <f t="shared" si="21"/>
        <v>1.2191031029563081E-2</v>
      </c>
    </row>
    <row r="462" spans="1:15" x14ac:dyDescent="0.35">
      <c r="A462" s="2">
        <v>45602</v>
      </c>
      <c r="B462">
        <v>221.47357177734381</v>
      </c>
      <c r="C462">
        <v>894.5819091796875</v>
      </c>
      <c r="D462">
        <v>151.97132873535159</v>
      </c>
      <c r="E462">
        <v>240.85198974609381</v>
      </c>
      <c r="F462">
        <v>71.784683227539063</v>
      </c>
      <c r="G462">
        <v>156.9045715332031</v>
      </c>
      <c r="H462">
        <v>5929.0400390625</v>
      </c>
      <c r="I462">
        <f t="shared" si="22"/>
        <v>-3.2721923770524216E-3</v>
      </c>
      <c r="J462">
        <f t="shared" si="22"/>
        <v>1.0148595283610949E-2</v>
      </c>
      <c r="K462">
        <f t="shared" si="22"/>
        <v>-2.9726067057991353E-3</v>
      </c>
      <c r="L462">
        <f t="shared" si="22"/>
        <v>0.10925378710841459</v>
      </c>
      <c r="M462">
        <f t="shared" si="22"/>
        <v>-5.3940234605696344E-2</v>
      </c>
      <c r="N462">
        <f t="shared" si="22"/>
        <v>-2.8825962917944314E-2</v>
      </c>
      <c r="O462">
        <f t="shared" si="21"/>
        <v>2.4981280957186654E-2</v>
      </c>
    </row>
    <row r="463" spans="1:15" x14ac:dyDescent="0.35">
      <c r="A463" s="2">
        <v>45603</v>
      </c>
      <c r="B463">
        <v>226.20692443847659</v>
      </c>
      <c r="C463">
        <v>909.18572998046875</v>
      </c>
      <c r="D463">
        <v>150.8643493652344</v>
      </c>
      <c r="E463">
        <v>230.44035339355469</v>
      </c>
      <c r="F463">
        <v>71.881027221679688</v>
      </c>
      <c r="G463">
        <v>159.2038269042969</v>
      </c>
      <c r="H463">
        <v>5973.10009765625</v>
      </c>
      <c r="I463">
        <f t="shared" si="22"/>
        <v>2.1146907639858999E-2</v>
      </c>
      <c r="J463">
        <f t="shared" si="22"/>
        <v>1.6192928167802895E-2</v>
      </c>
      <c r="K463">
        <f t="shared" si="22"/>
        <v>-7.3107918294980853E-3</v>
      </c>
      <c r="L463">
        <f t="shared" si="22"/>
        <v>-4.4190535968926407E-2</v>
      </c>
      <c r="M463">
        <f t="shared" si="22"/>
        <v>1.3412248236827878E-3</v>
      </c>
      <c r="N463">
        <f t="shared" si="22"/>
        <v>1.4547515546189181E-2</v>
      </c>
      <c r="O463">
        <f t="shared" si="21"/>
        <v>7.4037541739956567E-3</v>
      </c>
    </row>
    <row r="464" spans="1:15" x14ac:dyDescent="0.35">
      <c r="A464" s="2">
        <v>45604</v>
      </c>
      <c r="B464">
        <v>225.93812561035159</v>
      </c>
      <c r="C464">
        <v>938.90069580078125</v>
      </c>
      <c r="D464">
        <v>149.65153503417969</v>
      </c>
      <c r="E464">
        <v>231.0252685546875</v>
      </c>
      <c r="F464">
        <v>74.144767761230469</v>
      </c>
      <c r="G464">
        <v>163.39314270019531</v>
      </c>
      <c r="H464">
        <v>5995.5400390625</v>
      </c>
      <c r="I464">
        <f t="shared" si="22"/>
        <v>-1.188993929106832E-3</v>
      </c>
      <c r="J464">
        <f t="shared" si="22"/>
        <v>3.2160321627896137E-2</v>
      </c>
      <c r="K464">
        <f t="shared" si="22"/>
        <v>-8.0715927419553433E-3</v>
      </c>
      <c r="L464">
        <f t="shared" si="22"/>
        <v>2.5350337990715263E-3</v>
      </c>
      <c r="M464">
        <f t="shared" si="22"/>
        <v>3.1007150598847198E-2</v>
      </c>
      <c r="N464">
        <f t="shared" si="22"/>
        <v>2.59739037412773E-2</v>
      </c>
      <c r="O464">
        <f t="shared" si="21"/>
        <v>3.7497940357180464E-3</v>
      </c>
    </row>
    <row r="465" spans="1:15" x14ac:dyDescent="0.35">
      <c r="A465" s="2">
        <v>45607</v>
      </c>
      <c r="B465">
        <v>223.2204284667969</v>
      </c>
      <c r="C465">
        <v>928.03741455078125</v>
      </c>
      <c r="D465">
        <v>149.23760986328119</v>
      </c>
      <c r="E465">
        <v>233.27723693847659</v>
      </c>
      <c r="F465">
        <v>73.123680114746094</v>
      </c>
      <c r="G465">
        <v>161.7563781738281</v>
      </c>
      <c r="H465">
        <v>6001.35009765625</v>
      </c>
      <c r="I465">
        <f t="shared" si="22"/>
        <v>-1.2101429594558958E-2</v>
      </c>
      <c r="J465">
        <f t="shared" si="22"/>
        <v>-1.163766896771146E-2</v>
      </c>
      <c r="K465">
        <f t="shared" si="22"/>
        <v>-2.7697589061763499E-3</v>
      </c>
      <c r="L465">
        <f t="shared" si="22"/>
        <v>9.7005121285862993E-3</v>
      </c>
      <c r="M465">
        <f t="shared" si="22"/>
        <v>-1.3867247521594354E-2</v>
      </c>
      <c r="N465">
        <f t="shared" si="22"/>
        <v>-1.006785030694821E-2</v>
      </c>
      <c r="O465">
        <f t="shared" si="21"/>
        <v>9.6859419095692381E-4</v>
      </c>
    </row>
    <row r="466" spans="1:15" x14ac:dyDescent="0.35">
      <c r="A466" s="2">
        <v>45608</v>
      </c>
      <c r="B466">
        <v>223.2204284667969</v>
      </c>
      <c r="C466">
        <v>927.53997802734375</v>
      </c>
      <c r="D466">
        <v>146.92742919921881</v>
      </c>
      <c r="E466">
        <v>233.54046630859381</v>
      </c>
      <c r="F466">
        <v>71.53424072265625</v>
      </c>
      <c r="G466">
        <v>161.5712585449219</v>
      </c>
      <c r="H466">
        <v>5983.990234375</v>
      </c>
      <c r="I466">
        <f t="shared" si="22"/>
        <v>0</v>
      </c>
      <c r="J466">
        <f t="shared" si="22"/>
        <v>-5.361528302114531E-4</v>
      </c>
      <c r="K466">
        <f t="shared" si="22"/>
        <v>-1.5600946872977757E-2</v>
      </c>
      <c r="L466">
        <f t="shared" si="22"/>
        <v>1.1277609918612093E-3</v>
      </c>
      <c r="M466">
        <f t="shared" si="22"/>
        <v>-2.1976029382132244E-2</v>
      </c>
      <c r="N466">
        <f t="shared" si="22"/>
        <v>-1.1450901692954311E-3</v>
      </c>
      <c r="O466">
        <f t="shared" si="21"/>
        <v>-2.8968514769364996E-3</v>
      </c>
    </row>
    <row r="467" spans="1:15" x14ac:dyDescent="0.35">
      <c r="A467" s="2">
        <v>45609</v>
      </c>
      <c r="B467">
        <v>224.1064147949219</v>
      </c>
      <c r="C467">
        <v>928.8829345703125</v>
      </c>
      <c r="D467">
        <v>147.5050048828125</v>
      </c>
      <c r="E467">
        <v>235.10026550292969</v>
      </c>
      <c r="F467">
        <v>71.514976501464844</v>
      </c>
      <c r="G467">
        <v>162.29222106933591</v>
      </c>
      <c r="H467">
        <v>5985.3798828125</v>
      </c>
      <c r="I467">
        <f t="shared" si="22"/>
        <v>3.9612533878111301E-3</v>
      </c>
      <c r="J467">
        <f t="shared" si="22"/>
        <v>1.4468220232818701E-3</v>
      </c>
      <c r="K467">
        <f t="shared" si="22"/>
        <v>3.9233206508158839E-3</v>
      </c>
      <c r="L467">
        <f t="shared" si="22"/>
        <v>6.656719522051156E-3</v>
      </c>
      <c r="M467">
        <f t="shared" si="22"/>
        <v>-2.6933696921505724E-4</v>
      </c>
      <c r="N467">
        <f t="shared" si="22"/>
        <v>4.452269309429018E-3</v>
      </c>
      <c r="O467">
        <f t="shared" si="21"/>
        <v>2.3220076414018386E-4</v>
      </c>
    </row>
    <row r="468" spans="1:15" x14ac:dyDescent="0.35">
      <c r="A468" s="2">
        <v>45610</v>
      </c>
      <c r="B468">
        <v>227.19245910644531</v>
      </c>
      <c r="C468">
        <v>919.093994140625</v>
      </c>
      <c r="D468">
        <v>146.1862487792969</v>
      </c>
      <c r="E468">
        <v>235.79240417480469</v>
      </c>
      <c r="F468">
        <v>72.516792297363281</v>
      </c>
      <c r="G468">
        <v>162.77934265136719</v>
      </c>
      <c r="H468">
        <v>5949.169921875</v>
      </c>
      <c r="I468">
        <f t="shared" si="22"/>
        <v>1.3676490647910995E-2</v>
      </c>
      <c r="J468">
        <f t="shared" si="22"/>
        <v>-1.059432272815394E-2</v>
      </c>
      <c r="K468">
        <f t="shared" si="22"/>
        <v>-8.9806213182790813E-3</v>
      </c>
      <c r="L468">
        <f t="shared" si="22"/>
        <v>2.9396897207632834E-3</v>
      </c>
      <c r="M468">
        <f t="shared" si="22"/>
        <v>1.3911263611110313E-2</v>
      </c>
      <c r="N468">
        <f t="shared" si="22"/>
        <v>2.9970135872231709E-3</v>
      </c>
      <c r="O468">
        <f t="shared" si="21"/>
        <v>-6.0681085822440004E-3</v>
      </c>
    </row>
    <row r="469" spans="1:15" x14ac:dyDescent="0.35">
      <c r="A469" s="2">
        <v>45611</v>
      </c>
      <c r="B469">
        <v>223.98695373535159</v>
      </c>
      <c r="C469">
        <v>902.361328125</v>
      </c>
      <c r="D469">
        <v>148.23655700683591</v>
      </c>
      <c r="E469">
        <v>239.1459655761719</v>
      </c>
      <c r="F469">
        <v>73.547531127929688</v>
      </c>
      <c r="G469">
        <v>165.17604064941409</v>
      </c>
      <c r="H469">
        <v>5870.6201171875</v>
      </c>
      <c r="I469">
        <f t="shared" si="22"/>
        <v>-1.4209687837560925E-2</v>
      </c>
      <c r="J469">
        <f t="shared" si="22"/>
        <v>-1.8373370488145694E-2</v>
      </c>
      <c r="K469">
        <f t="shared" si="22"/>
        <v>1.3927870608685484E-2</v>
      </c>
      <c r="L469">
        <f t="shared" si="22"/>
        <v>1.4122325552062229E-2</v>
      </c>
      <c r="M469">
        <f t="shared" si="22"/>
        <v>1.4113726286718654E-2</v>
      </c>
      <c r="N469">
        <f t="shared" si="22"/>
        <v>1.4616260553503773E-2</v>
      </c>
      <c r="O469">
        <f t="shared" si="21"/>
        <v>-1.3291430866793769E-2</v>
      </c>
    </row>
    <row r="470" spans="1:15" x14ac:dyDescent="0.35">
      <c r="A470" s="2">
        <v>45614</v>
      </c>
      <c r="B470">
        <v>226.9933776855469</v>
      </c>
      <c r="C470">
        <v>914.7366943359375</v>
      </c>
      <c r="D470">
        <v>148.97772216796881</v>
      </c>
      <c r="E470">
        <v>238.87300109863281</v>
      </c>
      <c r="F470">
        <v>73.5860595703125</v>
      </c>
      <c r="G470">
        <v>166.3548889160156</v>
      </c>
      <c r="H470">
        <v>5893.6201171875</v>
      </c>
      <c r="I470">
        <f t="shared" si="22"/>
        <v>1.3333035958434261E-2</v>
      </c>
      <c r="J470">
        <f t="shared" si="22"/>
        <v>1.3621232755832442E-2</v>
      </c>
      <c r="K470">
        <f t="shared" si="22"/>
        <v>4.9874232121417733E-3</v>
      </c>
      <c r="L470">
        <f t="shared" ref="L470:O533" si="23">LN(E470/E469)</f>
        <v>-1.1420655925315154E-3</v>
      </c>
      <c r="M470">
        <f t="shared" si="23"/>
        <v>5.237205600789475E-4</v>
      </c>
      <c r="N470">
        <f t="shared" si="23"/>
        <v>7.1115731883301227E-3</v>
      </c>
      <c r="O470">
        <f t="shared" si="21"/>
        <v>3.9101597462065374E-3</v>
      </c>
    </row>
    <row r="471" spans="1:15" x14ac:dyDescent="0.35">
      <c r="A471" s="2">
        <v>45615</v>
      </c>
      <c r="B471">
        <v>227.25218200683591</v>
      </c>
      <c r="C471">
        <v>925.32159423828125</v>
      </c>
      <c r="D471">
        <v>147.2739562988281</v>
      </c>
      <c r="E471">
        <v>236.98173522949219</v>
      </c>
      <c r="F471">
        <v>74.250732421875</v>
      </c>
      <c r="G471">
        <v>166.3646240234375</v>
      </c>
      <c r="H471">
        <v>5916.97998046875</v>
      </c>
      <c r="I471">
        <f t="shared" ref="I471:O534" si="24">LN(B471/B470)</f>
        <v>1.1394909373147902E-3</v>
      </c>
      <c r="J471">
        <f t="shared" si="24"/>
        <v>1.1505088426259689E-2</v>
      </c>
      <c r="K471">
        <f t="shared" si="24"/>
        <v>-1.1502278483469772E-2</v>
      </c>
      <c r="L471">
        <f t="shared" si="23"/>
        <v>-7.9489629216940652E-3</v>
      </c>
      <c r="M471">
        <f t="shared" si="23"/>
        <v>8.9920421190249639E-3</v>
      </c>
      <c r="N471">
        <f t="shared" si="23"/>
        <v>5.8518403917285433E-5</v>
      </c>
      <c r="O471">
        <f t="shared" si="21"/>
        <v>3.955750520596487E-3</v>
      </c>
    </row>
    <row r="472" spans="1:15" x14ac:dyDescent="0.35">
      <c r="A472" s="2">
        <v>45616</v>
      </c>
      <c r="B472">
        <v>227.9689636230469</v>
      </c>
      <c r="C472">
        <v>923.26226806640625</v>
      </c>
      <c r="D472">
        <v>147.3798522949219</v>
      </c>
      <c r="E472">
        <v>234.72978210449219</v>
      </c>
      <c r="F472">
        <v>74.058067321777344</v>
      </c>
      <c r="G472">
        <v>166.49128723144531</v>
      </c>
      <c r="H472">
        <v>5917.10986328125</v>
      </c>
      <c r="I472">
        <f t="shared" si="24"/>
        <v>3.1491604265965587E-3</v>
      </c>
      <c r="J472">
        <f t="shared" si="24"/>
        <v>-2.2280049780193942E-3</v>
      </c>
      <c r="K472">
        <f t="shared" si="24"/>
        <v>7.1878250044322273E-4</v>
      </c>
      <c r="L472">
        <f t="shared" si="23"/>
        <v>-9.5480824642236693E-3</v>
      </c>
      <c r="M472">
        <f t="shared" si="23"/>
        <v>-2.5981628711446488E-3</v>
      </c>
      <c r="N472">
        <f t="shared" si="23"/>
        <v>7.6106933864662036E-4</v>
      </c>
      <c r="O472">
        <f t="shared" si="21"/>
        <v>2.19506213354446E-5</v>
      </c>
    </row>
    <row r="473" spans="1:15" x14ac:dyDescent="0.35">
      <c r="A473" s="2">
        <v>45617</v>
      </c>
      <c r="B473">
        <v>227.49113464355469</v>
      </c>
      <c r="C473">
        <v>950.689208984375</v>
      </c>
      <c r="D473">
        <v>149.6803894042969</v>
      </c>
      <c r="E473">
        <v>238.6097717285156</v>
      </c>
      <c r="F473">
        <v>74.520454406738281</v>
      </c>
      <c r="G473">
        <v>168.30340576171881</v>
      </c>
      <c r="H473">
        <v>5948.7099609375</v>
      </c>
      <c r="I473">
        <f t="shared" si="24"/>
        <v>-2.0982261963951201E-3</v>
      </c>
      <c r="J473">
        <f t="shared" si="24"/>
        <v>2.9273863142171959E-2</v>
      </c>
      <c r="K473">
        <f t="shared" si="24"/>
        <v>1.5489000408493278E-2</v>
      </c>
      <c r="L473">
        <f t="shared" si="23"/>
        <v>1.6394474102664112E-2</v>
      </c>
      <c r="M473">
        <f t="shared" si="23"/>
        <v>6.2241644664240816E-3</v>
      </c>
      <c r="N473">
        <f t="shared" si="23"/>
        <v>1.0825358136000491E-2</v>
      </c>
      <c r="O473">
        <f t="shared" si="21"/>
        <v>5.3262518442884913E-3</v>
      </c>
    </row>
    <row r="474" spans="1:15" x14ac:dyDescent="0.35">
      <c r="A474" s="2">
        <v>45618</v>
      </c>
      <c r="B474">
        <v>228.83502197265619</v>
      </c>
      <c r="C474">
        <v>959.00579833984375</v>
      </c>
      <c r="D474">
        <v>149.36274719238281</v>
      </c>
      <c r="E474">
        <v>242.3045654296875</v>
      </c>
      <c r="F474">
        <v>73.701011657714844</v>
      </c>
      <c r="G474">
        <v>171.74253845214841</v>
      </c>
      <c r="H474">
        <v>5969.33984375</v>
      </c>
      <c r="I474">
        <f t="shared" si="24"/>
        <v>5.8900468222810318E-3</v>
      </c>
      <c r="J474">
        <f t="shared" si="24"/>
        <v>8.7099164003083956E-3</v>
      </c>
      <c r="K474">
        <f t="shared" si="24"/>
        <v>-2.1243913837317172E-3</v>
      </c>
      <c r="L474">
        <f t="shared" si="23"/>
        <v>1.5366006437418261E-2</v>
      </c>
      <c r="M474">
        <f t="shared" si="23"/>
        <v>-1.1057117697052614E-2</v>
      </c>
      <c r="N474">
        <f t="shared" si="23"/>
        <v>2.0228148673851653E-2</v>
      </c>
      <c r="O474">
        <f t="shared" si="21"/>
        <v>3.4619595915364653E-3</v>
      </c>
    </row>
    <row r="475" spans="1:15" x14ac:dyDescent="0.35">
      <c r="A475" s="2">
        <v>45621</v>
      </c>
      <c r="B475">
        <v>231.82151794433591</v>
      </c>
      <c r="C475">
        <v>955.9019775390625</v>
      </c>
      <c r="D475">
        <v>149.9499206542969</v>
      </c>
      <c r="E475">
        <v>244.0008239746094</v>
      </c>
      <c r="F475">
        <v>74.3216552734375</v>
      </c>
      <c r="G475">
        <v>172.82395935058591</v>
      </c>
      <c r="H475">
        <v>5987.3701171875</v>
      </c>
      <c r="I475">
        <f t="shared" si="24"/>
        <v>1.2966440528748457E-2</v>
      </c>
      <c r="J475">
        <f t="shared" si="24"/>
        <v>-3.2417472611785815E-3</v>
      </c>
      <c r="K475">
        <f t="shared" si="24"/>
        <v>3.9234838897427259E-3</v>
      </c>
      <c r="L475">
        <f t="shared" si="23"/>
        <v>6.9761325336361512E-3</v>
      </c>
      <c r="M475">
        <f t="shared" si="23"/>
        <v>8.3858407050437511E-3</v>
      </c>
      <c r="N475">
        <f t="shared" si="23"/>
        <v>6.2770144867748531E-3</v>
      </c>
      <c r="O475">
        <f t="shared" si="21"/>
        <v>3.0159278201245415E-3</v>
      </c>
    </row>
    <row r="476" spans="1:15" x14ac:dyDescent="0.35">
      <c r="A476" s="2">
        <v>45622</v>
      </c>
      <c r="B476">
        <v>234.0016784667969</v>
      </c>
      <c r="C476">
        <v>966.45684814453125</v>
      </c>
      <c r="D476">
        <v>149.93052673339841</v>
      </c>
      <c r="E476">
        <v>243.68885803222659</v>
      </c>
      <c r="F476">
        <v>75.145942687988281</v>
      </c>
      <c r="G476">
        <v>174.6945495605469</v>
      </c>
      <c r="H476">
        <v>6021.6298828125</v>
      </c>
      <c r="I476">
        <f t="shared" si="24"/>
        <v>9.360531884026144E-3</v>
      </c>
      <c r="J476">
        <f t="shared" si="24"/>
        <v>1.0981276263835655E-2</v>
      </c>
      <c r="K476">
        <f t="shared" si="24"/>
        <v>-1.2934435102034177E-4</v>
      </c>
      <c r="L476">
        <f t="shared" si="23"/>
        <v>-1.2793626621355506E-3</v>
      </c>
      <c r="M476">
        <f t="shared" si="23"/>
        <v>1.1029758721931834E-2</v>
      </c>
      <c r="N476">
        <f t="shared" si="23"/>
        <v>1.0765517393616282E-2</v>
      </c>
      <c r="O476">
        <f t="shared" si="21"/>
        <v>5.705697155263866E-3</v>
      </c>
    </row>
    <row r="477" spans="1:15" x14ac:dyDescent="0.35">
      <c r="A477" s="2">
        <v>45623</v>
      </c>
      <c r="B477">
        <v>233.87223815917969</v>
      </c>
      <c r="C477">
        <v>956.55853271484375</v>
      </c>
      <c r="D477">
        <v>150.78437805175781</v>
      </c>
      <c r="E477">
        <v>243.51338195800781</v>
      </c>
      <c r="F477">
        <v>76.144775390625</v>
      </c>
      <c r="G477">
        <v>174.7432556152344</v>
      </c>
      <c r="H477">
        <v>5998.740234375</v>
      </c>
      <c r="I477">
        <f t="shared" si="24"/>
        <v>-5.5331278927908624E-4</v>
      </c>
      <c r="J477">
        <f t="shared" si="24"/>
        <v>-1.0294668411747247E-2</v>
      </c>
      <c r="K477">
        <f t="shared" si="24"/>
        <v>5.6788246902893984E-3</v>
      </c>
      <c r="L477">
        <f t="shared" si="23"/>
        <v>-7.2034185150732992E-4</v>
      </c>
      <c r="M477">
        <f t="shared" si="23"/>
        <v>1.3204342313582997E-2</v>
      </c>
      <c r="N477">
        <f t="shared" si="23"/>
        <v>2.7876809138271849E-4</v>
      </c>
      <c r="O477">
        <f t="shared" si="21"/>
        <v>-3.8084810835777119E-3</v>
      </c>
    </row>
    <row r="478" spans="1:15" x14ac:dyDescent="0.35">
      <c r="A478" s="2">
        <v>45625</v>
      </c>
      <c r="B478">
        <v>236.2614440917969</v>
      </c>
      <c r="C478">
        <v>966.8349609375</v>
      </c>
      <c r="D478">
        <v>150.40596008300781</v>
      </c>
      <c r="E478">
        <v>243.4451599121094</v>
      </c>
      <c r="F478">
        <v>76.290245056152344</v>
      </c>
      <c r="G478">
        <v>174.64582824707031</v>
      </c>
      <c r="H478">
        <v>6032.3798828125</v>
      </c>
      <c r="I478">
        <f t="shared" si="24"/>
        <v>1.0164030323116146E-2</v>
      </c>
      <c r="J478">
        <f t="shared" si="24"/>
        <v>1.0685827983223935E-2</v>
      </c>
      <c r="K478">
        <f t="shared" si="24"/>
        <v>-2.51281744435975E-3</v>
      </c>
      <c r="L478">
        <f t="shared" si="23"/>
        <v>-2.8019652795395391E-4</v>
      </c>
      <c r="M478">
        <f t="shared" si="23"/>
        <v>1.9086127224669314E-3</v>
      </c>
      <c r="N478">
        <f t="shared" si="23"/>
        <v>-5.5770128598367724E-4</v>
      </c>
      <c r="O478">
        <f t="shared" si="21"/>
        <v>5.5921203968016227E-3</v>
      </c>
    </row>
    <row r="479" spans="1:15" x14ac:dyDescent="0.35">
      <c r="A479" s="2">
        <v>45628</v>
      </c>
      <c r="B479">
        <v>238.51127624511719</v>
      </c>
      <c r="C479">
        <v>969.938720703125</v>
      </c>
      <c r="D479">
        <v>150.20220947265619</v>
      </c>
      <c r="E479">
        <v>240.0623474121094</v>
      </c>
      <c r="F479">
        <v>74.7386474609375</v>
      </c>
      <c r="G479">
        <v>175.0744934082031</v>
      </c>
      <c r="H479">
        <v>6047.14990234375</v>
      </c>
      <c r="I479">
        <f t="shared" si="24"/>
        <v>9.4775832636369035E-3</v>
      </c>
      <c r="J479">
        <f t="shared" si="24"/>
        <v>3.2050852941801554E-3</v>
      </c>
      <c r="K479">
        <f t="shared" si="24"/>
        <v>-1.3555895161078224E-3</v>
      </c>
      <c r="L479">
        <f t="shared" si="23"/>
        <v>-1.3993030702454287E-2</v>
      </c>
      <c r="M479">
        <f t="shared" si="23"/>
        <v>-2.054775295850246E-2</v>
      </c>
      <c r="N479">
        <f t="shared" si="23"/>
        <v>2.4514753605625757E-3</v>
      </c>
      <c r="O479">
        <f t="shared" si="21"/>
        <v>2.4454638805813736E-3</v>
      </c>
    </row>
    <row r="480" spans="1:15" x14ac:dyDescent="0.35">
      <c r="A480" s="2">
        <v>45629</v>
      </c>
      <c r="B480">
        <v>241.5574951171875</v>
      </c>
      <c r="C480">
        <v>977.0516357421875</v>
      </c>
      <c r="D480">
        <v>147.83467102050781</v>
      </c>
      <c r="E480">
        <v>238.66827392578119</v>
      </c>
      <c r="F480">
        <v>73.98223876953125</v>
      </c>
      <c r="G480">
        <v>170.9046630859375</v>
      </c>
      <c r="H480">
        <v>6049.8798828125</v>
      </c>
      <c r="I480">
        <f t="shared" si="24"/>
        <v>1.2690930712197498E-2</v>
      </c>
      <c r="J480">
        <f t="shared" si="24"/>
        <v>7.3066069998355323E-3</v>
      </c>
      <c r="K480">
        <f t="shared" si="24"/>
        <v>-1.5887887768618544E-2</v>
      </c>
      <c r="L480">
        <f t="shared" si="23"/>
        <v>-5.8240578928101692E-3</v>
      </c>
      <c r="M480">
        <f t="shared" si="23"/>
        <v>-1.0172279536970951E-2</v>
      </c>
      <c r="N480">
        <f t="shared" si="23"/>
        <v>-2.4105684753106277E-2</v>
      </c>
      <c r="O480">
        <f t="shared" si="21"/>
        <v>4.5134724202218132E-4</v>
      </c>
    </row>
    <row r="481" spans="1:15" x14ac:dyDescent="0.35">
      <c r="A481" s="2">
        <v>45630</v>
      </c>
      <c r="B481">
        <v>241.91587829589841</v>
      </c>
      <c r="C481">
        <v>985.77606201171875</v>
      </c>
      <c r="D481">
        <v>146.0008239746094</v>
      </c>
      <c r="E481">
        <v>237.28395080566409</v>
      </c>
      <c r="F481">
        <v>73.448883056640625</v>
      </c>
      <c r="G481">
        <v>170.60264587402341</v>
      </c>
      <c r="H481">
        <v>6086.490234375</v>
      </c>
      <c r="I481">
        <f t="shared" si="24"/>
        <v>1.4825356020006239E-3</v>
      </c>
      <c r="J481">
        <f t="shared" si="24"/>
        <v>8.889709203537639E-3</v>
      </c>
      <c r="K481">
        <f t="shared" si="24"/>
        <v>-1.2482296303205005E-2</v>
      </c>
      <c r="L481">
        <f t="shared" si="23"/>
        <v>-5.8170839500128182E-3</v>
      </c>
      <c r="M481">
        <f t="shared" si="23"/>
        <v>-7.2353521164409381E-3</v>
      </c>
      <c r="N481">
        <f t="shared" si="23"/>
        <v>-1.7687310504129234E-3</v>
      </c>
      <c r="O481">
        <f t="shared" si="21"/>
        <v>6.0331816281361198E-3</v>
      </c>
    </row>
    <row r="482" spans="1:15" x14ac:dyDescent="0.35">
      <c r="A482" s="2">
        <v>45631</v>
      </c>
      <c r="B482">
        <v>241.94572448730469</v>
      </c>
      <c r="C482">
        <v>977.16107177734375</v>
      </c>
      <c r="D482">
        <v>145.07902526855469</v>
      </c>
      <c r="E482">
        <v>239.3116760253906</v>
      </c>
      <c r="F482">
        <v>73.89495849609375</v>
      </c>
      <c r="G482">
        <v>171.49897766113281</v>
      </c>
      <c r="H482">
        <v>6075.10986328125</v>
      </c>
      <c r="I482">
        <f t="shared" si="24"/>
        <v>1.2336664563769673E-4</v>
      </c>
      <c r="J482">
        <f t="shared" si="24"/>
        <v>-8.7777090769909482E-3</v>
      </c>
      <c r="K482">
        <f t="shared" si="24"/>
        <v>-6.333669541014963E-3</v>
      </c>
      <c r="L482">
        <f t="shared" si="23"/>
        <v>8.509257495280283E-3</v>
      </c>
      <c r="M482">
        <f t="shared" si="23"/>
        <v>6.0549093546572712E-3</v>
      </c>
      <c r="N482">
        <f t="shared" si="23"/>
        <v>5.2401612649420415E-3</v>
      </c>
      <c r="O482">
        <f t="shared" si="21"/>
        <v>-1.8715258393823342E-3</v>
      </c>
    </row>
    <row r="483" spans="1:15" x14ac:dyDescent="0.35">
      <c r="A483" s="2">
        <v>45632</v>
      </c>
      <c r="B483">
        <v>241.74664306640619</v>
      </c>
      <c r="C483">
        <v>987.457275390625</v>
      </c>
      <c r="D483">
        <v>144.87525939941409</v>
      </c>
      <c r="E483">
        <v>241.1444396972656</v>
      </c>
      <c r="F483">
        <v>72.964004516601563</v>
      </c>
      <c r="G483">
        <v>169.34587097167969</v>
      </c>
      <c r="H483">
        <v>6090.27001953125</v>
      </c>
      <c r="I483">
        <f t="shared" si="24"/>
        <v>-8.2317375875520609E-4</v>
      </c>
      <c r="J483">
        <f t="shared" si="24"/>
        <v>1.0481728316731238E-2</v>
      </c>
      <c r="K483">
        <f t="shared" si="24"/>
        <v>-1.4055036497762148E-3</v>
      </c>
      <c r="L483">
        <f t="shared" si="23"/>
        <v>7.629302663655301E-3</v>
      </c>
      <c r="M483">
        <f t="shared" si="23"/>
        <v>-1.2678374279382152E-2</v>
      </c>
      <c r="N483">
        <f t="shared" si="23"/>
        <v>-1.2634108087854697E-2</v>
      </c>
      <c r="O483">
        <f t="shared" si="21"/>
        <v>2.4923453675383123E-3</v>
      </c>
    </row>
    <row r="484" spans="1:15" x14ac:dyDescent="0.35">
      <c r="A484" s="2">
        <v>45635</v>
      </c>
      <c r="B484">
        <v>245.63902282714841</v>
      </c>
      <c r="C484">
        <v>982.73199462890625</v>
      </c>
      <c r="D484">
        <v>145.1566467285156</v>
      </c>
      <c r="E484">
        <v>237.68365478515619</v>
      </c>
      <c r="F484">
        <v>72.440338134765625</v>
      </c>
      <c r="G484">
        <v>166.39385986328119</v>
      </c>
      <c r="H484">
        <v>6052.85009765625</v>
      </c>
      <c r="I484">
        <f t="shared" si="24"/>
        <v>1.5972823118797299E-2</v>
      </c>
      <c r="J484">
        <f t="shared" si="24"/>
        <v>-4.79678769346693E-3</v>
      </c>
      <c r="K484">
        <f t="shared" si="24"/>
        <v>1.9403893947119522E-3</v>
      </c>
      <c r="L484">
        <f t="shared" si="23"/>
        <v>-1.4455480853557547E-2</v>
      </c>
      <c r="M484">
        <f t="shared" si="23"/>
        <v>-7.2029299313278849E-3</v>
      </c>
      <c r="N484">
        <f t="shared" si="23"/>
        <v>-1.7585569494594094E-2</v>
      </c>
      <c r="O484">
        <f t="shared" si="21"/>
        <v>-6.1631672852274621E-3</v>
      </c>
    </row>
    <row r="485" spans="1:15" x14ac:dyDescent="0.35">
      <c r="A485" s="2">
        <v>45636</v>
      </c>
      <c r="B485">
        <v>246.65443420410159</v>
      </c>
      <c r="C485">
        <v>988.2431640625</v>
      </c>
      <c r="D485">
        <v>144.7976379394531</v>
      </c>
      <c r="E485">
        <v>236.75752258300781</v>
      </c>
      <c r="F485">
        <v>71.89727783203125</v>
      </c>
      <c r="G485">
        <v>167.8454895019531</v>
      </c>
      <c r="H485">
        <v>6034.91015625</v>
      </c>
      <c r="I485">
        <f t="shared" si="24"/>
        <v>4.1252338516178898E-3</v>
      </c>
      <c r="J485">
        <f t="shared" si="24"/>
        <v>5.5923422194780591E-3</v>
      </c>
      <c r="K485">
        <f t="shared" si="24"/>
        <v>-2.4763143123133369E-3</v>
      </c>
      <c r="L485">
        <f t="shared" si="23"/>
        <v>-3.9041020158865009E-3</v>
      </c>
      <c r="M485">
        <f t="shared" si="23"/>
        <v>-7.5248972572886435E-3</v>
      </c>
      <c r="N485">
        <f t="shared" si="23"/>
        <v>8.6862230230853633E-3</v>
      </c>
      <c r="O485">
        <f t="shared" si="21"/>
        <v>-2.9682843142792522E-3</v>
      </c>
    </row>
    <row r="486" spans="1:15" x14ac:dyDescent="0.35">
      <c r="A486" s="2">
        <v>45637</v>
      </c>
      <c r="B486">
        <v>245.3802185058594</v>
      </c>
      <c r="C486">
        <v>989.52655029296875</v>
      </c>
      <c r="D486">
        <v>142.2845764160156</v>
      </c>
      <c r="E486">
        <v>237.41070556640619</v>
      </c>
      <c r="F486">
        <v>71.742118835449219</v>
      </c>
      <c r="G486">
        <v>166.23797607421881</v>
      </c>
      <c r="H486">
        <v>6084.18994140625</v>
      </c>
      <c r="I486">
        <f t="shared" si="24"/>
        <v>-5.1793853938362118E-3</v>
      </c>
      <c r="J486">
        <f t="shared" si="24"/>
        <v>1.2978117738267696E-3</v>
      </c>
      <c r="K486">
        <f t="shared" si="24"/>
        <v>-1.7508055824614253E-2</v>
      </c>
      <c r="L486">
        <f t="shared" si="23"/>
        <v>2.7550702800490596E-3</v>
      </c>
      <c r="M486">
        <f t="shared" si="23"/>
        <v>-2.1603969458212969E-3</v>
      </c>
      <c r="N486">
        <f t="shared" si="23"/>
        <v>-9.6234983144586877E-3</v>
      </c>
      <c r="O486">
        <f t="shared" si="21"/>
        <v>8.1326264113682351E-3</v>
      </c>
    </row>
    <row r="487" spans="1:15" x14ac:dyDescent="0.35">
      <c r="A487" s="2">
        <v>45638</v>
      </c>
      <c r="B487">
        <v>246.8435974121094</v>
      </c>
      <c r="C487">
        <v>983.25927734375</v>
      </c>
      <c r="D487">
        <v>141.8964538574219</v>
      </c>
      <c r="E487">
        <v>235.4609375</v>
      </c>
      <c r="F487">
        <v>71.005111694335938</v>
      </c>
      <c r="G487">
        <v>166.45233154296881</v>
      </c>
      <c r="H487">
        <v>6051.25</v>
      </c>
      <c r="I487">
        <f t="shared" si="24"/>
        <v>5.9460073665833771E-3</v>
      </c>
      <c r="J487">
        <f t="shared" si="24"/>
        <v>-6.3537500580447539E-3</v>
      </c>
      <c r="K487">
        <f t="shared" si="24"/>
        <v>-2.7315180013358568E-3</v>
      </c>
      <c r="L487">
        <f t="shared" si="23"/>
        <v>-8.2465470051681661E-3</v>
      </c>
      <c r="M487">
        <f t="shared" si="23"/>
        <v>-1.0326136447387448E-2</v>
      </c>
      <c r="N487">
        <f t="shared" si="23"/>
        <v>1.2886188356215822E-3</v>
      </c>
      <c r="O487">
        <f t="shared" si="21"/>
        <v>-5.4287314614632513E-3</v>
      </c>
    </row>
    <row r="488" spans="1:15" x14ac:dyDescent="0.35">
      <c r="A488" s="2">
        <v>45639</v>
      </c>
      <c r="B488">
        <v>247.0128173828125</v>
      </c>
      <c r="C488">
        <v>984.2142333984375</v>
      </c>
      <c r="D488">
        <v>142.2651672363281</v>
      </c>
      <c r="E488">
        <v>233.91090393066409</v>
      </c>
      <c r="F488">
        <v>71.39300537109375</v>
      </c>
      <c r="G488">
        <v>166.6568908691406</v>
      </c>
      <c r="H488">
        <v>6051.08984375</v>
      </c>
      <c r="I488">
        <f t="shared" si="24"/>
        <v>6.8530031100658834E-4</v>
      </c>
      <c r="J488">
        <f t="shared" si="24"/>
        <v>9.7074356982698902E-4</v>
      </c>
      <c r="K488">
        <f t="shared" si="24"/>
        <v>2.5950977082196442E-3</v>
      </c>
      <c r="L488">
        <f t="shared" si="23"/>
        <v>-6.6047387900892741E-3</v>
      </c>
      <c r="M488">
        <f t="shared" si="23"/>
        <v>5.4480304118478019E-3</v>
      </c>
      <c r="N488">
        <f t="shared" si="23"/>
        <v>1.2281818582156002E-3</v>
      </c>
      <c r="O488">
        <f t="shared" si="21"/>
        <v>-2.6466989371873972E-5</v>
      </c>
    </row>
    <row r="489" spans="1:15" x14ac:dyDescent="0.35">
      <c r="A489" s="2">
        <v>45642</v>
      </c>
      <c r="B489">
        <v>249.90971374511719</v>
      </c>
      <c r="C489">
        <v>987.7159423828125</v>
      </c>
      <c r="D489">
        <v>139.57743835449219</v>
      </c>
      <c r="E489">
        <v>233.55995178222659</v>
      </c>
      <c r="F489">
        <v>70.588104248046875</v>
      </c>
      <c r="G489">
        <v>166.7348327636719</v>
      </c>
      <c r="H489">
        <v>6074.080078125</v>
      </c>
      <c r="I489">
        <f t="shared" si="24"/>
        <v>1.1659480094418573E-2</v>
      </c>
      <c r="J489">
        <f t="shared" si="24"/>
        <v>3.551558476192586E-3</v>
      </c>
      <c r="K489">
        <f t="shared" si="24"/>
        <v>-1.9073130232889781E-2</v>
      </c>
      <c r="L489">
        <f t="shared" si="23"/>
        <v>-1.5014934517657414E-3</v>
      </c>
      <c r="M489">
        <f t="shared" si="23"/>
        <v>-1.1338265324320281E-2</v>
      </c>
      <c r="N489">
        <f t="shared" si="23"/>
        <v>4.6756947114346488E-4</v>
      </c>
      <c r="O489">
        <f t="shared" si="21"/>
        <v>3.7921550087844295E-3</v>
      </c>
    </row>
    <row r="490" spans="1:15" x14ac:dyDescent="0.35">
      <c r="A490" s="2">
        <v>45643</v>
      </c>
      <c r="B490">
        <v>252.33872985839841</v>
      </c>
      <c r="C490">
        <v>976.98199462890625</v>
      </c>
      <c r="D490">
        <v>142.0614013671875</v>
      </c>
      <c r="E490">
        <v>232.37059020996091</v>
      </c>
      <c r="F490">
        <v>70.083831787109375</v>
      </c>
      <c r="G490">
        <v>165.94569396972659</v>
      </c>
      <c r="H490">
        <v>6050.60986328125</v>
      </c>
      <c r="I490">
        <f t="shared" si="24"/>
        <v>9.6726434194961547E-3</v>
      </c>
      <c r="J490">
        <f t="shared" si="24"/>
        <v>-1.0926926070635438E-2</v>
      </c>
      <c r="K490">
        <f t="shared" si="24"/>
        <v>1.7639807240765859E-2</v>
      </c>
      <c r="L490">
        <f t="shared" si="23"/>
        <v>-5.1053281483104075E-3</v>
      </c>
      <c r="M490">
        <f t="shared" si="23"/>
        <v>-7.169512771290321E-3</v>
      </c>
      <c r="N490">
        <f t="shared" si="23"/>
        <v>-4.7441326474706551E-3</v>
      </c>
      <c r="O490">
        <f t="shared" si="23"/>
        <v>-3.8714794806554956E-3</v>
      </c>
    </row>
    <row r="491" spans="1:15" x14ac:dyDescent="0.35">
      <c r="A491" s="2">
        <v>45644</v>
      </c>
      <c r="B491">
        <v>246.93318176269531</v>
      </c>
      <c r="C491">
        <v>959.73199462890625</v>
      </c>
      <c r="D491">
        <v>140.45069885253909</v>
      </c>
      <c r="E491">
        <v>224.58135986328119</v>
      </c>
      <c r="F491">
        <v>68.38677978515625</v>
      </c>
      <c r="G491">
        <v>164.7278747558594</v>
      </c>
      <c r="H491">
        <v>5872.16015625</v>
      </c>
      <c r="I491">
        <f t="shared" si="24"/>
        <v>-2.1654570181951178E-2</v>
      </c>
      <c r="J491">
        <f t="shared" si="24"/>
        <v>-1.7814149404767336E-2</v>
      </c>
      <c r="K491">
        <f t="shared" si="24"/>
        <v>-1.1402838787823943E-2</v>
      </c>
      <c r="L491">
        <f t="shared" si="23"/>
        <v>-3.4095422554160253E-2</v>
      </c>
      <c r="M491">
        <f t="shared" si="23"/>
        <v>-2.4512594507745001E-2</v>
      </c>
      <c r="N491">
        <f t="shared" si="23"/>
        <v>-7.3657215755377654E-3</v>
      </c>
      <c r="O491">
        <f t="shared" si="23"/>
        <v>-2.993650530451818E-2</v>
      </c>
    </row>
    <row r="492" spans="1:15" x14ac:dyDescent="0.35">
      <c r="A492" s="2">
        <v>45645</v>
      </c>
      <c r="B492">
        <v>248.66532897949219</v>
      </c>
      <c r="C492">
        <v>949.843505859375</v>
      </c>
      <c r="D492">
        <v>139.3154602050781</v>
      </c>
      <c r="E492">
        <v>227.10630798339841</v>
      </c>
      <c r="F492">
        <v>67.659469604492188</v>
      </c>
      <c r="G492">
        <v>164.83503723144531</v>
      </c>
      <c r="H492">
        <v>5867.080078125</v>
      </c>
      <c r="I492">
        <f t="shared" si="24"/>
        <v>6.9901512304499846E-3</v>
      </c>
      <c r="J492">
        <f t="shared" si="24"/>
        <v>-1.0356832873839315E-2</v>
      </c>
      <c r="K492">
        <f t="shared" si="24"/>
        <v>-8.1156697595860285E-3</v>
      </c>
      <c r="L492">
        <f t="shared" si="23"/>
        <v>1.1180178696860157E-2</v>
      </c>
      <c r="M492">
        <f t="shared" si="23"/>
        <v>-1.0692203760864424E-2</v>
      </c>
      <c r="N492">
        <f t="shared" si="23"/>
        <v>6.5033094116424069E-4</v>
      </c>
      <c r="O492">
        <f t="shared" si="23"/>
        <v>-8.6548675053679336E-4</v>
      </c>
    </row>
    <row r="493" spans="1:15" x14ac:dyDescent="0.35">
      <c r="A493" s="2">
        <v>45646</v>
      </c>
      <c r="B493">
        <v>253.34417724609381</v>
      </c>
      <c r="C493">
        <v>949.11737060546875</v>
      </c>
      <c r="D493">
        <v>140.17903137207031</v>
      </c>
      <c r="E493">
        <v>231.62971496582031</v>
      </c>
      <c r="F493">
        <v>69.501998901367188</v>
      </c>
      <c r="G493">
        <v>163.734130859375</v>
      </c>
      <c r="H493">
        <v>5930.85009765625</v>
      </c>
      <c r="I493">
        <f t="shared" si="24"/>
        <v>1.8641016532811541E-2</v>
      </c>
      <c r="J493">
        <f t="shared" si="24"/>
        <v>-7.6477119491746121E-4</v>
      </c>
      <c r="K493">
        <f t="shared" si="24"/>
        <v>6.1795415730567646E-3</v>
      </c>
      <c r="L493">
        <f t="shared" si="23"/>
        <v>1.9721815467293589E-2</v>
      </c>
      <c r="M493">
        <f t="shared" si="23"/>
        <v>2.6868189135652965E-2</v>
      </c>
      <c r="N493">
        <f t="shared" si="23"/>
        <v>-6.701240401200367E-3</v>
      </c>
      <c r="O493">
        <f t="shared" si="23"/>
        <v>1.0810479402397299E-2</v>
      </c>
    </row>
    <row r="494" spans="1:15" x14ac:dyDescent="0.35">
      <c r="A494" s="2">
        <v>45649</v>
      </c>
      <c r="B494">
        <v>254.12068176269531</v>
      </c>
      <c r="C494">
        <v>944.97894287109375</v>
      </c>
      <c r="D494">
        <v>140.95526123046881</v>
      </c>
      <c r="E494">
        <v>232.39985656738281</v>
      </c>
      <c r="F494">
        <v>70.297187805175781</v>
      </c>
      <c r="G494">
        <v>163.7828369140625</v>
      </c>
      <c r="H494">
        <v>5974.06982421875</v>
      </c>
      <c r="I494">
        <f t="shared" si="24"/>
        <v>3.0603306173970337E-3</v>
      </c>
      <c r="J494">
        <f t="shared" si="24"/>
        <v>-4.3698245863502466E-3</v>
      </c>
      <c r="K494">
        <f t="shared" si="24"/>
        <v>5.522142629737407E-3</v>
      </c>
      <c r="L494">
        <f t="shared" si="23"/>
        <v>3.3193673676826666E-3</v>
      </c>
      <c r="M494">
        <f t="shared" si="23"/>
        <v>1.1376281917258134E-2</v>
      </c>
      <c r="N494">
        <f t="shared" si="23"/>
        <v>2.9742614788886895E-4</v>
      </c>
      <c r="O494">
        <f t="shared" si="23"/>
        <v>7.260849585616372E-3</v>
      </c>
    </row>
    <row r="495" spans="1:15" x14ac:dyDescent="0.35">
      <c r="A495" s="2">
        <v>45650</v>
      </c>
      <c r="B495">
        <v>257.0374755859375</v>
      </c>
      <c r="C495">
        <v>953.84271240234375</v>
      </c>
      <c r="D495">
        <v>141.51802062988281</v>
      </c>
      <c r="E495">
        <v>236.22132873535159</v>
      </c>
      <c r="F495">
        <v>70.704483032226563</v>
      </c>
      <c r="G495">
        <v>164.59147644042969</v>
      </c>
      <c r="H495">
        <v>6040.0400390625</v>
      </c>
      <c r="I495">
        <f t="shared" si="24"/>
        <v>1.1412614432788477E-2</v>
      </c>
      <c r="J495">
        <f t="shared" si="24"/>
        <v>9.3361415904090091E-3</v>
      </c>
      <c r="K495">
        <f t="shared" si="24"/>
        <v>3.9845194579588095E-3</v>
      </c>
      <c r="L495">
        <f t="shared" si="23"/>
        <v>1.6309791361156564E-2</v>
      </c>
      <c r="M495">
        <f t="shared" si="23"/>
        <v>5.7771848723557739E-3</v>
      </c>
      <c r="N495">
        <f t="shared" si="23"/>
        <v>4.9251182450243194E-3</v>
      </c>
      <c r="O495">
        <f t="shared" si="23"/>
        <v>1.0982233165126825E-2</v>
      </c>
    </row>
    <row r="496" spans="1:15" x14ac:dyDescent="0.35">
      <c r="A496" s="2">
        <v>45652</v>
      </c>
      <c r="B496">
        <v>257.853759765625</v>
      </c>
      <c r="C496">
        <v>951.17657470703125</v>
      </c>
      <c r="D496">
        <v>141.25605773925781</v>
      </c>
      <c r="E496">
        <v>237.03050231933591</v>
      </c>
      <c r="F496">
        <v>70.180824279785156</v>
      </c>
      <c r="G496">
        <v>165.78007507324219</v>
      </c>
      <c r="H496">
        <v>6037.58984375</v>
      </c>
      <c r="I496">
        <f t="shared" si="24"/>
        <v>3.1707079379532798E-3</v>
      </c>
      <c r="J496">
        <f t="shared" si="24"/>
        <v>-2.7990681816930461E-3</v>
      </c>
      <c r="K496">
        <f t="shared" si="24"/>
        <v>-1.8528074926582752E-3</v>
      </c>
      <c r="L496">
        <f t="shared" si="23"/>
        <v>3.4196354643327596E-3</v>
      </c>
      <c r="M496">
        <f t="shared" si="23"/>
        <v>-7.4338648079233178E-3</v>
      </c>
      <c r="N496">
        <f t="shared" si="23"/>
        <v>7.1955575822068045E-3</v>
      </c>
      <c r="O496">
        <f t="shared" si="23"/>
        <v>-4.0574108825781912E-4</v>
      </c>
    </row>
    <row r="497" spans="1:15" x14ac:dyDescent="0.35">
      <c r="A497" s="2">
        <v>45653</v>
      </c>
      <c r="B497">
        <v>254.439208984375</v>
      </c>
      <c r="C497">
        <v>934.82196044921875</v>
      </c>
      <c r="D497">
        <v>140.7417907714844</v>
      </c>
      <c r="E497">
        <v>235.1099853515625</v>
      </c>
      <c r="F497">
        <v>69.928688049316406</v>
      </c>
      <c r="G497">
        <v>165.1662902832031</v>
      </c>
      <c r="H497">
        <v>5970.83984375</v>
      </c>
      <c r="I497">
        <f t="shared" si="24"/>
        <v>-1.3330658646657596E-2</v>
      </c>
      <c r="J497">
        <f t="shared" si="24"/>
        <v>-1.7343623452818153E-2</v>
      </c>
      <c r="K497">
        <f t="shared" si="24"/>
        <v>-3.6473153294826906E-3</v>
      </c>
      <c r="L497">
        <f t="shared" si="23"/>
        <v>-8.1354071948506294E-3</v>
      </c>
      <c r="M497">
        <f t="shared" si="23"/>
        <v>-3.5991346833423518E-3</v>
      </c>
      <c r="N497">
        <f t="shared" si="23"/>
        <v>-3.7092747226209568E-3</v>
      </c>
      <c r="O497">
        <f t="shared" si="23"/>
        <v>-1.1117304964912211E-2</v>
      </c>
    </row>
    <row r="498" spans="1:15" x14ac:dyDescent="0.35">
      <c r="A498" s="2">
        <v>45656</v>
      </c>
      <c r="B498">
        <v>251.0644836425781</v>
      </c>
      <c r="C498">
        <v>917.42279052734375</v>
      </c>
      <c r="D498">
        <v>139.08258056640619</v>
      </c>
      <c r="E498">
        <v>233.3064880371094</v>
      </c>
      <c r="F498">
        <v>69.589279174804688</v>
      </c>
      <c r="G498">
        <v>162.7890930175781</v>
      </c>
      <c r="H498">
        <v>5906.93994140625</v>
      </c>
      <c r="I498">
        <f t="shared" si="24"/>
        <v>-1.3352129877046667E-2</v>
      </c>
      <c r="J498">
        <f t="shared" si="24"/>
        <v>-1.8787670151335079E-2</v>
      </c>
      <c r="K498">
        <f t="shared" si="24"/>
        <v>-1.1859078912479488E-2</v>
      </c>
      <c r="L498">
        <f t="shared" si="23"/>
        <v>-7.700438941409397E-3</v>
      </c>
      <c r="M498">
        <f t="shared" si="23"/>
        <v>-4.8654599952224148E-3</v>
      </c>
      <c r="N498">
        <f t="shared" si="23"/>
        <v>-1.449733117169332E-2</v>
      </c>
      <c r="O498">
        <f t="shared" si="23"/>
        <v>-1.0759673941729728E-2</v>
      </c>
    </row>
    <row r="499" spans="1:15" x14ac:dyDescent="0.35">
      <c r="A499" s="2">
        <v>45657</v>
      </c>
      <c r="B499">
        <v>249.2925109863281</v>
      </c>
      <c r="C499">
        <v>911.51361083984375</v>
      </c>
      <c r="D499">
        <v>140.32456970214841</v>
      </c>
      <c r="E499">
        <v>233.68669128417969</v>
      </c>
      <c r="F499">
        <v>69.521385192871094</v>
      </c>
      <c r="G499">
        <v>163.3346862792969</v>
      </c>
      <c r="H499">
        <v>5881.6298828125</v>
      </c>
      <c r="I499">
        <f t="shared" si="24"/>
        <v>-7.0828631682468583E-3</v>
      </c>
      <c r="J499">
        <f t="shared" si="24"/>
        <v>-6.461898013628036E-3</v>
      </c>
      <c r="K499">
        <f t="shared" si="24"/>
        <v>8.8902328713994505E-3</v>
      </c>
      <c r="L499">
        <f t="shared" si="23"/>
        <v>1.6283035723472059E-3</v>
      </c>
      <c r="M499">
        <f t="shared" si="23"/>
        <v>-9.7611477355794018E-4</v>
      </c>
      <c r="N499">
        <f t="shared" si="23"/>
        <v>3.3459306273189338E-3</v>
      </c>
      <c r="O499">
        <f t="shared" si="23"/>
        <v>-4.2940064589823065E-3</v>
      </c>
    </row>
    <row r="500" spans="1:15" x14ac:dyDescent="0.35">
      <c r="A500" s="2">
        <v>45659</v>
      </c>
      <c r="B500">
        <v>242.7521057128906</v>
      </c>
      <c r="C500">
        <v>905.087158203125</v>
      </c>
      <c r="D500">
        <v>139.74238586425781</v>
      </c>
      <c r="E500">
        <v>233.9693908691406</v>
      </c>
      <c r="F500">
        <v>69.443809509277344</v>
      </c>
      <c r="G500">
        <v>161.70765686035159</v>
      </c>
      <c r="H500">
        <v>5868.5498046875</v>
      </c>
      <c r="I500">
        <f t="shared" si="24"/>
        <v>-2.6586168367893813E-2</v>
      </c>
      <c r="J500">
        <f t="shared" si="24"/>
        <v>-7.0752798908901189E-3</v>
      </c>
      <c r="K500">
        <f t="shared" si="24"/>
        <v>-4.1574678117800093E-3</v>
      </c>
      <c r="L500">
        <f t="shared" si="23"/>
        <v>1.2090064908139222E-3</v>
      </c>
      <c r="M500">
        <f t="shared" si="23"/>
        <v>-1.1164765654929376E-3</v>
      </c>
      <c r="N500">
        <f t="shared" si="23"/>
        <v>-1.0011268023470866E-2</v>
      </c>
      <c r="O500">
        <f t="shared" si="23"/>
        <v>-2.2263631494489921E-3</v>
      </c>
    </row>
    <row r="501" spans="1:15" x14ac:dyDescent="0.35">
      <c r="A501" s="2">
        <v>45660</v>
      </c>
      <c r="B501">
        <v>242.26429748535159</v>
      </c>
      <c r="C501">
        <v>911.822021484375</v>
      </c>
      <c r="D501">
        <v>139.9073486328125</v>
      </c>
      <c r="E501">
        <v>237.16697692871091</v>
      </c>
      <c r="F501">
        <v>69.81231689453125</v>
      </c>
      <c r="G501">
        <v>160.8795471191406</v>
      </c>
      <c r="H501">
        <v>5942.47021484375</v>
      </c>
      <c r="I501">
        <f t="shared" si="24"/>
        <v>-2.0115129665821828E-3</v>
      </c>
      <c r="J501">
        <f t="shared" si="24"/>
        <v>7.4135726791240896E-3</v>
      </c>
      <c r="K501">
        <f t="shared" si="24"/>
        <v>1.1797814718861519E-3</v>
      </c>
      <c r="L501">
        <f t="shared" si="23"/>
        <v>1.3574138513497586E-2</v>
      </c>
      <c r="M501">
        <f t="shared" si="23"/>
        <v>5.2925247161864971E-3</v>
      </c>
      <c r="N501">
        <f t="shared" si="23"/>
        <v>-5.1341872837309703E-3</v>
      </c>
      <c r="O501">
        <f t="shared" si="23"/>
        <v>1.251735670782609E-2</v>
      </c>
    </row>
    <row r="502" spans="1:15" x14ac:dyDescent="0.35">
      <c r="A502" s="2">
        <v>45663</v>
      </c>
      <c r="B502">
        <v>243.89691162109381</v>
      </c>
      <c r="C502">
        <v>917.920166015625</v>
      </c>
      <c r="D502">
        <v>139.39308166503909</v>
      </c>
      <c r="E502">
        <v>236.01068115234381</v>
      </c>
      <c r="F502">
        <v>69.084999084472656</v>
      </c>
      <c r="G502">
        <v>156.46614074707031</v>
      </c>
      <c r="H502">
        <v>5975.3798828125</v>
      </c>
      <c r="I502">
        <f t="shared" si="24"/>
        <v>6.7163740848988299E-3</v>
      </c>
      <c r="J502">
        <f t="shared" si="24"/>
        <v>6.6656025656557892E-3</v>
      </c>
      <c r="K502">
        <f t="shared" si="24"/>
        <v>-3.682540326871753E-3</v>
      </c>
      <c r="L502">
        <f t="shared" si="23"/>
        <v>-4.887373941969665E-3</v>
      </c>
      <c r="M502">
        <f t="shared" si="23"/>
        <v>-1.0472836751718629E-2</v>
      </c>
      <c r="N502">
        <f t="shared" si="23"/>
        <v>-2.7816296919042423E-2</v>
      </c>
      <c r="O502">
        <f t="shared" si="23"/>
        <v>5.5227664968181709E-3</v>
      </c>
    </row>
    <row r="503" spans="1:15" x14ac:dyDescent="0.35">
      <c r="A503" s="2">
        <v>45664</v>
      </c>
      <c r="B503">
        <v>241.1194763183594</v>
      </c>
      <c r="C503">
        <v>916.58709716796875</v>
      </c>
      <c r="D503">
        <v>141.88673400878909</v>
      </c>
      <c r="E503">
        <v>238.2840576171875</v>
      </c>
      <c r="F503">
        <v>68.29949951171875</v>
      </c>
      <c r="G503">
        <v>157.14813232421881</v>
      </c>
      <c r="H503">
        <v>5909.02978515625</v>
      </c>
      <c r="I503">
        <f t="shared" si="24"/>
        <v>-1.1453079657173515E-2</v>
      </c>
      <c r="J503">
        <f t="shared" si="24"/>
        <v>-1.4533265788008658E-3</v>
      </c>
      <c r="K503">
        <f t="shared" si="24"/>
        <v>1.7731223766309021E-2</v>
      </c>
      <c r="L503">
        <f t="shared" si="23"/>
        <v>9.5864182718066095E-3</v>
      </c>
      <c r="M503">
        <f t="shared" si="23"/>
        <v>-1.1435178499833026E-2</v>
      </c>
      <c r="N503">
        <f t="shared" si="23"/>
        <v>4.3492449850029615E-3</v>
      </c>
      <c r="O503">
        <f t="shared" si="23"/>
        <v>-1.1166021516637011E-2</v>
      </c>
    </row>
    <row r="504" spans="1:15" x14ac:dyDescent="0.35">
      <c r="A504" s="2">
        <v>45665</v>
      </c>
      <c r="B504">
        <v>241.6072692871094</v>
      </c>
      <c r="C504">
        <v>922.55596923828125</v>
      </c>
      <c r="D504">
        <v>138.04437255859381</v>
      </c>
      <c r="E504">
        <v>238.244873046875</v>
      </c>
      <c r="F504">
        <v>68.522552490234375</v>
      </c>
      <c r="G504">
        <v>157.92753601074219</v>
      </c>
      <c r="H504">
        <v>5918.25</v>
      </c>
      <c r="I504">
        <f t="shared" si="24"/>
        <v>2.0209907125273634E-3</v>
      </c>
      <c r="J504">
        <f t="shared" si="24"/>
        <v>6.4909501998526896E-3</v>
      </c>
      <c r="K504">
        <f t="shared" si="24"/>
        <v>-2.7453917731665455E-2</v>
      </c>
      <c r="L504">
        <f t="shared" si="23"/>
        <v>-1.6445830621953072E-4</v>
      </c>
      <c r="M504">
        <f t="shared" si="23"/>
        <v>3.2604857602110695E-3</v>
      </c>
      <c r="N504">
        <f t="shared" si="23"/>
        <v>4.9474164757035508E-3</v>
      </c>
      <c r="O504">
        <f t="shared" si="23"/>
        <v>1.5591440938312422E-3</v>
      </c>
    </row>
    <row r="505" spans="1:15" x14ac:dyDescent="0.35">
      <c r="A505" s="2">
        <v>45667</v>
      </c>
      <c r="B505">
        <v>235.7835998535156</v>
      </c>
      <c r="C505">
        <v>932.0762939453125</v>
      </c>
      <c r="D505">
        <v>137.84059143066409</v>
      </c>
      <c r="E505">
        <v>235.05036926269531</v>
      </c>
      <c r="F505">
        <v>65.341766357421875</v>
      </c>
      <c r="G505">
        <v>154.47865295410159</v>
      </c>
      <c r="H505">
        <v>5827.0400390625</v>
      </c>
      <c r="I505">
        <f t="shared" si="24"/>
        <v>-2.4399119120156982E-2</v>
      </c>
      <c r="J505">
        <f t="shared" si="24"/>
        <v>1.0266626456285614E-2</v>
      </c>
      <c r="K505">
        <f t="shared" si="24"/>
        <v>-1.4772908392241177E-3</v>
      </c>
      <c r="L505">
        <f t="shared" si="23"/>
        <v>-1.3499194621865742E-2</v>
      </c>
      <c r="M505">
        <f t="shared" si="23"/>
        <v>-4.7531485384808059E-2</v>
      </c>
      <c r="N505">
        <f t="shared" si="23"/>
        <v>-2.2080376769576863E-2</v>
      </c>
      <c r="O505">
        <f t="shared" si="23"/>
        <v>-1.5531637650233373E-2</v>
      </c>
    </row>
    <row r="506" spans="1:15" x14ac:dyDescent="0.35">
      <c r="A506" s="2">
        <v>45670</v>
      </c>
      <c r="B506">
        <v>233.3446350097656</v>
      </c>
      <c r="C506">
        <v>919.89984130859375</v>
      </c>
      <c r="D506">
        <v>140.17903137207031</v>
      </c>
      <c r="E506">
        <v>239.30317687988281</v>
      </c>
      <c r="F506">
        <v>64.934478759765625</v>
      </c>
      <c r="G506">
        <v>154.75144958496091</v>
      </c>
      <c r="H506">
        <v>5836.22021484375</v>
      </c>
      <c r="I506">
        <f t="shared" si="24"/>
        <v>-1.0397953638301479E-2</v>
      </c>
      <c r="J506">
        <f t="shared" si="24"/>
        <v>-1.3149875817864068E-2</v>
      </c>
      <c r="K506">
        <f t="shared" si="24"/>
        <v>1.6822518246870626E-2</v>
      </c>
      <c r="L506">
        <f t="shared" si="23"/>
        <v>1.7931442081299556E-2</v>
      </c>
      <c r="M506">
        <f t="shared" si="23"/>
        <v>-6.2526967098160734E-3</v>
      </c>
      <c r="N506">
        <f t="shared" si="23"/>
        <v>1.7643605805947673E-3</v>
      </c>
      <c r="O506">
        <f t="shared" si="23"/>
        <v>1.5742043780551176E-3</v>
      </c>
    </row>
    <row r="507" spans="1:15" x14ac:dyDescent="0.35">
      <c r="A507" s="2">
        <v>45671</v>
      </c>
      <c r="B507">
        <v>232.22969055175781</v>
      </c>
      <c r="C507">
        <v>912.4686279296875</v>
      </c>
      <c r="D507">
        <v>140.45069885253909</v>
      </c>
      <c r="E507">
        <v>242.49766540527341</v>
      </c>
      <c r="F507">
        <v>65.923622131347656</v>
      </c>
      <c r="G507">
        <v>155.6282653808594</v>
      </c>
      <c r="H507">
        <v>5842.91015625</v>
      </c>
      <c r="I507">
        <f t="shared" si="24"/>
        <v>-4.789553582225577E-3</v>
      </c>
      <c r="J507">
        <f t="shared" si="24"/>
        <v>-8.1110914590853261E-3</v>
      </c>
      <c r="K507">
        <f t="shared" si="24"/>
        <v>1.9361281865292416E-3</v>
      </c>
      <c r="L507">
        <f t="shared" si="23"/>
        <v>1.3260812589878507E-2</v>
      </c>
      <c r="M507">
        <f t="shared" si="23"/>
        <v>1.511808905034528E-2</v>
      </c>
      <c r="N507">
        <f t="shared" si="23"/>
        <v>5.6499705754430316E-3</v>
      </c>
      <c r="O507">
        <f t="shared" si="23"/>
        <v>1.145623334164268E-3</v>
      </c>
    </row>
    <row r="508" spans="1:15" x14ac:dyDescent="0.35">
      <c r="A508" s="2">
        <v>45672</v>
      </c>
      <c r="B508">
        <v>236.79901123046881</v>
      </c>
      <c r="C508">
        <v>918.7060546875</v>
      </c>
      <c r="D508">
        <v>140.66416931152341</v>
      </c>
      <c r="E508">
        <v>247.27961730957031</v>
      </c>
      <c r="F508">
        <v>67.193984985351563</v>
      </c>
      <c r="G508">
        <v>155.54058837890619</v>
      </c>
      <c r="H508">
        <v>5949.91015625</v>
      </c>
      <c r="I508">
        <f t="shared" si="24"/>
        <v>1.9484800077892047E-2</v>
      </c>
      <c r="J508">
        <f t="shared" si="24"/>
        <v>6.8125132358229975E-3</v>
      </c>
      <c r="K508">
        <f t="shared" si="24"/>
        <v>1.5187421527055359E-3</v>
      </c>
      <c r="L508">
        <f t="shared" si="23"/>
        <v>1.9527667086613562E-2</v>
      </c>
      <c r="M508">
        <f t="shared" si="23"/>
        <v>1.9086902903821989E-2</v>
      </c>
      <c r="N508">
        <f t="shared" si="23"/>
        <v>-5.635332920639265E-4</v>
      </c>
      <c r="O508">
        <f t="shared" si="23"/>
        <v>1.8147132504516373E-2</v>
      </c>
    </row>
    <row r="509" spans="1:15" x14ac:dyDescent="0.35">
      <c r="A509" s="2">
        <v>45673</v>
      </c>
      <c r="B509">
        <v>227.23228454589841</v>
      </c>
      <c r="C509">
        <v>914.97552490234375</v>
      </c>
      <c r="D509">
        <v>143.38102722167969</v>
      </c>
      <c r="E509">
        <v>249.1610412597656</v>
      </c>
      <c r="F509">
        <v>69.211067199707031</v>
      </c>
      <c r="G509">
        <v>156.36872863769531</v>
      </c>
      <c r="H509">
        <v>5937.33984375</v>
      </c>
      <c r="I509">
        <f t="shared" si="24"/>
        <v>-4.1238953228875275E-2</v>
      </c>
      <c r="J509">
        <f t="shared" si="24"/>
        <v>-4.0689015732649153E-3</v>
      </c>
      <c r="K509">
        <f t="shared" si="24"/>
        <v>1.913034122861744E-2</v>
      </c>
      <c r="L509">
        <f t="shared" si="23"/>
        <v>7.5796892349254182E-3</v>
      </c>
      <c r="M509">
        <f t="shared" si="23"/>
        <v>2.9577046091321401E-2</v>
      </c>
      <c r="N509">
        <f t="shared" si="23"/>
        <v>5.3101472740715774E-3</v>
      </c>
      <c r="O509">
        <f t="shared" si="23"/>
        <v>-2.1149243408667613E-3</v>
      </c>
    </row>
    <row r="510" spans="1:15" x14ac:dyDescent="0.35">
      <c r="A510" s="2">
        <v>45674</v>
      </c>
      <c r="B510">
        <v>228.94453430175781</v>
      </c>
      <c r="C510">
        <v>938.2938232421875</v>
      </c>
      <c r="D510">
        <v>142.6629943847656</v>
      </c>
      <c r="E510">
        <v>253.9527893066406</v>
      </c>
      <c r="F510">
        <v>68.619529724121094</v>
      </c>
      <c r="G510">
        <v>156.98249816894531</v>
      </c>
      <c r="H510">
        <v>5996.66015625</v>
      </c>
      <c r="I510">
        <f t="shared" si="24"/>
        <v>7.506991702556455E-3</v>
      </c>
      <c r="J510">
        <f t="shared" si="24"/>
        <v>2.5165828172939088E-2</v>
      </c>
      <c r="K510">
        <f t="shared" si="24"/>
        <v>-5.0204464406703618E-3</v>
      </c>
      <c r="L510">
        <f t="shared" si="23"/>
        <v>1.9048941413297316E-2</v>
      </c>
      <c r="M510">
        <f t="shared" si="23"/>
        <v>-8.5835963963235961E-3</v>
      </c>
      <c r="N510">
        <f t="shared" si="23"/>
        <v>3.9174591555842268E-3</v>
      </c>
      <c r="O510">
        <f t="shared" si="23"/>
        <v>9.9414783083940327E-3</v>
      </c>
    </row>
    <row r="511" spans="1:15" x14ac:dyDescent="0.35">
      <c r="A511" s="2">
        <v>45678</v>
      </c>
      <c r="B511">
        <v>221.6375732421875</v>
      </c>
      <c r="C511">
        <v>942.81024169921875</v>
      </c>
      <c r="D511">
        <v>143.74971008300781</v>
      </c>
      <c r="E511">
        <v>257.74502563476563</v>
      </c>
      <c r="F511">
        <v>68.706794738769531</v>
      </c>
      <c r="G511">
        <v>157.55731201171881</v>
      </c>
      <c r="H511">
        <v>6049.240234375</v>
      </c>
      <c r="I511">
        <f t="shared" si="24"/>
        <v>-3.2436271085390274E-2</v>
      </c>
      <c r="J511">
        <f t="shared" si="24"/>
        <v>4.8018897195049081E-3</v>
      </c>
      <c r="K511">
        <f t="shared" si="24"/>
        <v>7.588496572866317E-3</v>
      </c>
      <c r="L511">
        <f t="shared" si="23"/>
        <v>1.4822442653387783E-2</v>
      </c>
      <c r="M511">
        <f t="shared" si="23"/>
        <v>1.2709147606738782E-3</v>
      </c>
      <c r="N511">
        <f t="shared" si="23"/>
        <v>3.6549553605966958E-3</v>
      </c>
      <c r="O511">
        <f t="shared" si="23"/>
        <v>8.7300094405960496E-3</v>
      </c>
    </row>
    <row r="512" spans="1:15" x14ac:dyDescent="0.35">
      <c r="A512" s="2">
        <v>45679</v>
      </c>
      <c r="B512">
        <v>222.82221984863281</v>
      </c>
      <c r="C512">
        <v>939.7960205078125</v>
      </c>
      <c r="D512">
        <v>140.95526123046881</v>
      </c>
      <c r="E512">
        <v>257.558837890625</v>
      </c>
      <c r="F512">
        <v>66.418190002441406</v>
      </c>
      <c r="G512">
        <v>160.49957275390619</v>
      </c>
      <c r="H512">
        <v>6086.3701171875</v>
      </c>
      <c r="I512">
        <f t="shared" si="24"/>
        <v>5.3307382587974668E-3</v>
      </c>
      <c r="J512">
        <f t="shared" si="24"/>
        <v>-3.2021818131171614E-3</v>
      </c>
      <c r="K512">
        <f t="shared" si="24"/>
        <v>-1.9631119070310871E-2</v>
      </c>
      <c r="L512">
        <f t="shared" si="23"/>
        <v>-7.2263285964552367E-4</v>
      </c>
      <c r="M512">
        <f t="shared" si="23"/>
        <v>-3.3877134046054309E-2</v>
      </c>
      <c r="N512">
        <f t="shared" si="23"/>
        <v>1.8502002733094127E-2</v>
      </c>
      <c r="O512">
        <f t="shared" si="23"/>
        <v>6.1191810869941294E-3</v>
      </c>
    </row>
    <row r="513" spans="1:15" x14ac:dyDescent="0.35">
      <c r="A513" s="2">
        <v>45680</v>
      </c>
      <c r="B513">
        <v>222.65301513671881</v>
      </c>
      <c r="C513">
        <v>937.26922607421875</v>
      </c>
      <c r="D513">
        <v>142.2845764160156</v>
      </c>
      <c r="E513">
        <v>260.60638427734381</v>
      </c>
      <c r="F513">
        <v>67.135810852050781</v>
      </c>
      <c r="G513">
        <v>161.8732604980469</v>
      </c>
      <c r="H513">
        <v>6118.7099609375</v>
      </c>
      <c r="I513">
        <f t="shared" si="24"/>
        <v>-7.5965937840136394E-4</v>
      </c>
      <c r="J513">
        <f t="shared" si="24"/>
        <v>-2.692283568150637E-3</v>
      </c>
      <c r="K513">
        <f t="shared" si="24"/>
        <v>9.3865676298560703E-3</v>
      </c>
      <c r="L513">
        <f t="shared" si="23"/>
        <v>1.1762972103780533E-2</v>
      </c>
      <c r="M513">
        <f t="shared" si="23"/>
        <v>1.0746630599030067E-2</v>
      </c>
      <c r="N513">
        <f t="shared" si="23"/>
        <v>8.5224058409569241E-3</v>
      </c>
      <c r="O513">
        <f t="shared" si="23"/>
        <v>5.2994194595293717E-3</v>
      </c>
    </row>
    <row r="514" spans="1:15" x14ac:dyDescent="0.35">
      <c r="A514" s="2">
        <v>45681</v>
      </c>
      <c r="B514">
        <v>221.7769470214844</v>
      </c>
      <c r="C514">
        <v>934.80206298828125</v>
      </c>
      <c r="D514">
        <v>142.459228515625</v>
      </c>
      <c r="E514">
        <v>259.51864624023438</v>
      </c>
      <c r="F514">
        <v>70.626899719238281</v>
      </c>
      <c r="G514">
        <v>160.87054443359381</v>
      </c>
      <c r="H514">
        <v>6101.240234375</v>
      </c>
      <c r="I514">
        <f t="shared" si="24"/>
        <v>-3.9424400897496298E-3</v>
      </c>
      <c r="J514">
        <f t="shared" si="24"/>
        <v>-2.6357591494298015E-3</v>
      </c>
      <c r="K514">
        <f t="shared" si="24"/>
        <v>1.2267316688680566E-3</v>
      </c>
      <c r="L514">
        <f t="shared" si="23"/>
        <v>-4.1826082539674625E-3</v>
      </c>
      <c r="M514">
        <f t="shared" si="23"/>
        <v>5.0693492399307906E-2</v>
      </c>
      <c r="N514">
        <f t="shared" si="23"/>
        <v>-6.2137167337750548E-3</v>
      </c>
      <c r="O514">
        <f t="shared" si="23"/>
        <v>-2.8592159844677591E-3</v>
      </c>
    </row>
    <row r="515" spans="1:15" x14ac:dyDescent="0.35">
      <c r="A515" s="2">
        <v>45684</v>
      </c>
      <c r="B515">
        <v>228.82508850097659</v>
      </c>
      <c r="C515">
        <v>960.23931884765625</v>
      </c>
      <c r="D515">
        <v>148.34892272949219</v>
      </c>
      <c r="E515">
        <v>260.50839233398438</v>
      </c>
      <c r="F515">
        <v>71.596656799316406</v>
      </c>
      <c r="G515">
        <v>166.30085754394531</v>
      </c>
      <c r="H515">
        <v>6012.27978515625</v>
      </c>
      <c r="I515">
        <f t="shared" si="24"/>
        <v>3.1285772400412339E-2</v>
      </c>
      <c r="J515">
        <f t="shared" si="24"/>
        <v>2.6847734321579664E-2</v>
      </c>
      <c r="K515">
        <f t="shared" si="24"/>
        <v>4.0511241938597925E-2</v>
      </c>
      <c r="L515">
        <f t="shared" si="23"/>
        <v>3.8065224129491325E-3</v>
      </c>
      <c r="M515">
        <f t="shared" si="23"/>
        <v>1.3637292345159983E-2</v>
      </c>
      <c r="N515">
        <f t="shared" si="23"/>
        <v>3.3198573089519227E-2</v>
      </c>
      <c r="O515">
        <f t="shared" si="23"/>
        <v>-1.4688059032112328E-2</v>
      </c>
    </row>
    <row r="516" spans="1:15" x14ac:dyDescent="0.35">
      <c r="A516" s="2">
        <v>45685</v>
      </c>
      <c r="B516">
        <v>237.187255859375</v>
      </c>
      <c r="C516">
        <v>953.6934814453125</v>
      </c>
      <c r="D516">
        <v>145.9134826660156</v>
      </c>
      <c r="E516">
        <v>261.77243041992188</v>
      </c>
      <c r="F516">
        <v>68.406181335449219</v>
      </c>
      <c r="G516">
        <v>162.89955139160159</v>
      </c>
      <c r="H516">
        <v>6067.7001953125</v>
      </c>
      <c r="I516">
        <f t="shared" si="24"/>
        <v>3.5892032241055319E-2</v>
      </c>
      <c r="J516">
        <f t="shared" si="24"/>
        <v>-6.8402223149022796E-3</v>
      </c>
      <c r="K516">
        <f t="shared" si="24"/>
        <v>-1.6553223447164048E-2</v>
      </c>
      <c r="L516">
        <f t="shared" si="23"/>
        <v>4.8404632102502718E-3</v>
      </c>
      <c r="M516">
        <f t="shared" si="23"/>
        <v>-4.5585189182831734E-2</v>
      </c>
      <c r="N516">
        <f t="shared" si="23"/>
        <v>-2.0664781077854483E-2</v>
      </c>
      <c r="O516">
        <f t="shared" si="23"/>
        <v>9.1756441777168015E-3</v>
      </c>
    </row>
    <row r="517" spans="1:15" x14ac:dyDescent="0.35">
      <c r="A517" s="2">
        <v>45686</v>
      </c>
      <c r="B517">
        <v>238.28228759765619</v>
      </c>
      <c r="C517">
        <v>959.01580810546875</v>
      </c>
      <c r="D517">
        <v>146.6606140136719</v>
      </c>
      <c r="E517">
        <v>261.22366333007813</v>
      </c>
      <c r="F517">
        <v>68.745590209960938</v>
      </c>
      <c r="G517">
        <v>162.93876647949219</v>
      </c>
      <c r="H517">
        <v>6039.31005859375</v>
      </c>
      <c r="I517">
        <f t="shared" si="24"/>
        <v>4.6061149000702585E-3</v>
      </c>
      <c r="J517">
        <f t="shared" si="24"/>
        <v>5.5652371493047524E-3</v>
      </c>
      <c r="K517">
        <f t="shared" si="24"/>
        <v>5.1073077226309925E-3</v>
      </c>
      <c r="L517">
        <f t="shared" si="23"/>
        <v>-2.0985521605060308E-3</v>
      </c>
      <c r="M517">
        <f t="shared" si="23"/>
        <v>4.9494011422502341E-3</v>
      </c>
      <c r="N517">
        <f t="shared" si="23"/>
        <v>2.4070274077119609E-4</v>
      </c>
      <c r="O517">
        <f t="shared" si="23"/>
        <v>-4.6898760569196018E-3</v>
      </c>
    </row>
    <row r="518" spans="1:15" x14ac:dyDescent="0.35">
      <c r="A518" s="2">
        <v>45687</v>
      </c>
      <c r="B518">
        <v>236.52027893066409</v>
      </c>
      <c r="C518">
        <v>973.92791748046875</v>
      </c>
      <c r="D518">
        <v>148.32951354980469</v>
      </c>
      <c r="E518">
        <v>262.84054565429688</v>
      </c>
      <c r="F518">
        <v>69.1431884765625</v>
      </c>
      <c r="G518">
        <v>164.09539794921881</v>
      </c>
      <c r="H518">
        <v>6071.169921875</v>
      </c>
      <c r="I518">
        <f t="shared" si="24"/>
        <v>-7.4221029115561716E-3</v>
      </c>
      <c r="J518">
        <f t="shared" si="24"/>
        <v>1.5429735515452769E-2</v>
      </c>
      <c r="K518">
        <f t="shared" si="24"/>
        <v>1.1315072512881897E-2</v>
      </c>
      <c r="L518">
        <f t="shared" si="23"/>
        <v>6.1705700441088713E-3</v>
      </c>
      <c r="M518">
        <f t="shared" si="23"/>
        <v>5.766957577335822E-3</v>
      </c>
      <c r="N518">
        <f t="shared" si="23"/>
        <v>7.0734890609478688E-3</v>
      </c>
      <c r="O518">
        <f t="shared" si="23"/>
        <v>5.2615481521802376E-3</v>
      </c>
    </row>
    <row r="519" spans="1:15" x14ac:dyDescent="0.35">
      <c r="A519" s="2">
        <v>45688</v>
      </c>
      <c r="B519">
        <v>234.93742370605469</v>
      </c>
      <c r="C519">
        <v>974.79345703125</v>
      </c>
      <c r="D519">
        <v>147.63090515136719</v>
      </c>
      <c r="E519">
        <v>261.92922973632813</v>
      </c>
      <c r="F519">
        <v>69.395317077636719</v>
      </c>
      <c r="G519">
        <v>162.7035217285156</v>
      </c>
      <c r="H519">
        <v>6040.52978515625</v>
      </c>
      <c r="I519">
        <f t="shared" si="24"/>
        <v>-6.7147536801551106E-3</v>
      </c>
      <c r="J519">
        <f t="shared" si="24"/>
        <v>8.883154041607875E-4</v>
      </c>
      <c r="K519">
        <f t="shared" si="24"/>
        <v>-4.7209670740715227E-3</v>
      </c>
      <c r="L519">
        <f t="shared" si="23"/>
        <v>-3.4732062585075578E-3</v>
      </c>
      <c r="M519">
        <f t="shared" si="23"/>
        <v>3.6398383023467039E-3</v>
      </c>
      <c r="N519">
        <f t="shared" si="23"/>
        <v>-8.5182939921081453E-3</v>
      </c>
      <c r="O519">
        <f t="shared" si="23"/>
        <v>-5.0596039902671948E-3</v>
      </c>
    </row>
    <row r="520" spans="1:15" x14ac:dyDescent="0.35">
      <c r="A520" s="2">
        <v>45691</v>
      </c>
      <c r="B520">
        <v>226.9833984375</v>
      </c>
      <c r="C520">
        <v>1000.608764648438</v>
      </c>
      <c r="D520">
        <v>147.3592224121094</v>
      </c>
      <c r="E520">
        <v>261.4490966796875</v>
      </c>
      <c r="F520">
        <v>68.900749206542969</v>
      </c>
      <c r="G520">
        <v>165.4186706542969</v>
      </c>
      <c r="H520">
        <v>5994.56982421875</v>
      </c>
      <c r="I520">
        <f t="shared" si="24"/>
        <v>-3.4442316412519346E-2</v>
      </c>
      <c r="J520">
        <f t="shared" si="24"/>
        <v>2.6138248794042241E-2</v>
      </c>
      <c r="K520">
        <f t="shared" si="24"/>
        <v>-1.8419790405700557E-3</v>
      </c>
      <c r="L520">
        <f t="shared" si="23"/>
        <v>-1.834746175362458E-3</v>
      </c>
      <c r="M520">
        <f t="shared" si="23"/>
        <v>-7.1523361830831212E-3</v>
      </c>
      <c r="N520">
        <f t="shared" si="23"/>
        <v>1.6549998521035319E-2</v>
      </c>
      <c r="O520">
        <f t="shared" si="23"/>
        <v>-7.6376907294952029E-3</v>
      </c>
    </row>
    <row r="521" spans="1:15" x14ac:dyDescent="0.35">
      <c r="A521" s="2">
        <v>45692</v>
      </c>
      <c r="B521">
        <v>231.75184631347659</v>
      </c>
      <c r="C521">
        <v>1016.555480957031</v>
      </c>
      <c r="D521">
        <v>148.93110656738281</v>
      </c>
      <c r="E521">
        <v>262.55636596679688</v>
      </c>
      <c r="F521">
        <v>67.785545349121094</v>
      </c>
      <c r="G521">
        <v>164.80116271972659</v>
      </c>
      <c r="H521">
        <v>6037.8798828125</v>
      </c>
      <c r="I521">
        <f t="shared" si="24"/>
        <v>2.0790291076551649E-2</v>
      </c>
      <c r="J521">
        <f t="shared" si="24"/>
        <v>1.5811353551151625E-2</v>
      </c>
      <c r="K521">
        <f t="shared" si="24"/>
        <v>1.0610531285276722E-2</v>
      </c>
      <c r="L521">
        <f t="shared" si="23"/>
        <v>4.2261808858183132E-3</v>
      </c>
      <c r="M521">
        <f t="shared" si="23"/>
        <v>-1.6318075009220639E-2</v>
      </c>
      <c r="N521">
        <f t="shared" si="23"/>
        <v>-3.739985257959275E-3</v>
      </c>
      <c r="O521">
        <f t="shared" si="23"/>
        <v>7.1989074030291136E-3</v>
      </c>
    </row>
    <row r="522" spans="1:15" x14ac:dyDescent="0.35">
      <c r="A522" s="2">
        <v>45693</v>
      </c>
      <c r="B522">
        <v>231.42332458496091</v>
      </c>
      <c r="C522">
        <v>1037.466430664062</v>
      </c>
      <c r="D522">
        <v>150.095458984375</v>
      </c>
      <c r="E522">
        <v>264.996337890625</v>
      </c>
      <c r="F522">
        <v>67.106704711914063</v>
      </c>
      <c r="G522">
        <v>165.66371154785159</v>
      </c>
      <c r="H522">
        <v>6061.47998046875</v>
      </c>
      <c r="I522">
        <f t="shared" si="24"/>
        <v>-1.4185638792746195E-3</v>
      </c>
      <c r="J522">
        <f t="shared" si="24"/>
        <v>2.0361683635245618E-2</v>
      </c>
      <c r="K522">
        <f t="shared" si="24"/>
        <v>7.7876579255601363E-3</v>
      </c>
      <c r="L522">
        <f t="shared" si="23"/>
        <v>9.250220136485094E-3</v>
      </c>
      <c r="M522">
        <f t="shared" si="23"/>
        <v>-1.0065016599463452E-2</v>
      </c>
      <c r="N522">
        <f t="shared" si="23"/>
        <v>5.2202267414689293E-3</v>
      </c>
      <c r="O522">
        <f t="shared" si="23"/>
        <v>3.9010539156136138E-3</v>
      </c>
    </row>
    <row r="523" spans="1:15" x14ac:dyDescent="0.35">
      <c r="A523" s="2">
        <v>45694</v>
      </c>
      <c r="B523">
        <v>232.1699523925781</v>
      </c>
      <c r="C523">
        <v>1045.534301757812</v>
      </c>
      <c r="D523">
        <v>148.95051574707031</v>
      </c>
      <c r="E523">
        <v>271.33633422851563</v>
      </c>
      <c r="F523">
        <v>67.174598693847656</v>
      </c>
      <c r="G523">
        <v>165.53630065917969</v>
      </c>
      <c r="H523">
        <v>6083.56982421875</v>
      </c>
      <c r="I523">
        <f t="shared" si="24"/>
        <v>3.2210495286589275E-3</v>
      </c>
      <c r="J523">
        <f t="shared" si="24"/>
        <v>7.7464316861070538E-3</v>
      </c>
      <c r="K523">
        <f t="shared" si="24"/>
        <v>-7.6573432081623169E-3</v>
      </c>
      <c r="L523">
        <f t="shared" si="23"/>
        <v>2.3643130473450909E-2</v>
      </c>
      <c r="M523">
        <f t="shared" si="23"/>
        <v>1.0112202666659026E-3</v>
      </c>
      <c r="N523">
        <f t="shared" si="23"/>
        <v>-7.6938943394386911E-4</v>
      </c>
      <c r="O523">
        <f t="shared" si="23"/>
        <v>3.6376743552662661E-3</v>
      </c>
    </row>
    <row r="524" spans="1:15" x14ac:dyDescent="0.35">
      <c r="A524" s="2">
        <v>45695</v>
      </c>
      <c r="B524">
        <v>226.6051330566406</v>
      </c>
      <c r="C524">
        <v>1039.538940429688</v>
      </c>
      <c r="D524">
        <v>148.57208251953119</v>
      </c>
      <c r="E524">
        <v>270.25845336914063</v>
      </c>
      <c r="F524">
        <v>66.204841613769531</v>
      </c>
      <c r="G524">
        <v>164.64430236816409</v>
      </c>
      <c r="H524">
        <v>6025.990234375</v>
      </c>
      <c r="I524">
        <f t="shared" si="24"/>
        <v>-2.4260656058344453E-2</v>
      </c>
      <c r="J524">
        <f t="shared" si="24"/>
        <v>-5.7507599537954543E-3</v>
      </c>
      <c r="K524">
        <f t="shared" si="24"/>
        <v>-2.5438970607746373E-3</v>
      </c>
      <c r="L524">
        <f t="shared" si="23"/>
        <v>-3.9804012416047333E-3</v>
      </c>
      <c r="M524">
        <f t="shared" si="23"/>
        <v>-1.4541584015177248E-2</v>
      </c>
      <c r="N524">
        <f t="shared" si="23"/>
        <v>-5.4031063780632564E-3</v>
      </c>
      <c r="O524">
        <f t="shared" si="23"/>
        <v>-9.5098456936601999E-3</v>
      </c>
    </row>
    <row r="525" spans="1:15" x14ac:dyDescent="0.35">
      <c r="A525" s="2">
        <v>45698</v>
      </c>
      <c r="B525">
        <v>226.87419128417969</v>
      </c>
      <c r="C525">
        <v>1057.574829101562</v>
      </c>
      <c r="D525">
        <v>149.6588439941406</v>
      </c>
      <c r="E525">
        <v>265.59405517578119</v>
      </c>
      <c r="F525">
        <v>67.591583251953125</v>
      </c>
      <c r="G525">
        <v>164.21302795410159</v>
      </c>
      <c r="H525">
        <v>6066.43994140625</v>
      </c>
      <c r="I525">
        <f t="shared" si="24"/>
        <v>1.1866395871620097E-3</v>
      </c>
      <c r="J525">
        <f t="shared" si="24"/>
        <v>1.72011014695106E-2</v>
      </c>
      <c r="K525">
        <f t="shared" si="24"/>
        <v>7.2880857642470404E-3</v>
      </c>
      <c r="L525">
        <f t="shared" si="23"/>
        <v>-1.7409701111442348E-2</v>
      </c>
      <c r="M525">
        <f t="shared" si="23"/>
        <v>2.0729870761633629E-2</v>
      </c>
      <c r="N525">
        <f t="shared" si="23"/>
        <v>-2.6228678611698308E-3</v>
      </c>
      <c r="O525">
        <f t="shared" si="23"/>
        <v>6.6901122954551723E-3</v>
      </c>
    </row>
    <row r="526" spans="1:15" x14ac:dyDescent="0.35">
      <c r="A526" s="2">
        <v>45699</v>
      </c>
      <c r="B526">
        <v>231.8272705078125</v>
      </c>
      <c r="C526">
        <v>1054.00927734375</v>
      </c>
      <c r="D526">
        <v>151.4927062988281</v>
      </c>
      <c r="E526">
        <v>269.46469116210938</v>
      </c>
      <c r="F526">
        <v>68.202529907226563</v>
      </c>
      <c r="G526">
        <v>166.0754089355469</v>
      </c>
      <c r="H526">
        <v>6068.5</v>
      </c>
      <c r="I526">
        <f t="shared" si="24"/>
        <v>2.1596930272569727E-2</v>
      </c>
      <c r="J526">
        <f t="shared" si="24"/>
        <v>-3.3771377002747606E-3</v>
      </c>
      <c r="K526">
        <f t="shared" si="24"/>
        <v>1.2179150140008982E-2</v>
      </c>
      <c r="L526">
        <f t="shared" si="23"/>
        <v>1.4468330939145934E-2</v>
      </c>
      <c r="M526">
        <f t="shared" si="23"/>
        <v>8.9981923853394135E-3</v>
      </c>
      <c r="N526">
        <f t="shared" si="23"/>
        <v>1.1277420045992435E-2</v>
      </c>
      <c r="O526">
        <f t="shared" si="23"/>
        <v>3.3952514367385523E-4</v>
      </c>
    </row>
    <row r="527" spans="1:15" x14ac:dyDescent="0.35">
      <c r="A527" s="2">
        <v>45700</v>
      </c>
      <c r="B527">
        <v>236.0627746582031</v>
      </c>
      <c r="C527">
        <v>1060.761596679688</v>
      </c>
      <c r="D527">
        <v>150.64854431152341</v>
      </c>
      <c r="E527">
        <v>269.91549682617188</v>
      </c>
      <c r="F527">
        <v>67.184288024902344</v>
      </c>
      <c r="G527">
        <v>166.22242736816409</v>
      </c>
      <c r="H527">
        <v>6051.97021484375</v>
      </c>
      <c r="I527">
        <f t="shared" si="24"/>
        <v>1.8105193272120245E-2</v>
      </c>
      <c r="J527">
        <f t="shared" si="24"/>
        <v>6.3858854547631334E-3</v>
      </c>
      <c r="K527">
        <f t="shared" si="24"/>
        <v>-5.5878777368817108E-3</v>
      </c>
      <c r="L527">
        <f t="shared" si="23"/>
        <v>1.6715696240600898E-3</v>
      </c>
      <c r="M527">
        <f t="shared" si="23"/>
        <v>-1.5042248537034227E-2</v>
      </c>
      <c r="N527">
        <f t="shared" si="23"/>
        <v>8.8485946129044214E-4</v>
      </c>
      <c r="O527">
        <f t="shared" si="23"/>
        <v>-2.7275831896475754E-3</v>
      </c>
    </row>
    <row r="528" spans="1:15" x14ac:dyDescent="0.35">
      <c r="A528" s="2">
        <v>45701</v>
      </c>
      <c r="B528">
        <v>240.70689392089841</v>
      </c>
      <c r="C528">
        <v>1072.45361328125</v>
      </c>
      <c r="D528">
        <v>152.5794372558594</v>
      </c>
      <c r="E528">
        <v>270.76797485351563</v>
      </c>
      <c r="F528">
        <v>66.524871826171875</v>
      </c>
      <c r="G528">
        <v>167.6339111328125</v>
      </c>
      <c r="H528">
        <v>6115.06982421875</v>
      </c>
      <c r="I528">
        <f t="shared" si="24"/>
        <v>1.9482221542832363E-2</v>
      </c>
      <c r="J528">
        <f t="shared" si="24"/>
        <v>1.0961982295754654E-2</v>
      </c>
      <c r="K528">
        <f t="shared" si="24"/>
        <v>1.2735757652998017E-2</v>
      </c>
      <c r="L528">
        <f t="shared" si="23"/>
        <v>3.1533375010802168E-3</v>
      </c>
      <c r="M528">
        <f t="shared" si="23"/>
        <v>-9.8635208780096986E-3</v>
      </c>
      <c r="N528">
        <f t="shared" si="23"/>
        <v>8.4556859450687621E-3</v>
      </c>
      <c r="O528">
        <f t="shared" si="23"/>
        <v>1.0372313214235747E-2</v>
      </c>
    </row>
    <row r="529" spans="1:15" x14ac:dyDescent="0.35">
      <c r="A529" s="2">
        <v>45702</v>
      </c>
      <c r="B529">
        <v>243.7664489746094</v>
      </c>
      <c r="C529">
        <v>1067.464111328125</v>
      </c>
      <c r="D529">
        <v>151.51210021972659</v>
      </c>
      <c r="E529">
        <v>271.03256225585938</v>
      </c>
      <c r="F529">
        <v>66.001197814941406</v>
      </c>
      <c r="G529">
        <v>159.6648864746094</v>
      </c>
      <c r="H529">
        <v>6114.6298828125</v>
      </c>
      <c r="I529">
        <f t="shared" si="24"/>
        <v>1.2630605061192934E-2</v>
      </c>
      <c r="J529">
        <f t="shared" si="24"/>
        <v>-4.6632736741241427E-3</v>
      </c>
      <c r="K529">
        <f t="shared" si="24"/>
        <v>-7.0198692673889536E-3</v>
      </c>
      <c r="L529">
        <f t="shared" si="23"/>
        <v>9.7669679247157923E-4</v>
      </c>
      <c r="M529">
        <f t="shared" si="23"/>
        <v>-7.902999587260786E-3</v>
      </c>
      <c r="N529">
        <f t="shared" si="23"/>
        <v>-4.8705342056956244E-2</v>
      </c>
      <c r="O529">
        <f t="shared" si="23"/>
        <v>-7.1946395574495501E-5</v>
      </c>
    </row>
    <row r="530" spans="1:15" x14ac:dyDescent="0.35">
      <c r="A530" s="2">
        <v>45706</v>
      </c>
      <c r="B530">
        <v>243.63688659667969</v>
      </c>
      <c r="C530">
        <v>1051.708862304688</v>
      </c>
      <c r="D530">
        <v>151.59034729003909</v>
      </c>
      <c r="E530">
        <v>274.3250732421875</v>
      </c>
      <c r="F530">
        <v>66.427886962890625</v>
      </c>
      <c r="G530">
        <v>162.15458679199219</v>
      </c>
      <c r="H530">
        <v>6129.580078125</v>
      </c>
      <c r="I530">
        <f t="shared" si="24"/>
        <v>-5.3164339070243323E-4</v>
      </c>
      <c r="J530">
        <f t="shared" si="24"/>
        <v>-1.4869517035367069E-2</v>
      </c>
      <c r="K530">
        <f t="shared" si="24"/>
        <v>5.163077546457642E-4</v>
      </c>
      <c r="L530">
        <f t="shared" si="23"/>
        <v>1.2074832280158808E-2</v>
      </c>
      <c r="M530">
        <f t="shared" si="23"/>
        <v>6.4440621215433019E-3</v>
      </c>
      <c r="N530">
        <f t="shared" si="23"/>
        <v>1.5472960439766644E-2</v>
      </c>
      <c r="O530">
        <f t="shared" si="23"/>
        <v>2.4420036555518089E-3</v>
      </c>
    </row>
    <row r="531" spans="1:15" x14ac:dyDescent="0.35">
      <c r="A531" s="2">
        <v>45707</v>
      </c>
      <c r="B531">
        <v>244.03550720214841</v>
      </c>
      <c r="C531">
        <v>1058.192260742188</v>
      </c>
      <c r="D531">
        <v>154.42674255371091</v>
      </c>
      <c r="E531">
        <v>273.63912963867188</v>
      </c>
      <c r="F531">
        <v>66.970939636230469</v>
      </c>
      <c r="G531">
        <v>163.19361877441409</v>
      </c>
      <c r="H531">
        <v>6144.14990234375</v>
      </c>
      <c r="I531">
        <f t="shared" si="24"/>
        <v>1.6347888431446824E-3</v>
      </c>
      <c r="J531">
        <f t="shared" si="24"/>
        <v>6.1457086998259886E-3</v>
      </c>
      <c r="K531">
        <f t="shared" si="24"/>
        <v>1.8538026709016765E-2</v>
      </c>
      <c r="L531">
        <f t="shared" si="23"/>
        <v>-2.5036086598495249E-3</v>
      </c>
      <c r="M531">
        <f t="shared" si="23"/>
        <v>8.1418358327678755E-3</v>
      </c>
      <c r="N531">
        <f t="shared" si="23"/>
        <v>6.3872214265005894E-3</v>
      </c>
      <c r="O531">
        <f t="shared" si="23"/>
        <v>2.3741488668242434E-3</v>
      </c>
    </row>
    <row r="532" spans="1:15" x14ac:dyDescent="0.35">
      <c r="A532" s="2">
        <v>45708</v>
      </c>
      <c r="B532">
        <v>244.99224853515619</v>
      </c>
      <c r="C532">
        <v>1030.595581054688</v>
      </c>
      <c r="D532">
        <v>156.1774597167969</v>
      </c>
      <c r="E532">
        <v>261.43927001953119</v>
      </c>
      <c r="F532">
        <v>68.018272399902344</v>
      </c>
      <c r="G532">
        <v>163.89936828613281</v>
      </c>
      <c r="H532">
        <v>6117.52001953125</v>
      </c>
      <c r="I532">
        <f t="shared" si="24"/>
        <v>3.9128353859173145E-3</v>
      </c>
      <c r="J532">
        <f t="shared" si="24"/>
        <v>-2.642516869286345E-2</v>
      </c>
      <c r="K532">
        <f t="shared" si="24"/>
        <v>1.127309734215466E-2</v>
      </c>
      <c r="L532">
        <f t="shared" si="23"/>
        <v>-4.5608173692761489E-2</v>
      </c>
      <c r="M532">
        <f t="shared" si="23"/>
        <v>1.5517592315552491E-2</v>
      </c>
      <c r="N532">
        <f t="shared" si="23"/>
        <v>4.3152903597871517E-3</v>
      </c>
      <c r="O532">
        <f t="shared" si="23"/>
        <v>-4.3436048842902591E-3</v>
      </c>
    </row>
    <row r="533" spans="1:15" x14ac:dyDescent="0.35">
      <c r="A533" s="2">
        <v>45709</v>
      </c>
      <c r="B533">
        <v>244.71319580078119</v>
      </c>
      <c r="C533">
        <v>1030.794677734375</v>
      </c>
      <c r="D533">
        <v>158.74000549316409</v>
      </c>
      <c r="E533">
        <v>258.93072509765619</v>
      </c>
      <c r="F533">
        <v>69.414726257324219</v>
      </c>
      <c r="G533">
        <v>166.85955810546881</v>
      </c>
      <c r="H533">
        <v>6013.1298828125</v>
      </c>
      <c r="I533">
        <f t="shared" si="24"/>
        <v>-1.1396759738199111E-3</v>
      </c>
      <c r="J533">
        <f t="shared" si="24"/>
        <v>1.9316738250535294E-4</v>
      </c>
      <c r="K533">
        <f t="shared" si="24"/>
        <v>1.627475526453058E-2</v>
      </c>
      <c r="L533">
        <f t="shared" si="23"/>
        <v>-9.6414642573244645E-3</v>
      </c>
      <c r="M533">
        <f t="shared" si="23"/>
        <v>2.0322658069549551E-2</v>
      </c>
      <c r="N533">
        <f t="shared" si="23"/>
        <v>1.7899857696885926E-2</v>
      </c>
      <c r="O533">
        <f t="shared" si="23"/>
        <v>-1.7211396672539132E-2</v>
      </c>
    </row>
    <row r="534" spans="1:15" x14ac:dyDescent="0.35">
      <c r="A534" s="2">
        <v>45712</v>
      </c>
      <c r="B534">
        <v>246.25791931152341</v>
      </c>
      <c r="C534">
        <v>1031.362426757812</v>
      </c>
      <c r="D534">
        <v>160.14842224121091</v>
      </c>
      <c r="E534">
        <v>256.0889892578125</v>
      </c>
      <c r="F534">
        <v>68.658317565917969</v>
      </c>
      <c r="G534">
        <v>167.1634216308594</v>
      </c>
      <c r="H534">
        <v>5983.25</v>
      </c>
      <c r="I534">
        <f t="shared" si="24"/>
        <v>6.2925437374129365E-3</v>
      </c>
      <c r="J534">
        <f t="shared" si="24"/>
        <v>5.5063606603534198E-4</v>
      </c>
      <c r="K534">
        <f t="shared" si="24"/>
        <v>8.8333459827110057E-3</v>
      </c>
      <c r="L534">
        <f t="shared" si="24"/>
        <v>-1.103555689341606E-2</v>
      </c>
      <c r="M534">
        <f t="shared" si="24"/>
        <v>-1.0956755029292707E-2</v>
      </c>
      <c r="N534">
        <f t="shared" si="24"/>
        <v>1.8194173913018345E-3</v>
      </c>
      <c r="O534">
        <f t="shared" si="24"/>
        <v>-4.9814935662523506E-3</v>
      </c>
    </row>
    <row r="535" spans="1:15" x14ac:dyDescent="0.35">
      <c r="A535" s="2">
        <v>45713</v>
      </c>
      <c r="B535">
        <v>246.1981201171875</v>
      </c>
      <c r="C535">
        <v>1051.340454101562</v>
      </c>
      <c r="D535">
        <v>162.44688415527341</v>
      </c>
      <c r="E535">
        <v>252.22813415527341</v>
      </c>
      <c r="F535">
        <v>69.123786926269531</v>
      </c>
      <c r="G535">
        <v>169.23164367675781</v>
      </c>
      <c r="H535">
        <v>5955.25</v>
      </c>
      <c r="I535">
        <f t="shared" ref="I535:O571" si="25">LN(B535/B534)</f>
        <v>-2.4286104684272046E-4</v>
      </c>
      <c r="J535">
        <f t="shared" si="25"/>
        <v>1.9185300322205345E-2</v>
      </c>
      <c r="K535">
        <f t="shared" si="25"/>
        <v>1.4250057350209485E-2</v>
      </c>
      <c r="L535">
        <f t="shared" si="25"/>
        <v>-1.5191026117371404E-2</v>
      </c>
      <c r="M535">
        <f t="shared" si="25"/>
        <v>6.7566268183607064E-3</v>
      </c>
      <c r="N535">
        <f t="shared" si="25"/>
        <v>1.229654248580341E-2</v>
      </c>
      <c r="O535">
        <f t="shared" si="25"/>
        <v>-4.690715138395557E-3</v>
      </c>
    </row>
    <row r="536" spans="1:15" x14ac:dyDescent="0.35">
      <c r="A536" s="2">
        <v>45714</v>
      </c>
      <c r="B536">
        <v>239.5408935546875</v>
      </c>
      <c r="C536">
        <v>1027.747314453125</v>
      </c>
      <c r="D536">
        <v>159.5028991699219</v>
      </c>
      <c r="E536">
        <v>253.5902404785156</v>
      </c>
      <c r="F536">
        <v>68.861961364746094</v>
      </c>
      <c r="G536">
        <v>167.90840148925781</v>
      </c>
      <c r="H536">
        <v>5956.06005859375</v>
      </c>
      <c r="I536">
        <f t="shared" si="25"/>
        <v>-2.741243032228451E-2</v>
      </c>
      <c r="J536">
        <f t="shared" si="25"/>
        <v>-2.2696639175799241E-2</v>
      </c>
      <c r="K536">
        <f t="shared" si="25"/>
        <v>-1.8288982926800458E-2</v>
      </c>
      <c r="L536">
        <f t="shared" si="25"/>
        <v>5.3857656583484667E-3</v>
      </c>
      <c r="M536">
        <f t="shared" si="25"/>
        <v>-3.7949698283481002E-3</v>
      </c>
      <c r="N536">
        <f t="shared" si="25"/>
        <v>-7.8498475712183765E-3</v>
      </c>
      <c r="O536">
        <f t="shared" si="25"/>
        <v>1.3601502958346571E-4</v>
      </c>
    </row>
    <row r="537" spans="1:15" x14ac:dyDescent="0.35">
      <c r="A537" s="2">
        <v>45715</v>
      </c>
      <c r="B537">
        <v>236.49131774902341</v>
      </c>
      <c r="C537">
        <v>1017.529296875</v>
      </c>
      <c r="D537">
        <v>160.13862609863281</v>
      </c>
      <c r="E537">
        <v>253.8450012207031</v>
      </c>
      <c r="F537">
        <v>67.281265258789063</v>
      </c>
      <c r="G537">
        <v>168.56512451171881</v>
      </c>
      <c r="H537">
        <v>5861.56982421875</v>
      </c>
      <c r="I537">
        <f t="shared" si="25"/>
        <v>-1.2812651969177987E-2</v>
      </c>
      <c r="J537">
        <f t="shared" si="25"/>
        <v>-9.9919028396415182E-3</v>
      </c>
      <c r="K537">
        <f t="shared" si="25"/>
        <v>3.9777545574571785E-3</v>
      </c>
      <c r="L537">
        <f t="shared" si="25"/>
        <v>1.0041114319904458E-3</v>
      </c>
      <c r="M537">
        <f t="shared" si="25"/>
        <v>-2.3222119517390092E-2</v>
      </c>
      <c r="N537">
        <f t="shared" si="25"/>
        <v>3.9035692595893582E-3</v>
      </c>
      <c r="O537">
        <f t="shared" si="25"/>
        <v>-1.5991742678524653E-2</v>
      </c>
    </row>
    <row r="538" spans="1:15" x14ac:dyDescent="0.35">
      <c r="A538" s="2">
        <v>45716</v>
      </c>
      <c r="B538">
        <v>241.0158386230469</v>
      </c>
      <c r="C538">
        <v>1044.3193359375</v>
      </c>
      <c r="D538">
        <v>161.40034484863281</v>
      </c>
      <c r="E538">
        <v>259.33248901367188</v>
      </c>
      <c r="F538">
        <v>68.608062744140625</v>
      </c>
      <c r="G538">
        <v>170.39808654785159</v>
      </c>
      <c r="H538">
        <v>5954.5</v>
      </c>
      <c r="I538">
        <f t="shared" si="25"/>
        <v>1.8951155921255763E-2</v>
      </c>
      <c r="J538">
        <f t="shared" si="25"/>
        <v>2.5987889106636783E-2</v>
      </c>
      <c r="K538">
        <f t="shared" si="25"/>
        <v>7.8480392111012522E-3</v>
      </c>
      <c r="L538">
        <f t="shared" si="25"/>
        <v>2.1387130436628536E-2</v>
      </c>
      <c r="M538">
        <f t="shared" si="25"/>
        <v>1.9528239183115328E-2</v>
      </c>
      <c r="N538">
        <f t="shared" si="25"/>
        <v>1.0815214412159718E-2</v>
      </c>
      <c r="O538">
        <f t="shared" si="25"/>
        <v>1.5729780420663385E-2</v>
      </c>
    </row>
    <row r="539" spans="1:15" x14ac:dyDescent="0.35">
      <c r="A539" s="2">
        <v>45719</v>
      </c>
      <c r="B539">
        <v>237.21882629394531</v>
      </c>
      <c r="C539">
        <v>1042.56640625</v>
      </c>
      <c r="D539">
        <v>163.61077880859381</v>
      </c>
      <c r="E539">
        <v>255.3834533691406</v>
      </c>
      <c r="F539">
        <v>70.025787353515625</v>
      </c>
      <c r="G539">
        <v>172.1134338378906</v>
      </c>
      <c r="H539">
        <v>5849.72021484375</v>
      </c>
      <c r="I539">
        <f t="shared" si="25"/>
        <v>-1.587961892322437E-2</v>
      </c>
      <c r="J539">
        <f t="shared" si="25"/>
        <v>-1.6799483213932303E-3</v>
      </c>
      <c r="K539">
        <f t="shared" si="25"/>
        <v>1.3602414694224817E-2</v>
      </c>
      <c r="L539">
        <f t="shared" si="25"/>
        <v>-1.5344825395587749E-2</v>
      </c>
      <c r="M539">
        <f t="shared" si="25"/>
        <v>2.0453504435819128E-2</v>
      </c>
      <c r="N539">
        <f t="shared" si="25"/>
        <v>1.0016373344126786E-2</v>
      </c>
      <c r="O539">
        <f t="shared" si="25"/>
        <v>-1.7753402648308866E-2</v>
      </c>
    </row>
    <row r="540" spans="1:15" x14ac:dyDescent="0.35">
      <c r="A540" s="2">
        <v>45720</v>
      </c>
      <c r="B540">
        <v>235.1259765625</v>
      </c>
      <c r="C540">
        <v>1032.627319335938</v>
      </c>
      <c r="D540">
        <v>161.79158020019531</v>
      </c>
      <c r="E540">
        <v>245.2218017578125</v>
      </c>
      <c r="F540">
        <v>69.272918701171875</v>
      </c>
      <c r="G540">
        <v>169.75115966796881</v>
      </c>
      <c r="H540">
        <v>5778.14990234375</v>
      </c>
      <c r="I540">
        <f t="shared" si="25"/>
        <v>-8.8615918470853483E-3</v>
      </c>
      <c r="J540">
        <f t="shared" si="25"/>
        <v>-9.5790217465928293E-3</v>
      </c>
      <c r="K540">
        <f t="shared" si="25"/>
        <v>-1.1181342183774251E-2</v>
      </c>
      <c r="L540">
        <f t="shared" si="25"/>
        <v>-4.0603040085052632E-2</v>
      </c>
      <c r="M540">
        <f t="shared" si="25"/>
        <v>-1.0809518687449476E-2</v>
      </c>
      <c r="N540">
        <f t="shared" si="25"/>
        <v>-1.3820160458758463E-2</v>
      </c>
      <c r="O540">
        <f t="shared" si="25"/>
        <v>-1.2310288231505477E-2</v>
      </c>
    </row>
    <row r="541" spans="1:15" x14ac:dyDescent="0.35">
      <c r="A541" s="2">
        <v>45721</v>
      </c>
      <c r="B541">
        <v>234.93663024902341</v>
      </c>
      <c r="C541">
        <v>1043.462768554688</v>
      </c>
      <c r="D541">
        <v>161.49815368652341</v>
      </c>
      <c r="E541">
        <v>246.47608947753909</v>
      </c>
      <c r="F541">
        <v>68.911170959472656</v>
      </c>
      <c r="G541">
        <v>171.15284729003909</v>
      </c>
      <c r="H541">
        <v>5842.6298828125</v>
      </c>
      <c r="I541">
        <f t="shared" si="25"/>
        <v>-8.0562172346288537E-4</v>
      </c>
      <c r="J541">
        <f t="shared" si="25"/>
        <v>1.0438417550527396E-2</v>
      </c>
      <c r="K541">
        <f t="shared" si="25"/>
        <v>-1.8152546368725598E-3</v>
      </c>
      <c r="L541">
        <f t="shared" si="25"/>
        <v>5.1018743938131845E-3</v>
      </c>
      <c r="M541">
        <f t="shared" si="25"/>
        <v>-5.2357484710673753E-3</v>
      </c>
      <c r="N541">
        <f t="shared" si="25"/>
        <v>8.2234030253142219E-3</v>
      </c>
      <c r="O541">
        <f t="shared" si="25"/>
        <v>1.1097472528735688E-2</v>
      </c>
    </row>
    <row r="542" spans="1:15" x14ac:dyDescent="0.35">
      <c r="A542" s="2">
        <v>45722</v>
      </c>
      <c r="B542">
        <v>234.5280456542969</v>
      </c>
      <c r="C542">
        <v>1022.419189453125</v>
      </c>
      <c r="D542">
        <v>162.19258117675781</v>
      </c>
      <c r="E542">
        <v>241.5863342285156</v>
      </c>
      <c r="F542">
        <v>68.451629638671875</v>
      </c>
      <c r="G542">
        <v>171.20185852050781</v>
      </c>
      <c r="H542">
        <v>5738.52001953125</v>
      </c>
      <c r="I542">
        <f t="shared" si="25"/>
        <v>-1.7406408569597882E-3</v>
      </c>
      <c r="J542">
        <f t="shared" si="25"/>
        <v>-2.0373194014904381E-2</v>
      </c>
      <c r="K542">
        <f t="shared" si="25"/>
        <v>4.290691581869714E-3</v>
      </c>
      <c r="L542">
        <f t="shared" si="25"/>
        <v>-2.0038087849628301E-2</v>
      </c>
      <c r="M542">
        <f t="shared" si="25"/>
        <v>-6.6909386416000114E-3</v>
      </c>
      <c r="N542">
        <f t="shared" si="25"/>
        <v>2.8631842922979708E-4</v>
      </c>
      <c r="O542">
        <f t="shared" si="25"/>
        <v>-1.7979677107455568E-2</v>
      </c>
    </row>
    <row r="543" spans="1:15" x14ac:dyDescent="0.35">
      <c r="A543" s="2">
        <v>45723</v>
      </c>
      <c r="B543">
        <v>238.25529479980469</v>
      </c>
      <c r="C543">
        <v>960.3641357421875</v>
      </c>
      <c r="D543">
        <v>163.0337219238281</v>
      </c>
      <c r="E543">
        <v>237.41192626953119</v>
      </c>
      <c r="F543">
        <v>71.208847045898438</v>
      </c>
      <c r="G543">
        <v>172.46632385253909</v>
      </c>
      <c r="H543">
        <v>5770.2001953125</v>
      </c>
      <c r="I543">
        <f t="shared" si="25"/>
        <v>1.5767587593123793E-2</v>
      </c>
      <c r="J543">
        <f t="shared" si="25"/>
        <v>-6.2614331866514022E-2</v>
      </c>
      <c r="K543">
        <f t="shared" si="25"/>
        <v>5.172660480059558E-3</v>
      </c>
      <c r="L543">
        <f t="shared" si="25"/>
        <v>-1.7430182899311919E-2</v>
      </c>
      <c r="M543">
        <f t="shared" si="25"/>
        <v>3.9489707786844817E-2</v>
      </c>
      <c r="N543">
        <f t="shared" si="25"/>
        <v>7.3586738766635226E-3</v>
      </c>
      <c r="O543">
        <f t="shared" si="25"/>
        <v>5.5054350454544669E-3</v>
      </c>
    </row>
    <row r="544" spans="1:15" x14ac:dyDescent="0.35">
      <c r="A544" s="2">
        <v>45726</v>
      </c>
      <c r="B544">
        <v>226.70477294921881</v>
      </c>
      <c r="C544">
        <v>930.5865478515625</v>
      </c>
      <c r="D544">
        <v>164.02156066894531</v>
      </c>
      <c r="E544">
        <v>227.55409240722659</v>
      </c>
      <c r="F544">
        <v>74.464729309082031</v>
      </c>
      <c r="G544">
        <v>172.77018737792969</v>
      </c>
      <c r="H544">
        <v>5614.56005859375</v>
      </c>
      <c r="I544">
        <f t="shared" si="25"/>
        <v>-4.969415467655864E-2</v>
      </c>
      <c r="J544">
        <f t="shared" si="25"/>
        <v>-3.1497436651180911E-2</v>
      </c>
      <c r="K544">
        <f t="shared" si="25"/>
        <v>6.0408242989710382E-3</v>
      </c>
      <c r="L544">
        <f t="shared" si="25"/>
        <v>-4.2408738986419725E-2</v>
      </c>
      <c r="M544">
        <f t="shared" si="25"/>
        <v>4.4708514226919335E-2</v>
      </c>
      <c r="N544">
        <f t="shared" si="25"/>
        <v>1.7603213679429684E-3</v>
      </c>
      <c r="O544">
        <f t="shared" si="25"/>
        <v>-2.7343541788428148E-2</v>
      </c>
    </row>
    <row r="545" spans="1:15" x14ac:dyDescent="0.35">
      <c r="A545" s="2">
        <v>45727</v>
      </c>
      <c r="B545">
        <v>220.08740234375</v>
      </c>
      <c r="C545">
        <v>926.68255615234375</v>
      </c>
      <c r="D545">
        <v>162.221923828125</v>
      </c>
      <c r="E545">
        <v>224.53596496582031</v>
      </c>
      <c r="F545">
        <v>72.38214111328125</v>
      </c>
      <c r="G545">
        <v>169.6923522949219</v>
      </c>
      <c r="H545">
        <v>5572.06982421875</v>
      </c>
      <c r="I545">
        <f t="shared" si="25"/>
        <v>-2.9623860487679066E-2</v>
      </c>
      <c r="J545">
        <f t="shared" si="25"/>
        <v>-4.2040191598055913E-3</v>
      </c>
      <c r="K545">
        <f t="shared" si="25"/>
        <v>-1.103258872787061E-2</v>
      </c>
      <c r="L545">
        <f t="shared" si="25"/>
        <v>-1.3352084306653834E-2</v>
      </c>
      <c r="M545">
        <f t="shared" si="25"/>
        <v>-2.8365981930663191E-2</v>
      </c>
      <c r="N545">
        <f t="shared" si="25"/>
        <v>-1.7975209541480536E-2</v>
      </c>
      <c r="O545">
        <f t="shared" si="25"/>
        <v>-7.5966469185365778E-3</v>
      </c>
    </row>
    <row r="546" spans="1:15" x14ac:dyDescent="0.35">
      <c r="A546" s="2">
        <v>45728</v>
      </c>
      <c r="B546">
        <v>216.24055480957031</v>
      </c>
      <c r="C546">
        <v>923.28656005859375</v>
      </c>
      <c r="D546">
        <v>159.27793884277341</v>
      </c>
      <c r="E546">
        <v>223.32087707519531</v>
      </c>
      <c r="F546">
        <v>71.296852111816406</v>
      </c>
      <c r="G546">
        <v>165.03639221191409</v>
      </c>
      <c r="H546">
        <v>5599.2998046875</v>
      </c>
      <c r="I546">
        <f t="shared" si="25"/>
        <v>-1.763328315996136E-2</v>
      </c>
      <c r="J546">
        <f t="shared" si="25"/>
        <v>-3.6714125426415803E-3</v>
      </c>
      <c r="K546">
        <f t="shared" si="25"/>
        <v>-1.8314578741348508E-2</v>
      </c>
      <c r="L546">
        <f t="shared" si="25"/>
        <v>-5.4262467735102854E-3</v>
      </c>
      <c r="M546">
        <f t="shared" si="25"/>
        <v>-1.5107422716418501E-2</v>
      </c>
      <c r="N546">
        <f t="shared" si="25"/>
        <v>-2.7821096754794716E-2</v>
      </c>
      <c r="O546">
        <f t="shared" si="25"/>
        <v>4.8749679404907773E-3</v>
      </c>
    </row>
    <row r="547" spans="1:15" x14ac:dyDescent="0.35">
      <c r="A547" s="2">
        <v>45729</v>
      </c>
      <c r="B547">
        <v>208.9654235839844</v>
      </c>
      <c r="C547">
        <v>886.9757080078125</v>
      </c>
      <c r="D547">
        <v>159.41487121582031</v>
      </c>
      <c r="E547">
        <v>220.66534423828119</v>
      </c>
      <c r="F547">
        <v>71.111076354980469</v>
      </c>
      <c r="G547">
        <v>165.25202941894531</v>
      </c>
      <c r="H547">
        <v>5521.52001953125</v>
      </c>
      <c r="I547">
        <f t="shared" si="25"/>
        <v>-3.4222666795603568E-2</v>
      </c>
      <c r="J547">
        <f t="shared" si="25"/>
        <v>-4.0122057007279742E-2</v>
      </c>
      <c r="K547">
        <f t="shared" si="25"/>
        <v>8.5933775191428155E-4</v>
      </c>
      <c r="L547">
        <f t="shared" si="25"/>
        <v>-1.1962373498226844E-2</v>
      </c>
      <c r="M547">
        <f t="shared" si="25"/>
        <v>-2.6090662819248057E-3</v>
      </c>
      <c r="N547">
        <f t="shared" si="25"/>
        <v>1.3057511165827306E-3</v>
      </c>
      <c r="O547">
        <f t="shared" si="25"/>
        <v>-1.3988366806464148E-2</v>
      </c>
    </row>
    <row r="548" spans="1:15" x14ac:dyDescent="0.35">
      <c r="A548" s="2">
        <v>45730</v>
      </c>
      <c r="B548">
        <v>212.762451171875</v>
      </c>
      <c r="C548">
        <v>900.2213134765625</v>
      </c>
      <c r="D548">
        <v>159.23881530761719</v>
      </c>
      <c r="E548">
        <v>227.7696533203125</v>
      </c>
      <c r="F548">
        <v>71.912834167480469</v>
      </c>
      <c r="G548">
        <v>164.64430236816409</v>
      </c>
      <c r="H548">
        <v>5638.93994140625</v>
      </c>
      <c r="I548">
        <f t="shared" si="25"/>
        <v>1.8007489756816781E-2</v>
      </c>
      <c r="J548">
        <f t="shared" si="25"/>
        <v>1.4823041711124167E-2</v>
      </c>
      <c r="K548">
        <f t="shared" si="25"/>
        <v>-1.1049985207321619E-3</v>
      </c>
      <c r="L548">
        <f t="shared" si="25"/>
        <v>3.1687551437194761E-2</v>
      </c>
      <c r="M548">
        <f t="shared" si="25"/>
        <v>1.1211638781558651E-2</v>
      </c>
      <c r="N548">
        <f t="shared" si="25"/>
        <v>-3.6843558396281E-3</v>
      </c>
      <c r="O548">
        <f t="shared" si="25"/>
        <v>2.1042905953196939E-2</v>
      </c>
    </row>
    <row r="549" spans="1:15" x14ac:dyDescent="0.35">
      <c r="A549" s="2">
        <v>45733</v>
      </c>
      <c r="B549">
        <v>213.27070617675781</v>
      </c>
      <c r="C549">
        <v>912.859375</v>
      </c>
      <c r="D549">
        <v>159.2681579589844</v>
      </c>
      <c r="E549">
        <v>229.2297058105469</v>
      </c>
      <c r="F549">
        <v>70.5048828125</v>
      </c>
      <c r="G549">
        <v>166.39886474609381</v>
      </c>
      <c r="H549">
        <v>5675.1201171875</v>
      </c>
      <c r="I549">
        <f t="shared" si="25"/>
        <v>2.3859891524318291E-3</v>
      </c>
      <c r="J549">
        <f t="shared" si="25"/>
        <v>1.3941206582436052E-2</v>
      </c>
      <c r="K549">
        <f t="shared" si="25"/>
        <v>1.842512341207723E-4</v>
      </c>
      <c r="L549">
        <f t="shared" si="25"/>
        <v>6.3897571353897249E-3</v>
      </c>
      <c r="M549">
        <f t="shared" si="25"/>
        <v>-1.9772781869200021E-2</v>
      </c>
      <c r="N549">
        <f t="shared" si="25"/>
        <v>1.0600302206403959E-2</v>
      </c>
      <c r="O549">
        <f t="shared" si="25"/>
        <v>6.3956349746060355E-3</v>
      </c>
    </row>
    <row r="550" spans="1:15" x14ac:dyDescent="0.35">
      <c r="A550" s="2">
        <v>45734</v>
      </c>
      <c r="B550">
        <v>211.96519470214841</v>
      </c>
      <c r="C550">
        <v>894.37530517578125</v>
      </c>
      <c r="D550">
        <v>160.64723205566409</v>
      </c>
      <c r="E550">
        <v>230.24882507324219</v>
      </c>
      <c r="F550">
        <v>69.126258850097656</v>
      </c>
      <c r="G550">
        <v>164.38946533203119</v>
      </c>
      <c r="H550">
        <v>5614.66015625</v>
      </c>
      <c r="I550">
        <f t="shared" si="25"/>
        <v>-6.1401945301737407E-3</v>
      </c>
      <c r="J550">
        <f t="shared" si="25"/>
        <v>-2.0456352012731074E-2</v>
      </c>
      <c r="K550">
        <f t="shared" si="25"/>
        <v>8.6215460840580981E-3</v>
      </c>
      <c r="L550">
        <f t="shared" si="25"/>
        <v>4.435989346097997E-3</v>
      </c>
      <c r="M550">
        <f t="shared" si="25"/>
        <v>-1.9747296281987396E-2</v>
      </c>
      <c r="N550">
        <f t="shared" si="25"/>
        <v>-1.2149304844455087E-2</v>
      </c>
      <c r="O550">
        <f t="shared" si="25"/>
        <v>-1.0710667074319702E-2</v>
      </c>
    </row>
    <row r="551" spans="1:15" x14ac:dyDescent="0.35">
      <c r="A551" s="2">
        <v>45735</v>
      </c>
      <c r="B551">
        <v>214.50648498535159</v>
      </c>
      <c r="C551">
        <v>900.35076904296875</v>
      </c>
      <c r="D551">
        <v>159.41487121582031</v>
      </c>
      <c r="E551">
        <v>234.3056335449219</v>
      </c>
      <c r="F551">
        <v>68.930717468261719</v>
      </c>
      <c r="G551">
        <v>165.23243713378909</v>
      </c>
      <c r="H551">
        <v>5675.2900390625</v>
      </c>
      <c r="I551">
        <f t="shared" si="25"/>
        <v>1.1917885682598337E-2</v>
      </c>
      <c r="J551">
        <f t="shared" si="25"/>
        <v>6.6589392477001547E-3</v>
      </c>
      <c r="K551">
        <f t="shared" si="25"/>
        <v>-7.7007987974467276E-3</v>
      </c>
      <c r="L551">
        <f t="shared" si="25"/>
        <v>1.7465817085412328E-2</v>
      </c>
      <c r="M551">
        <f t="shared" si="25"/>
        <v>-2.8327653960220829E-3</v>
      </c>
      <c r="N551">
        <f t="shared" si="25"/>
        <v>5.1147914213601625E-3</v>
      </c>
      <c r="O551">
        <f t="shared" si="25"/>
        <v>1.0740608172953766E-2</v>
      </c>
    </row>
    <row r="552" spans="1:15" x14ac:dyDescent="0.35">
      <c r="A552" s="2">
        <v>45736</v>
      </c>
      <c r="B552">
        <v>213.3703918457031</v>
      </c>
      <c r="C552">
        <v>891.73614501953125</v>
      </c>
      <c r="D552">
        <v>159.4442138671875</v>
      </c>
      <c r="E552">
        <v>234.2076416015625</v>
      </c>
      <c r="F552">
        <v>69.566253662109375</v>
      </c>
      <c r="G552">
        <v>164.2326354980469</v>
      </c>
      <c r="H552">
        <v>5662.89013671875</v>
      </c>
      <c r="I552">
        <f t="shared" si="25"/>
        <v>-5.3103865668073895E-3</v>
      </c>
      <c r="J552">
        <f t="shared" si="25"/>
        <v>-9.6141435006723043E-3</v>
      </c>
      <c r="K552">
        <f t="shared" si="25"/>
        <v>1.8404776794981223E-4</v>
      </c>
      <c r="L552">
        <f t="shared" si="25"/>
        <v>-4.1831021653620593E-4</v>
      </c>
      <c r="M552">
        <f t="shared" si="25"/>
        <v>9.1776830869543628E-3</v>
      </c>
      <c r="N552">
        <f t="shared" si="25"/>
        <v>-6.069260676436301E-3</v>
      </c>
      <c r="O552">
        <f t="shared" si="25"/>
        <v>-2.1872835137829848E-3</v>
      </c>
    </row>
    <row r="553" spans="1:15" x14ac:dyDescent="0.35">
      <c r="A553" s="2">
        <v>45737</v>
      </c>
      <c r="B553">
        <v>217.52616882324219</v>
      </c>
      <c r="C553">
        <v>905.5394287109375</v>
      </c>
      <c r="D553">
        <v>160.04084777832031</v>
      </c>
      <c r="E553">
        <v>236.7749938964844</v>
      </c>
      <c r="F553">
        <v>69.302261352539063</v>
      </c>
      <c r="G553">
        <v>163.3896484375</v>
      </c>
      <c r="H553">
        <v>5667.56005859375</v>
      </c>
      <c r="I553">
        <f t="shared" si="25"/>
        <v>1.9289575343800072E-2</v>
      </c>
      <c r="J553">
        <f t="shared" si="25"/>
        <v>1.5360532680151319E-2</v>
      </c>
      <c r="K553">
        <f t="shared" si="25"/>
        <v>3.7349765378643608E-3</v>
      </c>
      <c r="L553">
        <f t="shared" si="25"/>
        <v>1.0902218173841904E-2</v>
      </c>
      <c r="M553">
        <f t="shared" si="25"/>
        <v>-3.8020515673583399E-3</v>
      </c>
      <c r="N553">
        <f t="shared" si="25"/>
        <v>-5.1461024615157324E-3</v>
      </c>
      <c r="O553">
        <f t="shared" si="25"/>
        <v>8.2431360783232106E-4</v>
      </c>
    </row>
    <row r="554" spans="1:15" x14ac:dyDescent="0.35">
      <c r="A554" s="2">
        <v>45740</v>
      </c>
      <c r="B554">
        <v>219.97776794433591</v>
      </c>
      <c r="C554">
        <v>922.250732421875</v>
      </c>
      <c r="D554">
        <v>159.70826721191409</v>
      </c>
      <c r="E554">
        <v>243.07582092285159</v>
      </c>
      <c r="F554">
        <v>68.510284423828125</v>
      </c>
      <c r="G554">
        <v>162.37025451660159</v>
      </c>
      <c r="H554">
        <v>5767.56982421875</v>
      </c>
      <c r="I554">
        <f t="shared" si="25"/>
        <v>1.1207326727510725E-2</v>
      </c>
      <c r="J554">
        <f t="shared" si="25"/>
        <v>1.8286310690300605E-2</v>
      </c>
      <c r="K554">
        <f t="shared" si="25"/>
        <v>-2.0802602462418585E-3</v>
      </c>
      <c r="L554">
        <f t="shared" si="25"/>
        <v>2.6263117596537624E-2</v>
      </c>
      <c r="M554">
        <f t="shared" si="25"/>
        <v>-1.1493665440441414E-2</v>
      </c>
      <c r="N554">
        <f t="shared" si="25"/>
        <v>-6.2585802556358143E-3</v>
      </c>
      <c r="O554">
        <f t="shared" si="25"/>
        <v>1.749211712863917E-2</v>
      </c>
    </row>
    <row r="555" spans="1:15" x14ac:dyDescent="0.35">
      <c r="A555" s="2">
        <v>45741</v>
      </c>
      <c r="B555">
        <v>222.98748779296881</v>
      </c>
      <c r="C555">
        <v>926.45355224609375</v>
      </c>
      <c r="D555">
        <v>157.48808288574219</v>
      </c>
      <c r="E555">
        <v>246.0841369628906</v>
      </c>
      <c r="F555">
        <v>67.063224792480469</v>
      </c>
      <c r="G555">
        <v>159.62568664550781</v>
      </c>
      <c r="H555">
        <v>5776.64990234375</v>
      </c>
      <c r="I555">
        <f t="shared" si="25"/>
        <v>1.3589174886757415E-2</v>
      </c>
      <c r="J555">
        <f t="shared" si="25"/>
        <v>4.5467813317219717E-3</v>
      </c>
      <c r="K555">
        <f t="shared" si="25"/>
        <v>-1.3999029833444726E-2</v>
      </c>
      <c r="L555">
        <f t="shared" si="25"/>
        <v>1.2300082700148443E-2</v>
      </c>
      <c r="M555">
        <f t="shared" si="25"/>
        <v>-2.1348043523889908E-2</v>
      </c>
      <c r="N555">
        <f t="shared" si="25"/>
        <v>-1.7047633148023784E-2</v>
      </c>
      <c r="O555">
        <f t="shared" si="25"/>
        <v>1.5730954906538206E-3</v>
      </c>
    </row>
    <row r="556" spans="1:15" x14ac:dyDescent="0.35">
      <c r="A556" s="2">
        <v>45742</v>
      </c>
      <c r="B556">
        <v>220.7750549316406</v>
      </c>
      <c r="C556">
        <v>925.945556640625</v>
      </c>
      <c r="D556">
        <v>158.1727294921875</v>
      </c>
      <c r="E556">
        <v>245.98612976074219</v>
      </c>
      <c r="F556">
        <v>68.1778564453125</v>
      </c>
      <c r="G556">
        <v>163.28184509277341</v>
      </c>
      <c r="H556">
        <v>5712.2001953125</v>
      </c>
      <c r="I556">
        <f t="shared" si="25"/>
        <v>-9.9713291666548211E-3</v>
      </c>
      <c r="J556">
        <f t="shared" si="25"/>
        <v>-5.4847318352334632E-4</v>
      </c>
      <c r="K556">
        <f t="shared" si="25"/>
        <v>4.3378693406802447E-3</v>
      </c>
      <c r="L556">
        <f t="shared" si="25"/>
        <v>-3.983463747848575E-4</v>
      </c>
      <c r="M556">
        <f t="shared" si="25"/>
        <v>1.6483998526142248E-2</v>
      </c>
      <c r="N556">
        <f t="shared" si="25"/>
        <v>2.2646202654175596E-2</v>
      </c>
      <c r="O556">
        <f t="shared" si="25"/>
        <v>-1.1219640357598032E-2</v>
      </c>
    </row>
    <row r="557" spans="1:15" x14ac:dyDescent="0.35">
      <c r="A557" s="2">
        <v>45743</v>
      </c>
      <c r="B557">
        <v>223.08717346191409</v>
      </c>
      <c r="C557">
        <v>934.90875244140625</v>
      </c>
      <c r="D557">
        <v>159.55180358886719</v>
      </c>
      <c r="E557">
        <v>243.13458251953119</v>
      </c>
      <c r="F557">
        <v>68.471176147460938</v>
      </c>
      <c r="G557">
        <v>165.36967468261719</v>
      </c>
      <c r="H557">
        <v>5693.31005859375</v>
      </c>
      <c r="I557">
        <f t="shared" si="25"/>
        <v>1.0418275291432688E-2</v>
      </c>
      <c r="J557">
        <f t="shared" si="25"/>
        <v>9.633494761478097E-3</v>
      </c>
      <c r="K557">
        <f t="shared" si="25"/>
        <v>8.6809963577321111E-3</v>
      </c>
      <c r="L557">
        <f t="shared" si="25"/>
        <v>-1.1660023698280033E-2</v>
      </c>
      <c r="M557">
        <f t="shared" si="25"/>
        <v>4.2930439693362509E-3</v>
      </c>
      <c r="N557">
        <f t="shared" si="25"/>
        <v>1.2705601837021579E-2</v>
      </c>
      <c r="O557">
        <f t="shared" si="25"/>
        <v>-3.3124610071321114E-3</v>
      </c>
    </row>
    <row r="558" spans="1:15" x14ac:dyDescent="0.35">
      <c r="A558" s="2">
        <v>45744</v>
      </c>
      <c r="B558">
        <v>217.15742492675781</v>
      </c>
      <c r="C558">
        <v>925.85589599609375</v>
      </c>
      <c r="D558">
        <v>160.11909484863281</v>
      </c>
      <c r="E558">
        <v>237.97050476074219</v>
      </c>
      <c r="F558">
        <v>68.881828308105469</v>
      </c>
      <c r="G558">
        <v>164.703125</v>
      </c>
      <c r="H558">
        <v>5580.93994140625</v>
      </c>
      <c r="I558">
        <f t="shared" si="25"/>
        <v>-2.6940056445876152E-2</v>
      </c>
      <c r="J558">
        <f t="shared" si="25"/>
        <v>-9.7303308930987518E-3</v>
      </c>
      <c r="K558">
        <f t="shared" si="25"/>
        <v>3.5492242681583117E-3</v>
      </c>
      <c r="L558">
        <f t="shared" si="25"/>
        <v>-2.146839114322632E-2</v>
      </c>
      <c r="M558">
        <f t="shared" si="25"/>
        <v>5.9795326041446016E-3</v>
      </c>
      <c r="N558">
        <f t="shared" si="25"/>
        <v>-4.0388095554683943E-3</v>
      </c>
      <c r="O558">
        <f t="shared" si="25"/>
        <v>-1.9934601126853548E-2</v>
      </c>
    </row>
    <row r="559" spans="1:15" x14ac:dyDescent="0.35">
      <c r="A559" s="2">
        <v>45747</v>
      </c>
      <c r="B559">
        <v>221.3730163574219</v>
      </c>
      <c r="C559">
        <v>941.90997314453125</v>
      </c>
      <c r="D559">
        <v>162.20234680175781</v>
      </c>
      <c r="E559">
        <v>240.37127685546881</v>
      </c>
      <c r="F559">
        <v>69.312034606933594</v>
      </c>
      <c r="G559">
        <v>167.04579162597659</v>
      </c>
      <c r="H559">
        <v>5611.85009765625</v>
      </c>
      <c r="I559">
        <f t="shared" si="25"/>
        <v>1.9226584495971834E-2</v>
      </c>
      <c r="J559">
        <f t="shared" si="25"/>
        <v>1.7191097437482528E-2</v>
      </c>
      <c r="K559">
        <f t="shared" si="25"/>
        <v>1.2926728992750559E-2</v>
      </c>
      <c r="L559">
        <f t="shared" si="25"/>
        <v>1.003797847332703E-2</v>
      </c>
      <c r="M559">
        <f t="shared" si="25"/>
        <v>6.2261475219662398E-3</v>
      </c>
      <c r="N559">
        <f t="shared" si="25"/>
        <v>1.4123365288070573E-2</v>
      </c>
      <c r="O559">
        <f t="shared" si="25"/>
        <v>5.5232403576457216E-3</v>
      </c>
    </row>
    <row r="560" spans="1:15" x14ac:dyDescent="0.35">
      <c r="A560" s="2">
        <v>45748</v>
      </c>
      <c r="B560">
        <v>222.42939758300781</v>
      </c>
      <c r="C560">
        <v>950.4947509765625</v>
      </c>
      <c r="D560">
        <v>149.8885192871094</v>
      </c>
      <c r="E560">
        <v>238.76422119140619</v>
      </c>
      <c r="F560">
        <v>69.34136962890625</v>
      </c>
      <c r="G560">
        <v>167.18302917480469</v>
      </c>
      <c r="H560">
        <v>5633.06982421875</v>
      </c>
      <c r="I560">
        <f t="shared" si="25"/>
        <v>4.760601508669045E-3</v>
      </c>
      <c r="J560">
        <f t="shared" si="25"/>
        <v>9.0729394329189094E-3</v>
      </c>
      <c r="K560">
        <f t="shared" si="25"/>
        <v>-7.8952797114731688E-2</v>
      </c>
      <c r="L560">
        <f t="shared" si="25"/>
        <v>-6.7081721016731145E-3</v>
      </c>
      <c r="M560">
        <f t="shared" si="25"/>
        <v>4.2314175511268948E-4</v>
      </c>
      <c r="N560">
        <f t="shared" si="25"/>
        <v>8.2121916483481907E-4</v>
      </c>
      <c r="O560">
        <f t="shared" si="25"/>
        <v>3.7741045552120668E-3</v>
      </c>
    </row>
    <row r="561" spans="1:15" x14ac:dyDescent="0.35">
      <c r="A561" s="2">
        <v>45749</v>
      </c>
      <c r="B561">
        <v>223.12701416015619</v>
      </c>
      <c r="C561">
        <v>961.131103515625</v>
      </c>
      <c r="D561">
        <v>151.95222473144531</v>
      </c>
      <c r="E561">
        <v>240.8808288574219</v>
      </c>
      <c r="F561">
        <v>68.911170959472656</v>
      </c>
      <c r="G561">
        <v>166.1440124511719</v>
      </c>
      <c r="H561">
        <v>5670.97021484375</v>
      </c>
      <c r="I561">
        <f t="shared" si="25"/>
        <v>3.1314425236707837E-3</v>
      </c>
      <c r="J561">
        <f t="shared" si="25"/>
        <v>1.1128184187174681E-2</v>
      </c>
      <c r="K561">
        <f t="shared" si="25"/>
        <v>1.367434743280883E-2</v>
      </c>
      <c r="L561">
        <f t="shared" si="25"/>
        <v>8.8257823368011641E-3</v>
      </c>
      <c r="M561">
        <f t="shared" si="25"/>
        <v>-6.2233946094734588E-3</v>
      </c>
      <c r="N561">
        <f t="shared" si="25"/>
        <v>-6.2342382048603566E-3</v>
      </c>
      <c r="O561">
        <f t="shared" si="25"/>
        <v>6.7056614294841088E-3</v>
      </c>
    </row>
    <row r="562" spans="1:15" x14ac:dyDescent="0.35">
      <c r="A562" s="2">
        <v>45750</v>
      </c>
      <c r="B562">
        <v>202.49754333496091</v>
      </c>
      <c r="C562">
        <v>963.12286376953125</v>
      </c>
      <c r="D562">
        <v>156.31440734863281</v>
      </c>
      <c r="E562">
        <v>224.09501647949219</v>
      </c>
      <c r="F562">
        <v>70.534210205078125</v>
      </c>
      <c r="G562">
        <v>168.976806640625</v>
      </c>
      <c r="H562">
        <v>5396.52001953125</v>
      </c>
      <c r="I562">
        <f t="shared" si="25"/>
        <v>-9.7013424747679947E-2</v>
      </c>
      <c r="J562">
        <f t="shared" si="25"/>
        <v>2.0701643328682761E-3</v>
      </c>
      <c r="K562">
        <f t="shared" si="25"/>
        <v>2.8303250250887174E-2</v>
      </c>
      <c r="L562">
        <f t="shared" si="25"/>
        <v>-7.2232182495458708E-2</v>
      </c>
      <c r="M562">
        <f t="shared" si="25"/>
        <v>2.3279545441690076E-2</v>
      </c>
      <c r="N562">
        <f t="shared" si="25"/>
        <v>1.6906509548533746E-2</v>
      </c>
      <c r="O562">
        <f t="shared" si="25"/>
        <v>-4.9605911828996631E-2</v>
      </c>
    </row>
    <row r="563" spans="1:15" x14ac:dyDescent="0.35">
      <c r="A563" s="2">
        <v>45751</v>
      </c>
      <c r="B563">
        <v>187.738037109375</v>
      </c>
      <c r="C563">
        <v>912.7298583984375</v>
      </c>
      <c r="D563">
        <v>149.87873840332031</v>
      </c>
      <c r="E563">
        <v>207.32411193847659</v>
      </c>
      <c r="F563">
        <v>65.420631408691406</v>
      </c>
      <c r="G563">
        <v>160.50787353515619</v>
      </c>
      <c r="H563">
        <v>5074.080078125</v>
      </c>
      <c r="I563">
        <f t="shared" si="25"/>
        <v>-7.5680183306741061E-2</v>
      </c>
      <c r="J563">
        <f t="shared" si="25"/>
        <v>-5.374103470197418E-2</v>
      </c>
      <c r="K563">
        <f t="shared" si="25"/>
        <v>-4.2042854202155679E-2</v>
      </c>
      <c r="L563">
        <f t="shared" si="25"/>
        <v>-7.778681572685904E-2</v>
      </c>
      <c r="M563">
        <f t="shared" si="25"/>
        <v>-7.526016957857995E-2</v>
      </c>
      <c r="N563">
        <f t="shared" si="25"/>
        <v>-5.1418469031438103E-2</v>
      </c>
      <c r="O563">
        <f t="shared" si="25"/>
        <v>-6.1609061898230934E-2</v>
      </c>
    </row>
    <row r="564" spans="1:15" x14ac:dyDescent="0.35">
      <c r="A564" s="2">
        <v>45754</v>
      </c>
      <c r="B564">
        <v>180.84161376953119</v>
      </c>
      <c r="C564">
        <v>904.41400146484375</v>
      </c>
      <c r="D564">
        <v>147.3161926269531</v>
      </c>
      <c r="E564">
        <v>211.42564392089841</v>
      </c>
      <c r="F564">
        <v>63.611801147460938</v>
      </c>
      <c r="G564">
        <v>157.05754089355469</v>
      </c>
      <c r="H564">
        <v>5062.25</v>
      </c>
      <c r="I564">
        <f t="shared" si="25"/>
        <v>-3.742598535831558E-2</v>
      </c>
      <c r="J564">
        <f t="shared" si="25"/>
        <v>-9.1527315701672423E-3</v>
      </c>
      <c r="K564">
        <f t="shared" si="25"/>
        <v>-1.724530950608321E-2</v>
      </c>
      <c r="L564">
        <f t="shared" si="25"/>
        <v>1.9590044385917247E-2</v>
      </c>
      <c r="M564">
        <f t="shared" si="25"/>
        <v>-2.8038667912894367E-2</v>
      </c>
      <c r="N564">
        <f t="shared" si="25"/>
        <v>-2.1730756951270393E-2</v>
      </c>
      <c r="O564">
        <f t="shared" si="25"/>
        <v>-2.3341946059635883E-3</v>
      </c>
    </row>
    <row r="565" spans="1:15" x14ac:dyDescent="0.35">
      <c r="A565" s="2">
        <v>45755</v>
      </c>
      <c r="B565">
        <v>171.83241271972659</v>
      </c>
      <c r="C565">
        <v>905.031494140625</v>
      </c>
      <c r="D565">
        <v>146.7098083496094</v>
      </c>
      <c r="E565">
        <v>213.82147216796881</v>
      </c>
      <c r="F565">
        <v>62.682952880859382</v>
      </c>
      <c r="G565">
        <v>155.25398254394531</v>
      </c>
      <c r="H565">
        <v>4982.77001953125</v>
      </c>
      <c r="I565">
        <f t="shared" si="25"/>
        <v>-5.1101928950348978E-2</v>
      </c>
      <c r="J565">
        <f t="shared" si="25"/>
        <v>6.825214699770569E-4</v>
      </c>
      <c r="K565">
        <f t="shared" si="25"/>
        <v>-4.1247041760937818E-3</v>
      </c>
      <c r="L565">
        <f t="shared" si="25"/>
        <v>1.1268053355503784E-2</v>
      </c>
      <c r="M565">
        <f t="shared" si="25"/>
        <v>-1.4709478972437471E-2</v>
      </c>
      <c r="N565">
        <f t="shared" si="25"/>
        <v>-1.1549867767843522E-2</v>
      </c>
      <c r="O565">
        <f t="shared" si="25"/>
        <v>-1.5825083277054855E-2</v>
      </c>
    </row>
    <row r="566" spans="1:15" x14ac:dyDescent="0.35">
      <c r="A566" s="2">
        <v>45756</v>
      </c>
      <c r="B566">
        <v>198.17236328125</v>
      </c>
      <c r="C566">
        <v>961.24053955078125</v>
      </c>
      <c r="D566">
        <v>147.65850830078119</v>
      </c>
      <c r="E566">
        <v>231.0458984375</v>
      </c>
      <c r="F566">
        <v>66.075721740722656</v>
      </c>
      <c r="G566">
        <v>159.10618591308591</v>
      </c>
      <c r="H566">
        <v>5456.89990234375</v>
      </c>
      <c r="I566">
        <f t="shared" si="25"/>
        <v>0.14261751645442156</v>
      </c>
      <c r="J566">
        <f t="shared" si="25"/>
        <v>6.0254935701887849E-2</v>
      </c>
      <c r="K566">
        <f t="shared" si="25"/>
        <v>6.4456884938793885E-3</v>
      </c>
      <c r="L566">
        <f t="shared" si="25"/>
        <v>7.7474960676865864E-2</v>
      </c>
      <c r="M566">
        <f t="shared" si="25"/>
        <v>5.2711856689719373E-2</v>
      </c>
      <c r="N566">
        <f t="shared" si="25"/>
        <v>2.4509442306865935E-2</v>
      </c>
      <c r="O566">
        <f t="shared" si="25"/>
        <v>9.0894879833036457E-2</v>
      </c>
    </row>
    <row r="567" spans="1:15" x14ac:dyDescent="0.35">
      <c r="A567" s="2">
        <v>45757</v>
      </c>
      <c r="B567">
        <v>189.77107238769531</v>
      </c>
      <c r="C567">
        <v>960.3641357421875</v>
      </c>
      <c r="D567">
        <v>145.42852783203119</v>
      </c>
      <c r="E567">
        <v>223.91754150390619</v>
      </c>
      <c r="F567">
        <v>65.234855651855469</v>
      </c>
      <c r="G567">
        <v>160.3216247558594</v>
      </c>
      <c r="H567">
        <v>5268.0498046875</v>
      </c>
      <c r="I567">
        <f t="shared" si="25"/>
        <v>-4.3318710096461648E-2</v>
      </c>
      <c r="J567">
        <f t="shared" si="25"/>
        <v>-9.1215834414696921E-4</v>
      </c>
      <c r="K567">
        <f t="shared" si="25"/>
        <v>-1.5217483047965137E-2</v>
      </c>
      <c r="L567">
        <f t="shared" si="25"/>
        <v>-3.1338519522543046E-2</v>
      </c>
      <c r="M567">
        <f t="shared" si="25"/>
        <v>-1.2807461509144224E-2</v>
      </c>
      <c r="N567">
        <f t="shared" si="25"/>
        <v>7.6101370519473313E-3</v>
      </c>
      <c r="O567">
        <f t="shared" si="25"/>
        <v>-3.5220607024111679E-2</v>
      </c>
    </row>
    <row r="568" spans="1:15" x14ac:dyDescent="0.35">
      <c r="A568" s="2">
        <v>45758</v>
      </c>
      <c r="B568">
        <v>197.4747314453125</v>
      </c>
      <c r="C568">
        <v>959.4677734375</v>
      </c>
      <c r="D568">
        <v>148.40185546875</v>
      </c>
      <c r="E568">
        <v>232.87974548339841</v>
      </c>
      <c r="F568">
        <v>64.345115661621094</v>
      </c>
      <c r="G568">
        <v>163.6053161621094</v>
      </c>
      <c r="H568">
        <v>5363.35986328125</v>
      </c>
      <c r="I568">
        <f t="shared" si="25"/>
        <v>3.9792170570490448E-2</v>
      </c>
      <c r="J568">
        <f t="shared" si="25"/>
        <v>-9.3379255291558974E-4</v>
      </c>
      <c r="K568">
        <f t="shared" si="25"/>
        <v>2.0239085538445317E-2</v>
      </c>
      <c r="L568">
        <f t="shared" si="25"/>
        <v>3.9244340731231606E-2</v>
      </c>
      <c r="M568">
        <f t="shared" si="25"/>
        <v>-1.3732893507417692E-2</v>
      </c>
      <c r="N568">
        <f t="shared" si="25"/>
        <v>2.0274966218761278E-2</v>
      </c>
      <c r="O568">
        <f t="shared" si="25"/>
        <v>1.7930380835778071E-2</v>
      </c>
    </row>
    <row r="569" spans="1:15" x14ac:dyDescent="0.35">
      <c r="A569" s="2">
        <v>45761</v>
      </c>
      <c r="B569">
        <v>201.82984924316409</v>
      </c>
      <c r="C569">
        <v>975.312744140625</v>
      </c>
      <c r="D569">
        <v>150.97418212890619</v>
      </c>
      <c r="E569">
        <v>231.4205627441406</v>
      </c>
      <c r="F569">
        <v>66.183265686035156</v>
      </c>
      <c r="G569">
        <v>165.78135681152341</v>
      </c>
      <c r="H569">
        <v>5405.97021484375</v>
      </c>
      <c r="I569">
        <f t="shared" si="25"/>
        <v>2.1814377855314052E-2</v>
      </c>
      <c r="J569">
        <f t="shared" si="25"/>
        <v>1.6379454730850649E-2</v>
      </c>
      <c r="K569">
        <f t="shared" si="25"/>
        <v>1.7185009103725252E-2</v>
      </c>
      <c r="L569">
        <f t="shared" si="25"/>
        <v>-6.285533382187642E-3</v>
      </c>
      <c r="M569">
        <f t="shared" si="25"/>
        <v>2.8166618321717317E-2</v>
      </c>
      <c r="N569">
        <f t="shared" si="25"/>
        <v>1.3212874020971847E-2</v>
      </c>
      <c r="O569">
        <f t="shared" si="25"/>
        <v>7.9133193263429911E-3</v>
      </c>
    </row>
    <row r="570" spans="1:15" x14ac:dyDescent="0.35">
      <c r="A570" s="2">
        <v>45762</v>
      </c>
      <c r="B570">
        <v>201.45112609863281</v>
      </c>
      <c r="C570">
        <v>972.92254638671875</v>
      </c>
      <c r="D570">
        <v>150.2503967285156</v>
      </c>
      <c r="E570">
        <v>229.85292053222659</v>
      </c>
      <c r="F570">
        <v>66.153938293457031</v>
      </c>
      <c r="G570">
        <v>165.13441467285159</v>
      </c>
      <c r="H570">
        <v>5396.6298828125</v>
      </c>
      <c r="I570">
        <f t="shared" si="25"/>
        <v>-1.8782103745143019E-3</v>
      </c>
      <c r="J570">
        <f t="shared" si="25"/>
        <v>-2.4537066592982323E-3</v>
      </c>
      <c r="K570">
        <f t="shared" si="25"/>
        <v>-4.8056290496925379E-3</v>
      </c>
      <c r="L570">
        <f t="shared" si="25"/>
        <v>-6.7970447213794557E-3</v>
      </c>
      <c r="M570">
        <f t="shared" si="25"/>
        <v>-4.4322219566879286E-4</v>
      </c>
      <c r="N570">
        <f t="shared" si="25"/>
        <v>-3.9100158930837582E-3</v>
      </c>
      <c r="O570">
        <f t="shared" si="25"/>
        <v>-1.729275225300909E-3</v>
      </c>
    </row>
    <row r="571" spans="1:15" x14ac:dyDescent="0.35">
      <c r="A571" s="2">
        <v>45763</v>
      </c>
      <c r="B571">
        <v>193.60795593261719</v>
      </c>
      <c r="C571">
        <v>963.79010009765625</v>
      </c>
      <c r="D571">
        <v>150.53404235839841</v>
      </c>
      <c r="E571">
        <v>226.38240051269531</v>
      </c>
      <c r="F571">
        <v>64.17889404296875</v>
      </c>
      <c r="G571">
        <v>163.0955810546875</v>
      </c>
      <c r="H571">
        <v>5275.7001953125</v>
      </c>
      <c r="I571">
        <f t="shared" si="25"/>
        <v>-3.9711532896260268E-2</v>
      </c>
      <c r="J571">
        <f t="shared" si="25"/>
        <v>-9.4309437120081094E-3</v>
      </c>
      <c r="K571">
        <f t="shared" si="25"/>
        <v>1.8860398152552047E-3</v>
      </c>
      <c r="L571">
        <f t="shared" ref="L571:O634" si="26">LN(E571/E570)</f>
        <v>-1.5214021368339421E-2</v>
      </c>
      <c r="M571">
        <f t="shared" si="26"/>
        <v>-3.0310021173176476E-2</v>
      </c>
      <c r="N571">
        <f t="shared" si="26"/>
        <v>-1.2423360859253238E-2</v>
      </c>
      <c r="O571">
        <f t="shared" si="26"/>
        <v>-2.2663253964902527E-2</v>
      </c>
    </row>
    <row r="572" spans="1:15" x14ac:dyDescent="0.35">
      <c r="A572" s="2">
        <v>45764</v>
      </c>
      <c r="B572">
        <v>196.3087158203125</v>
      </c>
      <c r="C572">
        <v>990.4306640625</v>
      </c>
      <c r="D572">
        <v>154.0159606933594</v>
      </c>
      <c r="E572">
        <v>228.6993713378906</v>
      </c>
      <c r="F572">
        <v>64.833976745605469</v>
      </c>
      <c r="G572">
        <v>167.25166320800781</v>
      </c>
      <c r="H572">
        <v>5282.7001953125</v>
      </c>
      <c r="I572">
        <f t="shared" ref="I572:N635" si="27">LN(B572/B571)</f>
        <v>1.3853232116374709E-2</v>
      </c>
      <c r="J572">
        <f t="shared" si="27"/>
        <v>2.7266330327762343E-2</v>
      </c>
      <c r="K572">
        <f t="shared" si="27"/>
        <v>2.286698422615915E-2</v>
      </c>
      <c r="L572">
        <f t="shared" si="26"/>
        <v>1.0182745118393986E-2</v>
      </c>
      <c r="M572">
        <f t="shared" si="26"/>
        <v>1.0155395017948541E-2</v>
      </c>
      <c r="N572">
        <f t="shared" si="26"/>
        <v>2.5163227613636603E-2</v>
      </c>
      <c r="O572">
        <f t="shared" si="26"/>
        <v>1.3259586237727749E-3</v>
      </c>
    </row>
    <row r="573" spans="1:15" x14ac:dyDescent="0.35">
      <c r="A573" s="2">
        <v>45768</v>
      </c>
      <c r="B573">
        <v>192.5017395019531</v>
      </c>
      <c r="C573">
        <v>953.85089111328125</v>
      </c>
      <c r="D573">
        <v>153.47801208496091</v>
      </c>
      <c r="E573">
        <v>225.7711181640625</v>
      </c>
      <c r="F573">
        <v>63.240268707275391</v>
      </c>
      <c r="G573">
        <v>163.4809875488281</v>
      </c>
      <c r="H573">
        <v>5158.2001953125</v>
      </c>
      <c r="I573">
        <f t="shared" si="27"/>
        <v>-1.9583310746964674E-2</v>
      </c>
      <c r="J573">
        <f t="shared" si="27"/>
        <v>-3.7632502132944508E-2</v>
      </c>
      <c r="K573">
        <f t="shared" si="27"/>
        <v>-3.4989248885522141E-3</v>
      </c>
      <c r="L573">
        <f t="shared" si="26"/>
        <v>-1.2886617567918333E-2</v>
      </c>
      <c r="M573">
        <f t="shared" si="26"/>
        <v>-2.4888537097496249E-2</v>
      </c>
      <c r="N573">
        <f t="shared" si="26"/>
        <v>-2.2802943930629864E-2</v>
      </c>
      <c r="O573">
        <f t="shared" si="26"/>
        <v>-2.3849648334018009E-2</v>
      </c>
    </row>
    <row r="574" spans="1:15" x14ac:dyDescent="0.35">
      <c r="A574" s="2">
        <v>45769</v>
      </c>
      <c r="B574">
        <v>199.059326171875</v>
      </c>
      <c r="C574">
        <v>975.22308349609375</v>
      </c>
      <c r="D574">
        <v>154.28981018066409</v>
      </c>
      <c r="E574">
        <v>232.2783203125</v>
      </c>
      <c r="F574">
        <v>65.156639099121094</v>
      </c>
      <c r="G574">
        <v>165.58183288574219</v>
      </c>
      <c r="H574">
        <v>5287.759765625</v>
      </c>
      <c r="I574">
        <f t="shared" si="27"/>
        <v>3.3497711701033134E-2</v>
      </c>
      <c r="J574">
        <f t="shared" si="27"/>
        <v>2.2158887803047131E-2</v>
      </c>
      <c r="K574">
        <f t="shared" si="27"/>
        <v>5.2754051571379584E-3</v>
      </c>
      <c r="L574">
        <f t="shared" si="26"/>
        <v>2.8414574566273765E-2</v>
      </c>
      <c r="M574">
        <f t="shared" si="26"/>
        <v>2.98529418600221E-2</v>
      </c>
      <c r="N574">
        <f t="shared" si="26"/>
        <v>1.2768831666144689E-2</v>
      </c>
      <c r="O574">
        <f t="shared" si="26"/>
        <v>2.4806952125450619E-2</v>
      </c>
    </row>
    <row r="575" spans="1:15" x14ac:dyDescent="0.35">
      <c r="A575" s="2">
        <v>45770</v>
      </c>
      <c r="B575">
        <v>203.90275573730469</v>
      </c>
      <c r="C575">
        <v>971.8470458984375</v>
      </c>
      <c r="D575">
        <v>151.9718017578125</v>
      </c>
      <c r="E575">
        <v>237.49397277832031</v>
      </c>
      <c r="F575">
        <v>65.772613525390625</v>
      </c>
      <c r="G575">
        <v>163.46125793457031</v>
      </c>
      <c r="H575">
        <v>5375.85986328125</v>
      </c>
      <c r="I575">
        <f t="shared" si="27"/>
        <v>2.4040290868522936E-2</v>
      </c>
      <c r="J575">
        <f t="shared" si="27"/>
        <v>-3.4678165208028361E-3</v>
      </c>
      <c r="K575">
        <f t="shared" si="27"/>
        <v>-1.5137729292788699E-2</v>
      </c>
      <c r="L575">
        <f t="shared" si="26"/>
        <v>2.2205936204368833E-2</v>
      </c>
      <c r="M575">
        <f t="shared" si="26"/>
        <v>9.4093406715285172E-3</v>
      </c>
      <c r="N575">
        <f t="shared" si="26"/>
        <v>-1.2889523406378974E-2</v>
      </c>
      <c r="O575">
        <f t="shared" si="26"/>
        <v>1.6523864366879457E-2</v>
      </c>
    </row>
    <row r="576" spans="1:15" x14ac:dyDescent="0.35">
      <c r="A576" s="2">
        <v>45771</v>
      </c>
      <c r="B576">
        <v>207.659912109375</v>
      </c>
      <c r="C576">
        <v>971.48846435546875</v>
      </c>
      <c r="D576">
        <v>151.5316467285156</v>
      </c>
      <c r="E576">
        <v>241.20111083984381</v>
      </c>
      <c r="F576">
        <v>64.873092651367188</v>
      </c>
      <c r="G576">
        <v>157.34613037109381</v>
      </c>
      <c r="H576">
        <v>5484.77001953125</v>
      </c>
      <c r="I576">
        <f t="shared" si="27"/>
        <v>1.8258511001947798E-2</v>
      </c>
      <c r="J576">
        <f t="shared" si="27"/>
        <v>-3.6903719933719233E-4</v>
      </c>
      <c r="K576">
        <f t="shared" si="27"/>
        <v>-2.9004964528278158E-3</v>
      </c>
      <c r="L576">
        <f t="shared" si="26"/>
        <v>1.5488824937233201E-2</v>
      </c>
      <c r="M576">
        <f t="shared" si="26"/>
        <v>-1.37706031823734E-2</v>
      </c>
      <c r="N576">
        <f t="shared" si="26"/>
        <v>-3.8127977016353704E-2</v>
      </c>
      <c r="O576">
        <f t="shared" si="26"/>
        <v>2.0056628082583162E-2</v>
      </c>
    </row>
    <row r="577" spans="1:15" x14ac:dyDescent="0.35">
      <c r="A577" s="2">
        <v>45772</v>
      </c>
      <c r="B577">
        <v>208.5668029785156</v>
      </c>
      <c r="C577">
        <v>973.16156005859375</v>
      </c>
      <c r="D577">
        <v>151.18934631347659</v>
      </c>
      <c r="E577">
        <v>240.1264343261719</v>
      </c>
      <c r="F577">
        <v>64.618873596191406</v>
      </c>
      <c r="G577">
        <v>158.81575012207031</v>
      </c>
      <c r="H577">
        <v>5525.2099609375</v>
      </c>
      <c r="I577">
        <f t="shared" si="27"/>
        <v>4.3576842685794422E-3</v>
      </c>
      <c r="J577">
        <f t="shared" si="27"/>
        <v>1.7207169361456785E-3</v>
      </c>
      <c r="K577">
        <f t="shared" si="27"/>
        <v>-2.261492058982593E-3</v>
      </c>
      <c r="L577">
        <f t="shared" si="26"/>
        <v>-4.4654759955506012E-3</v>
      </c>
      <c r="M577">
        <f t="shared" si="26"/>
        <v>-3.9264116399537032E-3</v>
      </c>
      <c r="N577">
        <f t="shared" si="26"/>
        <v>9.2966953095468905E-3</v>
      </c>
      <c r="O577">
        <f t="shared" si="26"/>
        <v>7.3460847957005125E-3</v>
      </c>
    </row>
    <row r="578" spans="1:15" x14ac:dyDescent="0.35">
      <c r="A578" s="2">
        <v>45775</v>
      </c>
      <c r="B578">
        <v>209.42387390136719</v>
      </c>
      <c r="C578">
        <v>974.535888671875</v>
      </c>
      <c r="D578">
        <v>151.94245910644531</v>
      </c>
      <c r="E578">
        <v>239.80108642578119</v>
      </c>
      <c r="F578">
        <v>64.716651916503906</v>
      </c>
      <c r="G578">
        <v>159.6343688964844</v>
      </c>
      <c r="H578">
        <v>5528.75</v>
      </c>
      <c r="I578">
        <f t="shared" si="27"/>
        <v>4.1009150270929001E-3</v>
      </c>
      <c r="J578">
        <f t="shared" si="27"/>
        <v>1.4112344217196255E-3</v>
      </c>
      <c r="K578">
        <f t="shared" si="27"/>
        <v>4.9688902914444772E-3</v>
      </c>
      <c r="L578">
        <f t="shared" si="26"/>
        <v>-1.3558211861666722E-3</v>
      </c>
      <c r="M578">
        <f t="shared" si="26"/>
        <v>1.5120105408487703E-3</v>
      </c>
      <c r="N578">
        <f t="shared" si="26"/>
        <v>5.1412797717407237E-3</v>
      </c>
      <c r="O578">
        <f t="shared" si="26"/>
        <v>6.4050153900193328E-4</v>
      </c>
    </row>
    <row r="579" spans="1:15" x14ac:dyDescent="0.35">
      <c r="A579" s="2">
        <v>45776</v>
      </c>
      <c r="B579">
        <v>210.490234375</v>
      </c>
      <c r="C579">
        <v>987.64208984375</v>
      </c>
      <c r="D579">
        <v>152.49017333984381</v>
      </c>
      <c r="E579">
        <v>241.181396484375</v>
      </c>
      <c r="F579">
        <v>65.753059387207031</v>
      </c>
      <c r="G579">
        <v>160.03875732421881</v>
      </c>
      <c r="H579">
        <v>5560.830078125</v>
      </c>
      <c r="I579">
        <f t="shared" si="27"/>
        <v>5.0789566004854573E-3</v>
      </c>
      <c r="J579">
        <f t="shared" si="27"/>
        <v>1.3359028823932632E-2</v>
      </c>
      <c r="K579">
        <f t="shared" si="27"/>
        <v>3.5982661908409187E-3</v>
      </c>
      <c r="L579">
        <f t="shared" si="26"/>
        <v>5.7395597423181661E-3</v>
      </c>
      <c r="M579">
        <f t="shared" si="26"/>
        <v>1.5887660988801951E-2</v>
      </c>
      <c r="N579">
        <f t="shared" si="26"/>
        <v>2.5300133809911681E-3</v>
      </c>
      <c r="O579">
        <f t="shared" si="26"/>
        <v>5.7856415455563989E-3</v>
      </c>
    </row>
    <row r="580" spans="1:15" x14ac:dyDescent="0.35">
      <c r="A580" s="2">
        <v>45777</v>
      </c>
      <c r="B580">
        <v>211.77583312988281</v>
      </c>
      <c r="C580">
        <v>990.4306640625</v>
      </c>
      <c r="D580">
        <v>152.8813781738281</v>
      </c>
      <c r="E580">
        <v>241.181396484375</v>
      </c>
      <c r="F580">
        <v>65.39129638671875</v>
      </c>
      <c r="G580">
        <v>160.34452819824219</v>
      </c>
      <c r="H580">
        <v>5569.06005859375</v>
      </c>
      <c r="I580">
        <f t="shared" si="27"/>
        <v>6.0890648146299841E-3</v>
      </c>
      <c r="J580">
        <f t="shared" si="27"/>
        <v>2.8194878682394125E-3</v>
      </c>
      <c r="K580">
        <f t="shared" si="27"/>
        <v>2.5621577783223946E-3</v>
      </c>
      <c r="L580">
        <f t="shared" si="26"/>
        <v>0</v>
      </c>
      <c r="M580">
        <f t="shared" si="26"/>
        <v>-5.5170337442975153E-3</v>
      </c>
      <c r="N580">
        <f t="shared" si="26"/>
        <v>1.9087822659858398E-3</v>
      </c>
      <c r="O580">
        <f t="shared" si="26"/>
        <v>1.4788972519335208E-3</v>
      </c>
    </row>
    <row r="581" spans="1:15" x14ac:dyDescent="0.35">
      <c r="A581" s="2">
        <v>45778</v>
      </c>
      <c r="B581">
        <v>212.5930480957031</v>
      </c>
      <c r="C581">
        <v>994.95208740234375</v>
      </c>
      <c r="D581">
        <v>151.07197570800781</v>
      </c>
      <c r="E581">
        <v>243.41949462890619</v>
      </c>
      <c r="F581">
        <v>64.57977294921875</v>
      </c>
      <c r="G581">
        <v>157.78997802734381</v>
      </c>
      <c r="H581">
        <v>5604.14013671875</v>
      </c>
      <c r="I581">
        <f t="shared" si="27"/>
        <v>3.8514415743526203E-3</v>
      </c>
      <c r="J581">
        <f t="shared" si="27"/>
        <v>4.5547198927702887E-3</v>
      </c>
      <c r="K581">
        <f t="shared" si="27"/>
        <v>-1.1905931067435817E-2</v>
      </c>
      <c r="L581">
        <f t="shared" si="26"/>
        <v>9.2369374411743095E-3</v>
      </c>
      <c r="M581">
        <f t="shared" si="26"/>
        <v>-1.2487917317482888E-2</v>
      </c>
      <c r="N581">
        <f t="shared" si="26"/>
        <v>-1.6059905647395949E-2</v>
      </c>
      <c r="O581">
        <f t="shared" si="26"/>
        <v>6.2793457164519737E-3</v>
      </c>
    </row>
    <row r="582" spans="1:15" x14ac:dyDescent="0.35">
      <c r="A582" s="2">
        <v>45779</v>
      </c>
      <c r="B582">
        <v>204.65019226074219</v>
      </c>
      <c r="C582">
        <v>1005.482543945312</v>
      </c>
      <c r="D582">
        <v>152.695556640625</v>
      </c>
      <c r="E582">
        <v>248.9604797363281</v>
      </c>
      <c r="F582">
        <v>65.596611022949219</v>
      </c>
      <c r="G582">
        <v>158.32258605957031</v>
      </c>
      <c r="H582">
        <v>5686.669921875</v>
      </c>
      <c r="I582">
        <f t="shared" si="27"/>
        <v>-3.8077623518229901E-2</v>
      </c>
      <c r="J582">
        <f t="shared" si="27"/>
        <v>1.0528265855762213E-2</v>
      </c>
      <c r="K582">
        <f t="shared" si="27"/>
        <v>1.0689729614137689E-2</v>
      </c>
      <c r="L582">
        <f t="shared" si="26"/>
        <v>2.2507897633452435E-2</v>
      </c>
      <c r="M582">
        <f t="shared" si="26"/>
        <v>1.5622783862537907E-2</v>
      </c>
      <c r="N582">
        <f t="shared" si="26"/>
        <v>3.3697397492040691E-3</v>
      </c>
      <c r="O582">
        <f t="shared" si="26"/>
        <v>1.4619191109112719E-2</v>
      </c>
    </row>
    <row r="583" spans="1:15" x14ac:dyDescent="0.35">
      <c r="A583" s="2">
        <v>45782</v>
      </c>
      <c r="B583">
        <v>198.21221923828119</v>
      </c>
      <c r="C583">
        <v>1012.054077148438</v>
      </c>
      <c r="D583">
        <v>151.6001281738281</v>
      </c>
      <c r="E583">
        <v>249.009765625</v>
      </c>
      <c r="F583">
        <v>64.628662109375</v>
      </c>
      <c r="G583">
        <v>156.6557312011719</v>
      </c>
      <c r="H583">
        <v>5650.3798828125</v>
      </c>
      <c r="I583">
        <f t="shared" si="27"/>
        <v>-3.1963871352804409E-2</v>
      </c>
      <c r="J583">
        <f t="shared" si="27"/>
        <v>6.5144358467259947E-3</v>
      </c>
      <c r="K583">
        <f t="shared" si="27"/>
        <v>-7.1997944988382249E-3</v>
      </c>
      <c r="L583">
        <f t="shared" si="26"/>
        <v>1.9794712351570043E-4</v>
      </c>
      <c r="M583">
        <f t="shared" si="26"/>
        <v>-1.4866035087317549E-2</v>
      </c>
      <c r="N583">
        <f t="shared" si="26"/>
        <v>-1.0584032788026448E-2</v>
      </c>
      <c r="O583">
        <f t="shared" si="26"/>
        <v>-6.4020470293184471E-3</v>
      </c>
    </row>
    <row r="584" spans="1:15" x14ac:dyDescent="0.35">
      <c r="A584" s="2">
        <v>45783</v>
      </c>
      <c r="B584">
        <v>197.83349609375</v>
      </c>
      <c r="C584">
        <v>1007.676391601562</v>
      </c>
      <c r="D584">
        <v>151.0817565917969</v>
      </c>
      <c r="E584">
        <v>245.7463073730469</v>
      </c>
      <c r="F584">
        <v>65.058860778808594</v>
      </c>
      <c r="G584">
        <v>157.0699768066406</v>
      </c>
      <c r="H584">
        <v>5606.91015625</v>
      </c>
      <c r="I584">
        <f t="shared" si="27"/>
        <v>-1.9125229503015714E-3</v>
      </c>
      <c r="J584">
        <f t="shared" si="27"/>
        <v>-4.3349273280913281E-3</v>
      </c>
      <c r="K584">
        <f t="shared" si="27"/>
        <v>-3.4251940067381768E-3</v>
      </c>
      <c r="L584">
        <f t="shared" si="26"/>
        <v>-1.3192382107717187E-2</v>
      </c>
      <c r="M584">
        <f t="shared" si="26"/>
        <v>6.634412282691354E-3</v>
      </c>
      <c r="N584">
        <f t="shared" si="26"/>
        <v>2.6408154361441979E-3</v>
      </c>
      <c r="O584">
        <f t="shared" si="26"/>
        <v>-7.7229852783917974E-3</v>
      </c>
    </row>
    <row r="585" spans="1:15" x14ac:dyDescent="0.35">
      <c r="A585" s="2">
        <v>45784</v>
      </c>
      <c r="B585">
        <v>195.5812072753906</v>
      </c>
      <c r="C585">
        <v>1004.335754394531</v>
      </c>
      <c r="D585">
        <v>153.84968566894531</v>
      </c>
      <c r="E585">
        <v>245.88433837890619</v>
      </c>
      <c r="F585">
        <v>65.860610961914063</v>
      </c>
      <c r="G585">
        <v>157.10942077636719</v>
      </c>
      <c r="H585">
        <v>5631.27978515625</v>
      </c>
      <c r="I585">
        <f t="shared" si="27"/>
        <v>-1.1450072435285692E-2</v>
      </c>
      <c r="J585">
        <f t="shared" si="27"/>
        <v>-3.320695934616045E-3</v>
      </c>
      <c r="K585">
        <f t="shared" si="27"/>
        <v>1.8154933990210013E-2</v>
      </c>
      <c r="L585">
        <f t="shared" si="26"/>
        <v>5.6152321129218055E-4</v>
      </c>
      <c r="M585">
        <f t="shared" si="26"/>
        <v>1.2248143006287465E-2</v>
      </c>
      <c r="N585">
        <f t="shared" si="26"/>
        <v>2.5109202091086561E-4</v>
      </c>
      <c r="O585">
        <f t="shared" si="26"/>
        <v>4.3369381067101323E-3</v>
      </c>
    </row>
    <row r="586" spans="1:15" x14ac:dyDescent="0.35">
      <c r="A586" s="2">
        <v>45785</v>
      </c>
      <c r="B586">
        <v>196.8169860839844</v>
      </c>
      <c r="C586">
        <v>1004.894165039062</v>
      </c>
      <c r="D586">
        <v>152.24565124511719</v>
      </c>
      <c r="E586">
        <v>249.90699768066409</v>
      </c>
      <c r="F586">
        <v>66.799240112304688</v>
      </c>
      <c r="G586">
        <v>156.4781799316406</v>
      </c>
      <c r="H586">
        <v>5663.93994140625</v>
      </c>
      <c r="I586">
        <f t="shared" si="27"/>
        <v>6.2986166350818516E-3</v>
      </c>
      <c r="J586">
        <f t="shared" si="27"/>
        <v>5.5584545452711529E-4</v>
      </c>
      <c r="K586">
        <f t="shared" si="27"/>
        <v>-1.0480715733578597E-2</v>
      </c>
      <c r="L586">
        <f t="shared" si="26"/>
        <v>1.6227583195552817E-2</v>
      </c>
      <c r="M586">
        <f t="shared" si="26"/>
        <v>1.415115133191007E-2</v>
      </c>
      <c r="N586">
        <f t="shared" si="26"/>
        <v>-4.0259353106136229E-3</v>
      </c>
      <c r="O586">
        <f t="shared" si="26"/>
        <v>5.7830211474656414E-3</v>
      </c>
    </row>
    <row r="587" spans="1:15" x14ac:dyDescent="0.35">
      <c r="A587" s="2">
        <v>45786</v>
      </c>
      <c r="B587">
        <v>197.85343933105469</v>
      </c>
      <c r="C587">
        <v>1005.273193359375</v>
      </c>
      <c r="D587">
        <v>150.83723449707031</v>
      </c>
      <c r="E587">
        <v>249.52247619628909</v>
      </c>
      <c r="F587">
        <v>68.74493408203125</v>
      </c>
      <c r="G587">
        <v>155.50172424316409</v>
      </c>
      <c r="H587">
        <v>5659.91015625</v>
      </c>
      <c r="I587">
        <f t="shared" si="27"/>
        <v>5.2522589126451722E-3</v>
      </c>
      <c r="J587">
        <f t="shared" si="27"/>
        <v>3.7711121237875295E-4</v>
      </c>
      <c r="K587">
        <f t="shared" si="27"/>
        <v>-9.2940047252308856E-3</v>
      </c>
      <c r="L587">
        <f t="shared" si="26"/>
        <v>-1.5398432830519297E-3</v>
      </c>
      <c r="M587">
        <f t="shared" si="26"/>
        <v>2.8711342838586017E-2</v>
      </c>
      <c r="N587">
        <f t="shared" si="26"/>
        <v>-6.2597549643705255E-3</v>
      </c>
      <c r="O587">
        <f t="shared" si="26"/>
        <v>-7.1173413487636322E-4</v>
      </c>
    </row>
    <row r="588" spans="1:15" x14ac:dyDescent="0.35">
      <c r="A588" s="2">
        <v>45789</v>
      </c>
      <c r="B588">
        <v>210.3471374511719</v>
      </c>
      <c r="C588">
        <v>1013.310607910156</v>
      </c>
      <c r="D588">
        <v>150.75898742675781</v>
      </c>
      <c r="E588">
        <v>256.39447021484381</v>
      </c>
      <c r="F588">
        <v>68.138748168945313</v>
      </c>
      <c r="G588">
        <v>158.69737243652341</v>
      </c>
      <c r="H588">
        <v>5844.18994140625</v>
      </c>
      <c r="I588">
        <f t="shared" si="27"/>
        <v>6.1232650231334652E-2</v>
      </c>
      <c r="J588">
        <f t="shared" si="27"/>
        <v>7.9634613348406585E-3</v>
      </c>
      <c r="K588">
        <f t="shared" si="27"/>
        <v>-5.1888628822335423E-4</v>
      </c>
      <c r="L588">
        <f t="shared" si="26"/>
        <v>2.7168161699919289E-2</v>
      </c>
      <c r="M588">
        <f t="shared" si="26"/>
        <v>-8.8570071447482499E-3</v>
      </c>
      <c r="N588">
        <f t="shared" si="26"/>
        <v>2.0342250661314773E-2</v>
      </c>
      <c r="O588">
        <f t="shared" si="26"/>
        <v>3.2039976677020812E-2</v>
      </c>
    </row>
    <row r="589" spans="1:15" x14ac:dyDescent="0.35">
      <c r="A589" s="2">
        <v>45790</v>
      </c>
      <c r="B589">
        <v>212.4826354980469</v>
      </c>
      <c r="C589">
        <v>996.23846435546875</v>
      </c>
      <c r="D589">
        <v>145.18403625488281</v>
      </c>
      <c r="E589">
        <v>259.31292724609381</v>
      </c>
      <c r="F589">
        <v>70.5048828125</v>
      </c>
      <c r="G589">
        <v>156.55708312988281</v>
      </c>
      <c r="H589">
        <v>5886.5498046875</v>
      </c>
      <c r="I589">
        <f t="shared" si="27"/>
        <v>1.0101068282407802E-2</v>
      </c>
      <c r="J589">
        <f t="shared" si="27"/>
        <v>-1.6991428104872777E-2</v>
      </c>
      <c r="K589">
        <f t="shared" si="27"/>
        <v>-3.7680298719838141E-2</v>
      </c>
      <c r="L589">
        <f t="shared" si="26"/>
        <v>1.1318387913446516E-2</v>
      </c>
      <c r="M589">
        <f t="shared" si="26"/>
        <v>3.4135926564215636E-2</v>
      </c>
      <c r="N589">
        <f t="shared" si="26"/>
        <v>-1.3578378690179315E-2</v>
      </c>
      <c r="O589">
        <f t="shared" si="26"/>
        <v>7.2220590202459771E-3</v>
      </c>
    </row>
    <row r="590" spans="1:15" x14ac:dyDescent="0.35">
      <c r="A590" s="2">
        <v>45791</v>
      </c>
      <c r="B590">
        <v>211.88389587402341</v>
      </c>
      <c r="C590">
        <v>988.76934814453125</v>
      </c>
      <c r="D590">
        <v>143.149658203125</v>
      </c>
      <c r="E590">
        <v>261.90594482421881</v>
      </c>
      <c r="F590">
        <v>70.583099365234375</v>
      </c>
      <c r="G590">
        <v>155.8568115234375</v>
      </c>
      <c r="H590">
        <v>5892.580078125</v>
      </c>
      <c r="I590">
        <f t="shared" si="27"/>
        <v>-2.8218060429069688E-3</v>
      </c>
      <c r="J590">
        <f t="shared" si="27"/>
        <v>-7.5255637931821578E-3</v>
      </c>
      <c r="K590">
        <f t="shared" si="27"/>
        <v>-1.4111509340415326E-2</v>
      </c>
      <c r="L590">
        <f t="shared" si="26"/>
        <v>9.9499043859024878E-3</v>
      </c>
      <c r="M590">
        <f t="shared" si="26"/>
        <v>1.1087629086485044E-3</v>
      </c>
      <c r="N590">
        <f t="shared" si="26"/>
        <v>-4.482981014713232E-3</v>
      </c>
      <c r="O590">
        <f t="shared" si="26"/>
        <v>1.0238912422760539E-3</v>
      </c>
    </row>
    <row r="591" spans="1:15" x14ac:dyDescent="0.35">
      <c r="A591" s="2">
        <v>45792</v>
      </c>
      <c r="B591">
        <v>211.00575256347659</v>
      </c>
      <c r="C591">
        <v>1007.646484375</v>
      </c>
      <c r="D591">
        <v>146.328369140625</v>
      </c>
      <c r="E591">
        <v>263.72988891601563</v>
      </c>
      <c r="F591">
        <v>72.890571594238281</v>
      </c>
      <c r="G591">
        <v>160.18670654296881</v>
      </c>
      <c r="H591">
        <v>5916.93017578125</v>
      </c>
      <c r="I591">
        <f t="shared" si="27"/>
        <v>-4.1530672409377028E-3</v>
      </c>
      <c r="J591">
        <f t="shared" si="27"/>
        <v>1.8911589994585993E-2</v>
      </c>
      <c r="K591">
        <f t="shared" si="27"/>
        <v>2.1962556105568451E-2</v>
      </c>
      <c r="L591">
        <f t="shared" si="26"/>
        <v>6.9399812391616753E-3</v>
      </c>
      <c r="M591">
        <f t="shared" si="26"/>
        <v>3.2168567157657646E-2</v>
      </c>
      <c r="N591">
        <f t="shared" si="26"/>
        <v>2.7402339915515939E-2</v>
      </c>
      <c r="O591">
        <f t="shared" si="26"/>
        <v>4.123817438757677E-3</v>
      </c>
    </row>
    <row r="592" spans="1:15" x14ac:dyDescent="0.35">
      <c r="A592" s="2">
        <v>45793</v>
      </c>
      <c r="B592">
        <v>210.81614685058591</v>
      </c>
      <c r="C592">
        <v>1022.963500976562</v>
      </c>
      <c r="D592">
        <v>148.0106506347656</v>
      </c>
      <c r="E592">
        <v>263.7989501953125</v>
      </c>
      <c r="F592">
        <v>73.330551147460938</v>
      </c>
      <c r="G592">
        <v>161.0447998046875</v>
      </c>
      <c r="H592">
        <v>5958.3798828125</v>
      </c>
      <c r="I592">
        <f t="shared" si="27"/>
        <v>-8.9898474177643414E-4</v>
      </c>
      <c r="J592">
        <f t="shared" si="27"/>
        <v>1.5086409722591728E-2</v>
      </c>
      <c r="K592">
        <f t="shared" si="27"/>
        <v>1.1431034959797068E-2</v>
      </c>
      <c r="L592">
        <f t="shared" si="26"/>
        <v>2.6182939991583167E-4</v>
      </c>
      <c r="M592">
        <f t="shared" si="26"/>
        <v>6.0180208283375555E-3</v>
      </c>
      <c r="N592">
        <f t="shared" si="26"/>
        <v>5.3425351236413227E-3</v>
      </c>
      <c r="O592">
        <f t="shared" si="26"/>
        <v>6.9808493681001891E-3</v>
      </c>
    </row>
    <row r="593" spans="1:15" x14ac:dyDescent="0.35">
      <c r="A593" s="2">
        <v>45796</v>
      </c>
      <c r="B593">
        <v>208.34135437011719</v>
      </c>
      <c r="C593">
        <v>1031.44970703125</v>
      </c>
      <c r="D593">
        <v>149.14518737792969</v>
      </c>
      <c r="E593">
        <v>261.1566162109375</v>
      </c>
      <c r="F593">
        <v>72.215927124023438</v>
      </c>
      <c r="G593">
        <v>162.514404296875</v>
      </c>
      <c r="H593">
        <v>5963.60009765625</v>
      </c>
      <c r="I593">
        <f t="shared" si="27"/>
        <v>-1.1808550392953584E-2</v>
      </c>
      <c r="J593">
        <f t="shared" si="27"/>
        <v>8.2614873077997125E-3</v>
      </c>
      <c r="K593">
        <f t="shared" si="27"/>
        <v>7.6360085234705123E-3</v>
      </c>
      <c r="L593">
        <f t="shared" si="26"/>
        <v>-1.0066971259293109E-2</v>
      </c>
      <c r="M593">
        <f t="shared" si="26"/>
        <v>-1.5316699209873429E-2</v>
      </c>
      <c r="N593">
        <f t="shared" si="26"/>
        <v>9.0840537343914694E-3</v>
      </c>
      <c r="O593">
        <f t="shared" si="26"/>
        <v>8.757295660482738E-4</v>
      </c>
    </row>
    <row r="594" spans="1:15" x14ac:dyDescent="0.35">
      <c r="A594" s="2">
        <v>45797</v>
      </c>
      <c r="B594">
        <v>206.42539978027341</v>
      </c>
      <c r="C594">
        <v>1033.922729492188</v>
      </c>
      <c r="D594">
        <v>150.2895202636719</v>
      </c>
      <c r="E594">
        <v>261.94534301757813</v>
      </c>
      <c r="F594">
        <v>72.753684997558594</v>
      </c>
      <c r="G594">
        <v>163.37248229980469</v>
      </c>
      <c r="H594">
        <v>5940.4599609375</v>
      </c>
      <c r="I594">
        <f t="shared" si="27"/>
        <v>-9.2387743167436174E-3</v>
      </c>
      <c r="J594">
        <f t="shared" si="27"/>
        <v>2.3947483747406872E-3</v>
      </c>
      <c r="K594">
        <f t="shared" si="27"/>
        <v>7.6433254233225926E-3</v>
      </c>
      <c r="L594">
        <f t="shared" si="26"/>
        <v>3.015578093067183E-3</v>
      </c>
      <c r="M594">
        <f t="shared" si="26"/>
        <v>7.418938799770753E-3</v>
      </c>
      <c r="N594">
        <f t="shared" si="26"/>
        <v>5.2661215976549502E-3</v>
      </c>
      <c r="O594">
        <f t="shared" si="26"/>
        <v>-3.8877770695725784E-3</v>
      </c>
    </row>
    <row r="595" spans="1:15" x14ac:dyDescent="0.35">
      <c r="A595" s="2">
        <v>45798</v>
      </c>
      <c r="B595">
        <v>201.6654052734375</v>
      </c>
      <c r="C595">
        <v>1022.435119628906</v>
      </c>
      <c r="D595">
        <v>149.82005310058591</v>
      </c>
      <c r="E595">
        <v>257.37057495117188</v>
      </c>
      <c r="F595">
        <v>69.947563171386719</v>
      </c>
      <c r="G595">
        <v>163.16535949707031</v>
      </c>
      <c r="H595">
        <v>5844.60986328125</v>
      </c>
      <c r="I595">
        <f t="shared" si="27"/>
        <v>-2.3329172486255583E-2</v>
      </c>
      <c r="J595">
        <f t="shared" si="27"/>
        <v>-1.117288935981057E-2</v>
      </c>
      <c r="K595">
        <f t="shared" si="27"/>
        <v>-3.1286409211627787E-3</v>
      </c>
      <c r="L595">
        <f t="shared" si="26"/>
        <v>-1.7618895362962097E-2</v>
      </c>
      <c r="M595">
        <f t="shared" si="26"/>
        <v>-3.9333693872218099E-2</v>
      </c>
      <c r="N595">
        <f t="shared" si="26"/>
        <v>-1.2685992494607457E-3</v>
      </c>
      <c r="O595">
        <f t="shared" si="26"/>
        <v>-1.6266719267758897E-2</v>
      </c>
    </row>
    <row r="596" spans="1:15" x14ac:dyDescent="0.35">
      <c r="A596" s="2">
        <v>45799</v>
      </c>
      <c r="B596">
        <v>200.93693542480469</v>
      </c>
      <c r="C596">
        <v>1015.285034179688</v>
      </c>
      <c r="D596">
        <v>149.2625427246094</v>
      </c>
      <c r="E596">
        <v>257.00579833984381</v>
      </c>
      <c r="F596">
        <v>65.449958801269531</v>
      </c>
      <c r="G596">
        <v>162.7708435058594</v>
      </c>
      <c r="H596">
        <v>5842.009765625</v>
      </c>
      <c r="I596">
        <f t="shared" si="27"/>
        <v>-3.6188097782022515E-3</v>
      </c>
      <c r="J596">
        <f t="shared" si="27"/>
        <v>-7.017759313362377E-3</v>
      </c>
      <c r="K596">
        <f t="shared" si="27"/>
        <v>-3.7281408513665706E-3</v>
      </c>
      <c r="L596">
        <f t="shared" si="26"/>
        <v>-1.4183259240481852E-3</v>
      </c>
      <c r="M596">
        <f t="shared" si="26"/>
        <v>-6.6460000897024099E-2</v>
      </c>
      <c r="N596">
        <f t="shared" si="26"/>
        <v>-2.4208184316030236E-3</v>
      </c>
      <c r="O596">
        <f t="shared" si="26"/>
        <v>-4.4497002242116929E-4</v>
      </c>
    </row>
    <row r="597" spans="1:15" x14ac:dyDescent="0.35">
      <c r="A597" s="2">
        <v>45800</v>
      </c>
      <c r="B597">
        <v>194.85975646972659</v>
      </c>
      <c r="C597">
        <v>1005.681945800781</v>
      </c>
      <c r="D597">
        <v>149.5853271484375</v>
      </c>
      <c r="E597">
        <v>257.04522705078119</v>
      </c>
      <c r="F597">
        <v>66.251701354980469</v>
      </c>
      <c r="G597">
        <v>163.5894775390625</v>
      </c>
      <c r="H597">
        <v>5802.81982421875</v>
      </c>
      <c r="I597">
        <f t="shared" si="27"/>
        <v>-3.0711002496563045E-2</v>
      </c>
      <c r="J597">
        <f t="shared" si="27"/>
        <v>-9.5035304889630762E-3</v>
      </c>
      <c r="K597">
        <f t="shared" si="27"/>
        <v>2.1601930740628287E-3</v>
      </c>
      <c r="L597">
        <f t="shared" si="26"/>
        <v>1.5340388042116876E-4</v>
      </c>
      <c r="M597">
        <f t="shared" si="26"/>
        <v>1.2175282479529747E-2</v>
      </c>
      <c r="N597">
        <f t="shared" si="26"/>
        <v>5.0167602944000463E-3</v>
      </c>
      <c r="O597">
        <f t="shared" si="26"/>
        <v>-6.730899591473139E-3</v>
      </c>
    </row>
    <row r="598" spans="1:15" x14ac:dyDescent="0.35">
      <c r="A598" s="2">
        <v>45804</v>
      </c>
      <c r="B598">
        <v>199.78936767578119</v>
      </c>
      <c r="C598">
        <v>1014.945983886719</v>
      </c>
      <c r="D598">
        <v>151.1734924316406</v>
      </c>
      <c r="E598">
        <v>261.56085205078119</v>
      </c>
      <c r="F598">
        <v>66.525474548339844</v>
      </c>
      <c r="G598">
        <v>165.4634704589844</v>
      </c>
      <c r="H598">
        <v>5921.5400390625</v>
      </c>
      <c r="I598">
        <f t="shared" si="27"/>
        <v>2.4983547736617411E-2</v>
      </c>
      <c r="J598">
        <f t="shared" si="27"/>
        <v>9.169528798412839E-3</v>
      </c>
      <c r="K598">
        <f t="shared" si="27"/>
        <v>1.0561153598887723E-2</v>
      </c>
      <c r="L598">
        <f t="shared" si="26"/>
        <v>1.7414910105956128E-2</v>
      </c>
      <c r="M598">
        <f t="shared" si="26"/>
        <v>4.1238048553695981E-3</v>
      </c>
      <c r="N598">
        <f t="shared" si="26"/>
        <v>1.1390344272904243E-2</v>
      </c>
      <c r="O598">
        <f t="shared" si="26"/>
        <v>2.025258080218437E-2</v>
      </c>
    </row>
    <row r="599" spans="1:15" x14ac:dyDescent="0.35">
      <c r="A599" s="2">
        <v>45805</v>
      </c>
      <c r="B599">
        <v>199.99891662597659</v>
      </c>
      <c r="C599">
        <v>1010.309020996094</v>
      </c>
      <c r="D599">
        <v>150.36460876464841</v>
      </c>
      <c r="E599">
        <v>259.7861328125</v>
      </c>
      <c r="F599">
        <v>65.713951110839844</v>
      </c>
      <c r="G599">
        <v>165.06895446777341</v>
      </c>
      <c r="H599">
        <v>5888.5498046875</v>
      </c>
      <c r="I599">
        <f t="shared" si="27"/>
        <v>1.0482997006847805E-3</v>
      </c>
      <c r="J599">
        <f t="shared" si="27"/>
        <v>-4.5791477932331636E-3</v>
      </c>
      <c r="K599">
        <f t="shared" si="27"/>
        <v>-5.365064010276057E-3</v>
      </c>
      <c r="L599">
        <f t="shared" si="26"/>
        <v>-6.8082338440962576E-3</v>
      </c>
      <c r="M599">
        <f t="shared" si="26"/>
        <v>-1.2273701598551573E-2</v>
      </c>
      <c r="N599">
        <f t="shared" si="26"/>
        <v>-2.3871556846175178E-3</v>
      </c>
      <c r="O599">
        <f t="shared" si="26"/>
        <v>-5.586802576444734E-3</v>
      </c>
    </row>
    <row r="600" spans="1:15" x14ac:dyDescent="0.35">
      <c r="A600" s="2">
        <v>45806</v>
      </c>
      <c r="B600">
        <v>199.5299072265625</v>
      </c>
      <c r="C600">
        <v>1005.921325683594</v>
      </c>
      <c r="D600">
        <v>151.4990234375</v>
      </c>
      <c r="E600">
        <v>260.65374755859381</v>
      </c>
      <c r="F600">
        <v>67.454330444335938</v>
      </c>
      <c r="G600">
        <v>166.25250244140619</v>
      </c>
      <c r="H600">
        <v>5912.169921875</v>
      </c>
      <c r="I600">
        <f t="shared" si="27"/>
        <v>-2.3478136587600611E-3</v>
      </c>
      <c r="J600">
        <f t="shared" si="27"/>
        <v>-4.3523819053210792E-3</v>
      </c>
      <c r="K600">
        <f t="shared" si="27"/>
        <v>7.516109211349725E-3</v>
      </c>
      <c r="L600">
        <f t="shared" si="26"/>
        <v>3.3341624366744378E-3</v>
      </c>
      <c r="M600">
        <f t="shared" si="26"/>
        <v>2.6139534257742916E-2</v>
      </c>
      <c r="N600">
        <f t="shared" si="26"/>
        <v>7.1444392342753706E-3</v>
      </c>
      <c r="O600">
        <f t="shared" si="26"/>
        <v>4.0031708706317415E-3</v>
      </c>
    </row>
    <row r="601" spans="1:15" x14ac:dyDescent="0.35">
      <c r="A601" s="2">
        <v>45807</v>
      </c>
      <c r="B601">
        <v>200.42802429199219</v>
      </c>
      <c r="C601">
        <v>1037.2734375</v>
      </c>
      <c r="D601">
        <v>153.10693359375</v>
      </c>
      <c r="E601">
        <v>260.28900146484381</v>
      </c>
      <c r="F601">
        <v>69.067596435546875</v>
      </c>
      <c r="G601">
        <v>167.5643005371094</v>
      </c>
      <c r="H601">
        <v>5911.68994140625</v>
      </c>
      <c r="I601">
        <f t="shared" si="27"/>
        <v>4.4910652056797812E-3</v>
      </c>
      <c r="J601">
        <f t="shared" si="27"/>
        <v>3.0691712248297622E-2</v>
      </c>
      <c r="K601">
        <f t="shared" si="27"/>
        <v>1.0557410672819597E-2</v>
      </c>
      <c r="L601">
        <f t="shared" si="26"/>
        <v>-1.4003310499555897E-3</v>
      </c>
      <c r="M601">
        <f t="shared" si="26"/>
        <v>2.3634900650204425E-2</v>
      </c>
      <c r="N601">
        <f t="shared" si="26"/>
        <v>7.8594297024096871E-3</v>
      </c>
      <c r="O601">
        <f t="shared" si="26"/>
        <v>-8.1188456995205617E-5</v>
      </c>
    </row>
    <row r="602" spans="1:15" x14ac:dyDescent="0.35">
      <c r="A602" s="2">
        <v>45810</v>
      </c>
      <c r="B602">
        <v>201.27622985839841</v>
      </c>
      <c r="C602">
        <v>1053.896850585938</v>
      </c>
      <c r="D602">
        <v>153.29435729980469</v>
      </c>
      <c r="E602">
        <v>260.939697265625</v>
      </c>
      <c r="F602">
        <v>69.14349365234375</v>
      </c>
      <c r="G602">
        <v>165.48320007324219</v>
      </c>
      <c r="H602">
        <v>5935.93994140625</v>
      </c>
      <c r="I602">
        <f t="shared" si="27"/>
        <v>4.2230412957917664E-3</v>
      </c>
      <c r="J602">
        <f t="shared" si="27"/>
        <v>1.5899004829105227E-2</v>
      </c>
      <c r="K602">
        <f t="shared" si="27"/>
        <v>1.2233873355047978E-3</v>
      </c>
      <c r="L602">
        <f t="shared" si="26"/>
        <v>2.4967778650602586E-3</v>
      </c>
      <c r="M602">
        <f t="shared" si="26"/>
        <v>1.0982798034175022E-3</v>
      </c>
      <c r="N602">
        <f t="shared" si="26"/>
        <v>-1.2497481871075477E-2</v>
      </c>
      <c r="O602">
        <f t="shared" si="26"/>
        <v>4.0936514906260279E-3</v>
      </c>
    </row>
    <row r="603" spans="1:15" x14ac:dyDescent="0.35">
      <c r="A603" s="2">
        <v>45811</v>
      </c>
      <c r="B603">
        <v>202.8429260253906</v>
      </c>
      <c r="C603">
        <v>1052.640258789062</v>
      </c>
      <c r="D603">
        <v>152.32763671875</v>
      </c>
      <c r="E603">
        <v>262.52703857421881</v>
      </c>
      <c r="F603">
        <v>69.9320068359375</v>
      </c>
      <c r="G603">
        <v>164.56593322753909</v>
      </c>
      <c r="H603">
        <v>5970.3701171875</v>
      </c>
      <c r="I603">
        <f t="shared" si="27"/>
        <v>7.7536736046801532E-3</v>
      </c>
      <c r="J603">
        <f t="shared" si="27"/>
        <v>-1.1930404077199342E-3</v>
      </c>
      <c r="K603">
        <f t="shared" si="27"/>
        <v>-6.326271172384882E-3</v>
      </c>
      <c r="L603">
        <f t="shared" si="26"/>
        <v>6.0647451509796679E-3</v>
      </c>
      <c r="M603">
        <f t="shared" si="26"/>
        <v>1.1339475751944572E-2</v>
      </c>
      <c r="N603">
        <f t="shared" si="26"/>
        <v>-5.5583797366958636E-3</v>
      </c>
      <c r="O603">
        <f t="shared" si="26"/>
        <v>5.7835335353689787E-3</v>
      </c>
    </row>
    <row r="604" spans="1:15" x14ac:dyDescent="0.35">
      <c r="A604" s="2">
        <v>45812</v>
      </c>
      <c r="B604">
        <v>202.3938903808594</v>
      </c>
      <c r="C604">
        <v>1048.751220703125</v>
      </c>
      <c r="D604">
        <v>151.14390563964841</v>
      </c>
      <c r="E604">
        <v>260.505859375</v>
      </c>
      <c r="F604">
        <v>68.877365112304688</v>
      </c>
      <c r="G604">
        <v>163.67823791503909</v>
      </c>
      <c r="H604">
        <v>5970.81005859375</v>
      </c>
      <c r="I604">
        <f t="shared" si="27"/>
        <v>-2.2161650182512282E-3</v>
      </c>
      <c r="J604">
        <f t="shared" si="27"/>
        <v>-3.7013974444896416E-3</v>
      </c>
      <c r="K604">
        <f t="shared" si="27"/>
        <v>-7.8013053442947608E-3</v>
      </c>
      <c r="L604">
        <f t="shared" si="26"/>
        <v>-7.7287270766176978E-3</v>
      </c>
      <c r="M604">
        <f t="shared" si="26"/>
        <v>-1.5195833004488096E-2</v>
      </c>
      <c r="N604">
        <f t="shared" si="26"/>
        <v>-5.4087630772867877E-3</v>
      </c>
      <c r="O604">
        <f t="shared" si="26"/>
        <v>7.3684744719162675E-5</v>
      </c>
    </row>
    <row r="605" spans="1:15" x14ac:dyDescent="0.35">
      <c r="A605" s="2">
        <v>45813</v>
      </c>
      <c r="B605">
        <v>200.20849609375</v>
      </c>
      <c r="C605">
        <v>1007.985534667969</v>
      </c>
      <c r="D605">
        <v>151.57794189453119</v>
      </c>
      <c r="E605">
        <v>258.26779174804688</v>
      </c>
      <c r="F605">
        <v>70.474128723144531</v>
      </c>
      <c r="G605">
        <v>160.57136535644531</v>
      </c>
      <c r="H605">
        <v>5939.2998046875</v>
      </c>
      <c r="I605">
        <f t="shared" si="27"/>
        <v>-1.0856447081017195E-2</v>
      </c>
      <c r="J605">
        <f t="shared" si="27"/>
        <v>-3.9646323740274499E-2</v>
      </c>
      <c r="K605">
        <f t="shared" si="27"/>
        <v>2.8675601436629534E-3</v>
      </c>
      <c r="L605">
        <f t="shared" si="26"/>
        <v>-8.628354609592442E-3</v>
      </c>
      <c r="M605">
        <f t="shared" si="26"/>
        <v>2.2918067920665156E-2</v>
      </c>
      <c r="N605">
        <f t="shared" si="26"/>
        <v>-1.9164049008538315E-2</v>
      </c>
      <c r="O605">
        <f t="shared" si="26"/>
        <v>-5.2913579786981121E-3</v>
      </c>
    </row>
    <row r="606" spans="1:15" x14ac:dyDescent="0.35">
      <c r="A606" s="2">
        <v>45814</v>
      </c>
      <c r="B606">
        <v>203.49156188964841</v>
      </c>
      <c r="C606">
        <v>1012.103942871094</v>
      </c>
      <c r="D606">
        <v>152.92938232421881</v>
      </c>
      <c r="E606">
        <v>261.99465942382813</v>
      </c>
      <c r="F606">
        <v>71.124656677246094</v>
      </c>
      <c r="G606">
        <v>161.77467346191409</v>
      </c>
      <c r="H606">
        <v>6000.35986328125</v>
      </c>
      <c r="I606">
        <f t="shared" si="27"/>
        <v>1.6265235095851836E-2</v>
      </c>
      <c r="J606">
        <f t="shared" si="27"/>
        <v>4.0774569194595286E-3</v>
      </c>
      <c r="K606">
        <f t="shared" si="27"/>
        <v>8.8763008005227489E-3</v>
      </c>
      <c r="L606">
        <f t="shared" si="26"/>
        <v>1.4327120541650924E-2</v>
      </c>
      <c r="M606">
        <f t="shared" si="26"/>
        <v>9.1883913986148327E-3</v>
      </c>
      <c r="N606">
        <f t="shared" si="26"/>
        <v>7.4659747600368948E-3</v>
      </c>
      <c r="O606">
        <f t="shared" si="26"/>
        <v>1.0228196215376713E-2</v>
      </c>
    </row>
    <row r="607" spans="1:15" x14ac:dyDescent="0.35">
      <c r="A607" s="2">
        <v>45817</v>
      </c>
      <c r="B607">
        <v>201.0267639160156</v>
      </c>
      <c r="C607">
        <v>1003.368469238281</v>
      </c>
      <c r="D607">
        <v>153.12666320800781</v>
      </c>
      <c r="E607">
        <v>262.99044799804688</v>
      </c>
      <c r="F607">
        <v>70.868385314941406</v>
      </c>
      <c r="G607">
        <v>160.33465576171881</v>
      </c>
      <c r="H607">
        <v>6005.8798828125</v>
      </c>
      <c r="I607">
        <f t="shared" si="27"/>
        <v>-1.2186486101306848E-2</v>
      </c>
      <c r="J607">
        <f t="shared" si="27"/>
        <v>-8.6684672839738904E-3</v>
      </c>
      <c r="K607">
        <f t="shared" si="27"/>
        <v>1.2891815992011999E-3</v>
      </c>
      <c r="L607">
        <f t="shared" si="26"/>
        <v>3.7935924443136637E-3</v>
      </c>
      <c r="M607">
        <f t="shared" si="26"/>
        <v>-3.6096365986092675E-3</v>
      </c>
      <c r="N607">
        <f t="shared" si="26"/>
        <v>-8.9412330729391355E-3</v>
      </c>
      <c r="O607">
        <f t="shared" si="26"/>
        <v>9.1952518639136591E-4</v>
      </c>
    </row>
    <row r="608" spans="1:15" x14ac:dyDescent="0.35">
      <c r="A608" s="2">
        <v>45818</v>
      </c>
      <c r="B608">
        <v>202.24418640136719</v>
      </c>
      <c r="C608">
        <v>1004.455383300781</v>
      </c>
      <c r="D608">
        <v>154.33013916015619</v>
      </c>
      <c r="E608">
        <v>264.8243408203125</v>
      </c>
      <c r="F608">
        <v>71.765327453613281</v>
      </c>
      <c r="G608">
        <v>160.61082458496091</v>
      </c>
      <c r="H608">
        <v>6038.81005859375</v>
      </c>
      <c r="I608">
        <f t="shared" si="27"/>
        <v>6.0377579033184517E-3</v>
      </c>
      <c r="J608">
        <f t="shared" si="27"/>
        <v>1.0826788089984827E-3</v>
      </c>
      <c r="K608">
        <f t="shared" si="27"/>
        <v>7.8286256109017065E-3</v>
      </c>
      <c r="L608">
        <f t="shared" si="26"/>
        <v>6.9490292460504689E-3</v>
      </c>
      <c r="M608">
        <f t="shared" si="26"/>
        <v>1.2577026069662796E-2</v>
      </c>
      <c r="N608">
        <f t="shared" si="26"/>
        <v>1.7209707462181058E-3</v>
      </c>
      <c r="O608">
        <f t="shared" si="26"/>
        <v>5.4680125416468406E-3</v>
      </c>
    </row>
    <row r="609" spans="1:15" x14ac:dyDescent="0.35">
      <c r="A609" s="2">
        <v>45819</v>
      </c>
      <c r="B609">
        <v>198.36236572265619</v>
      </c>
      <c r="C609">
        <v>993.9947509765625</v>
      </c>
      <c r="D609">
        <v>153.15626525878909</v>
      </c>
      <c r="E609">
        <v>264.38064575195313</v>
      </c>
      <c r="F609">
        <v>71.952598571777344</v>
      </c>
      <c r="G609">
        <v>159.89082336425781</v>
      </c>
      <c r="H609">
        <v>6022.240234375</v>
      </c>
      <c r="I609">
        <f t="shared" si="27"/>
        <v>-1.9380322949579473E-2</v>
      </c>
      <c r="J609">
        <f t="shared" si="27"/>
        <v>-1.046884051007212E-2</v>
      </c>
      <c r="K609">
        <f t="shared" si="27"/>
        <v>-7.6353268787677465E-3</v>
      </c>
      <c r="L609">
        <f t="shared" si="26"/>
        <v>-1.676836702532606E-3</v>
      </c>
      <c r="M609">
        <f t="shared" si="26"/>
        <v>2.6060941642332769E-3</v>
      </c>
      <c r="N609">
        <f t="shared" si="26"/>
        <v>-4.4929717929347952E-3</v>
      </c>
      <c r="O609">
        <f t="shared" si="26"/>
        <v>-2.7476603182873451E-3</v>
      </c>
    </row>
    <row r="610" spans="1:15" x14ac:dyDescent="0.35">
      <c r="A610" s="2">
        <v>45820</v>
      </c>
      <c r="B610">
        <v>198.78147888183591</v>
      </c>
      <c r="C610">
        <v>999.908203125</v>
      </c>
      <c r="D610">
        <v>154.53729248046881</v>
      </c>
      <c r="E610">
        <v>264.4693603515625</v>
      </c>
      <c r="F610">
        <v>72.780548095703125</v>
      </c>
      <c r="G610">
        <v>160.94615173339841</v>
      </c>
      <c r="H610">
        <v>6045.259765625</v>
      </c>
      <c r="I610">
        <f t="shared" si="27"/>
        <v>2.1106373444387439E-3</v>
      </c>
      <c r="J610">
        <f t="shared" si="27"/>
        <v>5.9315519585986121E-3</v>
      </c>
      <c r="K610">
        <f t="shared" si="27"/>
        <v>8.9767007508712391E-3</v>
      </c>
      <c r="L610">
        <f t="shared" si="26"/>
        <v>3.3550004506997073E-4</v>
      </c>
      <c r="M610">
        <f t="shared" si="26"/>
        <v>1.144117397501963E-2</v>
      </c>
      <c r="N610">
        <f t="shared" si="26"/>
        <v>6.5786194055652055E-3</v>
      </c>
      <c r="O610">
        <f t="shared" si="26"/>
        <v>3.8151330716763875E-3</v>
      </c>
    </row>
    <row r="611" spans="1:15" x14ac:dyDescent="0.35">
      <c r="A611" s="2">
        <v>45821</v>
      </c>
      <c r="B611">
        <v>196.0372619628906</v>
      </c>
      <c r="C611">
        <v>987.443115234375</v>
      </c>
      <c r="D611">
        <v>154.9713439941406</v>
      </c>
      <c r="E611">
        <v>261.22564697265619</v>
      </c>
      <c r="F611">
        <v>73.707061767578125</v>
      </c>
      <c r="G611">
        <v>158.08586120605469</v>
      </c>
      <c r="H611">
        <v>5976.97021484375</v>
      </c>
      <c r="I611">
        <f t="shared" si="27"/>
        <v>-1.3901372087019841E-2</v>
      </c>
      <c r="J611">
        <f t="shared" si="27"/>
        <v>-1.2544587603440236E-2</v>
      </c>
      <c r="K611">
        <f t="shared" si="27"/>
        <v>2.8047798805557272E-3</v>
      </c>
      <c r="L611">
        <f t="shared" si="26"/>
        <v>-1.2340823103256017E-2</v>
      </c>
      <c r="M611">
        <f t="shared" si="26"/>
        <v>1.2649889335261144E-2</v>
      </c>
      <c r="N611">
        <f t="shared" si="26"/>
        <v>-1.7931536976917177E-2</v>
      </c>
      <c r="O611">
        <f t="shared" si="26"/>
        <v>-1.1360668590102889E-2</v>
      </c>
    </row>
    <row r="612" spans="1:15" x14ac:dyDescent="0.35">
      <c r="A612" s="2">
        <v>45824</v>
      </c>
      <c r="B612">
        <v>198.00312805175781</v>
      </c>
      <c r="C612">
        <v>981.60943603515625</v>
      </c>
      <c r="D612">
        <v>153.11680603027341</v>
      </c>
      <c r="E612">
        <v>266.5595703125</v>
      </c>
      <c r="F612">
        <v>72.721412658691406</v>
      </c>
      <c r="G612">
        <v>158.67765808105469</v>
      </c>
      <c r="H612">
        <v>6033.10986328125</v>
      </c>
      <c r="I612">
        <f t="shared" si="27"/>
        <v>9.9780755938707177E-3</v>
      </c>
      <c r="J612">
        <f t="shared" si="27"/>
        <v>-5.9253840268570475E-3</v>
      </c>
      <c r="K612">
        <f t="shared" si="27"/>
        <v>-1.2039154141983628E-2</v>
      </c>
      <c r="L612">
        <f t="shared" si="26"/>
        <v>2.0213165399794664E-2</v>
      </c>
      <c r="M612">
        <f t="shared" si="26"/>
        <v>-1.3462736666817644E-2</v>
      </c>
      <c r="N612">
        <f t="shared" si="26"/>
        <v>3.7365260044398977E-3</v>
      </c>
      <c r="O612">
        <f t="shared" si="26"/>
        <v>9.3488231481891008E-3</v>
      </c>
    </row>
    <row r="613" spans="1:15" x14ac:dyDescent="0.35">
      <c r="A613" s="2">
        <v>45825</v>
      </c>
      <c r="B613">
        <v>195.22895812988281</v>
      </c>
      <c r="C613">
        <v>974.98797607421875</v>
      </c>
      <c r="D613">
        <v>150.3152770996094</v>
      </c>
      <c r="E613">
        <v>265.73138427734381</v>
      </c>
      <c r="F613">
        <v>70.828956604003906</v>
      </c>
      <c r="G613">
        <v>156.3499755859375</v>
      </c>
      <c r="H613">
        <v>5982.72021484375</v>
      </c>
      <c r="I613">
        <f t="shared" si="27"/>
        <v>-1.4109814759666576E-2</v>
      </c>
      <c r="J613">
        <f t="shared" si="27"/>
        <v>-6.7683675730147632E-3</v>
      </c>
      <c r="K613">
        <f t="shared" si="27"/>
        <v>-1.8466132591994602E-2</v>
      </c>
      <c r="L613">
        <f t="shared" si="26"/>
        <v>-3.111781991802824E-3</v>
      </c>
      <c r="M613">
        <f t="shared" si="26"/>
        <v>-2.6367967012757232E-2</v>
      </c>
      <c r="N613">
        <f t="shared" si="26"/>
        <v>-1.4777909030322318E-2</v>
      </c>
      <c r="O613">
        <f t="shared" si="26"/>
        <v>-8.3872597236431343E-3</v>
      </c>
    </row>
    <row r="614" spans="1:15" x14ac:dyDescent="0.35">
      <c r="A614" s="2">
        <v>45826</v>
      </c>
      <c r="B614">
        <v>196.16697692871091</v>
      </c>
      <c r="C614">
        <v>972.1759033203125</v>
      </c>
      <c r="D614">
        <v>148.68763732910159</v>
      </c>
      <c r="E614">
        <v>270.10894775390619</v>
      </c>
      <c r="F614">
        <v>70.543121337890625</v>
      </c>
      <c r="G614">
        <v>155.8568115234375</v>
      </c>
      <c r="H614">
        <v>5980.8701171875</v>
      </c>
      <c r="I614">
        <f t="shared" si="27"/>
        <v>4.7932056043866293E-3</v>
      </c>
      <c r="J614">
        <f t="shared" si="27"/>
        <v>-2.8883801088308435E-3</v>
      </c>
      <c r="K614">
        <f t="shared" si="27"/>
        <v>-1.0887223964495298E-2</v>
      </c>
      <c r="L614">
        <f t="shared" si="26"/>
        <v>1.6339422797218495E-2</v>
      </c>
      <c r="M614">
        <f t="shared" si="26"/>
        <v>-4.0437356480539878E-3</v>
      </c>
      <c r="N614">
        <f t="shared" si="26"/>
        <v>-3.1592168590622374E-3</v>
      </c>
      <c r="O614">
        <f t="shared" si="26"/>
        <v>-3.0928803472058796E-4</v>
      </c>
    </row>
    <row r="615" spans="1:15" x14ac:dyDescent="0.35">
      <c r="A615" s="2">
        <v>45828</v>
      </c>
      <c r="B615">
        <v>200.57769775390619</v>
      </c>
      <c r="C615">
        <v>977.55078125</v>
      </c>
      <c r="D615">
        <v>147.76036071777341</v>
      </c>
      <c r="E615">
        <v>271.13436889648438</v>
      </c>
      <c r="F615">
        <v>70.503692626953125</v>
      </c>
      <c r="G615">
        <v>156.90229797363281</v>
      </c>
      <c r="H615">
        <v>5967.83984375</v>
      </c>
      <c r="I615">
        <f t="shared" si="27"/>
        <v>2.2235471994094525E-2</v>
      </c>
      <c r="J615">
        <f t="shared" si="27"/>
        <v>5.5134820566336172E-3</v>
      </c>
      <c r="K615">
        <f t="shared" si="27"/>
        <v>-6.2559345426452476E-3</v>
      </c>
      <c r="L615">
        <f t="shared" si="26"/>
        <v>3.7891363751233536E-3</v>
      </c>
      <c r="M615">
        <f t="shared" si="26"/>
        <v>-5.5908688549846381E-4</v>
      </c>
      <c r="N615">
        <f t="shared" si="26"/>
        <v>6.685594840481611E-3</v>
      </c>
      <c r="O615">
        <f t="shared" si="26"/>
        <v>-2.181035215587759E-3</v>
      </c>
    </row>
    <row r="616" spans="1:15" x14ac:dyDescent="0.35">
      <c r="A616" s="2">
        <v>45831</v>
      </c>
      <c r="B616">
        <v>201.07666015625</v>
      </c>
      <c r="C616">
        <v>1001.673156738281</v>
      </c>
      <c r="D616">
        <v>149.2696533203125</v>
      </c>
      <c r="E616">
        <v>274.35836791992188</v>
      </c>
      <c r="F616">
        <v>69.715171813964844</v>
      </c>
      <c r="G616">
        <v>158.8255920410156</v>
      </c>
      <c r="H616">
        <v>6025.169921875</v>
      </c>
      <c r="I616">
        <f t="shared" si="27"/>
        <v>2.48453750937236E-3</v>
      </c>
      <c r="J616">
        <f t="shared" si="27"/>
        <v>2.437679691499732E-2</v>
      </c>
      <c r="K616">
        <f t="shared" si="27"/>
        <v>1.016264701267091E-2</v>
      </c>
      <c r="L616">
        <f t="shared" si="26"/>
        <v>1.1820639747773226E-2</v>
      </c>
      <c r="M616">
        <f t="shared" si="26"/>
        <v>-1.1247118970564346E-2</v>
      </c>
      <c r="N616">
        <f t="shared" si="26"/>
        <v>1.218338904159456E-2</v>
      </c>
      <c r="O616">
        <f t="shared" si="26"/>
        <v>9.5606550712594388E-3</v>
      </c>
    </row>
    <row r="617" spans="1:15" x14ac:dyDescent="0.35">
      <c r="A617" s="2">
        <v>45832</v>
      </c>
      <c r="B617">
        <v>199.8791809082031</v>
      </c>
      <c r="C617">
        <v>999.12030029296875</v>
      </c>
      <c r="D617">
        <v>150.12785339355469</v>
      </c>
      <c r="E617">
        <v>277.30636596679688</v>
      </c>
      <c r="F617">
        <v>70.375564575195313</v>
      </c>
      <c r="G617">
        <v>158.16477966308591</v>
      </c>
      <c r="H617">
        <v>6092.18017578125</v>
      </c>
      <c r="I617">
        <f t="shared" si="27"/>
        <v>-5.9731406092595534E-3</v>
      </c>
      <c r="J617">
        <f t="shared" si="27"/>
        <v>-2.5518454407903205E-3</v>
      </c>
      <c r="K617">
        <f t="shared" si="27"/>
        <v>5.7328628625340789E-3</v>
      </c>
      <c r="L617">
        <f t="shared" si="26"/>
        <v>1.0687745392099447E-2</v>
      </c>
      <c r="M617">
        <f t="shared" si="26"/>
        <v>9.4281416472834084E-3</v>
      </c>
      <c r="N617">
        <f t="shared" si="26"/>
        <v>-4.1692959418314478E-3</v>
      </c>
      <c r="O617">
        <f t="shared" si="26"/>
        <v>1.1060328616958607E-2</v>
      </c>
    </row>
    <row r="618" spans="1:15" x14ac:dyDescent="0.35">
      <c r="A618" s="2">
        <v>45833</v>
      </c>
      <c r="B618">
        <v>201.13653564453119</v>
      </c>
      <c r="C618">
        <v>983.7833251953125</v>
      </c>
      <c r="D618">
        <v>150.2166442871094</v>
      </c>
      <c r="E618">
        <v>280.06698608398438</v>
      </c>
      <c r="F618">
        <v>69.330764770507813</v>
      </c>
      <c r="G618">
        <v>156.7937927246094</v>
      </c>
      <c r="H618">
        <v>6092.16015625</v>
      </c>
      <c r="I618">
        <f t="shared" si="27"/>
        <v>6.2708707153257912E-3</v>
      </c>
      <c r="J618">
        <f t="shared" si="27"/>
        <v>-1.5469517279366855E-2</v>
      </c>
      <c r="K618">
        <f t="shared" si="27"/>
        <v>5.9126034821394534E-4</v>
      </c>
      <c r="L618">
        <f t="shared" si="26"/>
        <v>9.9059012464313978E-3</v>
      </c>
      <c r="M618">
        <f t="shared" si="26"/>
        <v>-1.4957365042804644E-2</v>
      </c>
      <c r="N618">
        <f t="shared" si="26"/>
        <v>-8.7058789177447884E-3</v>
      </c>
      <c r="O618">
        <f t="shared" si="26"/>
        <v>-3.2861083496653311E-6</v>
      </c>
    </row>
    <row r="619" spans="1:15" x14ac:dyDescent="0.35">
      <c r="A619" s="2">
        <v>45834</v>
      </c>
      <c r="B619">
        <v>200.57769775390619</v>
      </c>
      <c r="C619">
        <v>980.1634521484375</v>
      </c>
      <c r="D619">
        <v>149.9502868652344</v>
      </c>
      <c r="E619">
        <v>284.6910400390625</v>
      </c>
      <c r="F619">
        <v>69.971435546875</v>
      </c>
      <c r="G619">
        <v>156.4584655761719</v>
      </c>
      <c r="H619">
        <v>6141.02001953125</v>
      </c>
      <c r="I619">
        <f t="shared" si="27"/>
        <v>-2.7822676154383684E-3</v>
      </c>
      <c r="J619">
        <f t="shared" si="27"/>
        <v>-3.6863291692470833E-3</v>
      </c>
      <c r="K619">
        <f t="shared" si="27"/>
        <v>-1.7747290866705579E-3</v>
      </c>
      <c r="L619">
        <f t="shared" si="26"/>
        <v>1.6375711630226823E-2</v>
      </c>
      <c r="M619">
        <f t="shared" si="26"/>
        <v>9.1983513849209306E-3</v>
      </c>
      <c r="N619">
        <f t="shared" si="26"/>
        <v>-2.1409408400822321E-3</v>
      </c>
      <c r="O619">
        <f t="shared" si="26"/>
        <v>7.9881310325167973E-3</v>
      </c>
    </row>
    <row r="620" spans="1:15" x14ac:dyDescent="0.35">
      <c r="A620" s="2">
        <v>45835</v>
      </c>
      <c r="B620">
        <v>200.65753173828119</v>
      </c>
      <c r="C620">
        <v>982.38726806640625</v>
      </c>
      <c r="D620">
        <v>150.3448791503906</v>
      </c>
      <c r="E620">
        <v>283.0740966796875</v>
      </c>
      <c r="F620">
        <v>69.872871398925781</v>
      </c>
      <c r="G620">
        <v>157.67161560058591</v>
      </c>
      <c r="H620">
        <v>6173.06982421875</v>
      </c>
      <c r="I620">
        <f t="shared" si="27"/>
        <v>3.9794105582188381E-4</v>
      </c>
      <c r="J620">
        <f t="shared" si="27"/>
        <v>2.2662516151422583E-3</v>
      </c>
      <c r="K620">
        <f t="shared" si="27"/>
        <v>2.6280310635536795E-3</v>
      </c>
      <c r="L620">
        <f t="shared" si="26"/>
        <v>-5.6958331051923895E-3</v>
      </c>
      <c r="M620">
        <f t="shared" si="26"/>
        <v>-1.4096271263785011E-3</v>
      </c>
      <c r="N620">
        <f t="shared" si="26"/>
        <v>7.7239088413080734E-3</v>
      </c>
      <c r="O620">
        <f t="shared" si="26"/>
        <v>5.205399256150098E-3</v>
      </c>
    </row>
    <row r="621" spans="1:15" x14ac:dyDescent="0.35">
      <c r="A621" s="2">
        <v>45838</v>
      </c>
      <c r="B621">
        <v>204.73893737792969</v>
      </c>
      <c r="C621">
        <v>987.173828125</v>
      </c>
      <c r="D621">
        <v>150.6802673339844</v>
      </c>
      <c r="E621">
        <v>285.83474731445313</v>
      </c>
      <c r="F621">
        <v>68.423965454101563</v>
      </c>
      <c r="G621">
        <v>157.1390075683594</v>
      </c>
      <c r="H621">
        <v>6204.9501953125</v>
      </c>
      <c r="I621">
        <f t="shared" si="27"/>
        <v>2.0136058667708109E-2</v>
      </c>
      <c r="J621">
        <f t="shared" si="27"/>
        <v>4.8605443023246571E-3</v>
      </c>
      <c r="K621">
        <f t="shared" si="27"/>
        <v>2.2283076765349003E-3</v>
      </c>
      <c r="L621">
        <f t="shared" si="26"/>
        <v>9.7051481363296891E-3</v>
      </c>
      <c r="M621">
        <f t="shared" si="26"/>
        <v>-2.0954332627785864E-2</v>
      </c>
      <c r="N621">
        <f t="shared" si="26"/>
        <v>-3.383675779610797E-3</v>
      </c>
      <c r="O621">
        <f t="shared" si="26"/>
        <v>5.1511375061288819E-3</v>
      </c>
    </row>
    <row r="622" spans="1:15" x14ac:dyDescent="0.35">
      <c r="A622" s="2">
        <v>45839</v>
      </c>
      <c r="B622">
        <v>207.38337707519531</v>
      </c>
      <c r="C622">
        <v>983.2049560546875</v>
      </c>
      <c r="D622">
        <v>153.80731201171881</v>
      </c>
      <c r="E622">
        <v>286.32772827148438</v>
      </c>
      <c r="F622">
        <v>72.011734008789063</v>
      </c>
      <c r="G622">
        <v>159.01300048828119</v>
      </c>
      <c r="H622">
        <v>6198.009765625</v>
      </c>
      <c r="I622">
        <f t="shared" si="27"/>
        <v>1.2833452102963735E-2</v>
      </c>
      <c r="J622">
        <f t="shared" si="27"/>
        <v>-4.0285426028716974E-3</v>
      </c>
      <c r="K622">
        <f t="shared" si="27"/>
        <v>2.0540441274452793E-2</v>
      </c>
      <c r="L622">
        <f t="shared" si="26"/>
        <v>1.7232205887608197E-3</v>
      </c>
      <c r="M622">
        <f t="shared" si="26"/>
        <v>5.1105942683288733E-2</v>
      </c>
      <c r="N622">
        <f t="shared" si="26"/>
        <v>1.1855150816145086E-2</v>
      </c>
      <c r="O622">
        <f t="shared" si="26"/>
        <v>-1.1191571098791433E-3</v>
      </c>
    </row>
    <row r="623" spans="1:15" x14ac:dyDescent="0.35">
      <c r="A623" s="2">
        <v>45840</v>
      </c>
      <c r="B623">
        <v>211.99366760253909</v>
      </c>
      <c r="C623">
        <v>979.614990234375</v>
      </c>
      <c r="D623">
        <v>153.45219421386719</v>
      </c>
      <c r="E623">
        <v>287.8953857421875</v>
      </c>
      <c r="F623">
        <v>71.972312927246094</v>
      </c>
      <c r="G623">
        <v>158.99327087402341</v>
      </c>
      <c r="H623">
        <v>6227.419921875</v>
      </c>
      <c r="I623">
        <f t="shared" si="27"/>
        <v>2.1987260950303646E-2</v>
      </c>
      <c r="J623">
        <f t="shared" si="27"/>
        <v>-3.6579716138885037E-3</v>
      </c>
      <c r="K623">
        <f t="shared" si="27"/>
        <v>-2.3115181061998343E-3</v>
      </c>
      <c r="L623">
        <f t="shared" si="26"/>
        <v>5.4601123749108867E-3</v>
      </c>
      <c r="M623">
        <f t="shared" si="26"/>
        <v>-5.4757569837554838E-4</v>
      </c>
      <c r="N623">
        <f t="shared" si="26"/>
        <v>-1.2408317734472483E-4</v>
      </c>
      <c r="O623">
        <f t="shared" si="26"/>
        <v>4.7338743064907745E-3</v>
      </c>
    </row>
    <row r="624" spans="1:15" x14ac:dyDescent="0.35">
      <c r="A624" s="2">
        <v>45841</v>
      </c>
      <c r="B624">
        <v>213.1013488769531</v>
      </c>
      <c r="C624">
        <v>984.26202392578125</v>
      </c>
      <c r="D624">
        <v>153.89610290527341</v>
      </c>
      <c r="E624">
        <v>293.2451171875</v>
      </c>
      <c r="F624">
        <v>72.819969177246094</v>
      </c>
      <c r="G624">
        <v>158.62834167480469</v>
      </c>
      <c r="H624">
        <v>6279.35009765625</v>
      </c>
      <c r="I624">
        <f t="shared" si="27"/>
        <v>5.2114644419001196E-3</v>
      </c>
      <c r="J624">
        <f t="shared" si="27"/>
        <v>4.7325187179180677E-3</v>
      </c>
      <c r="K624">
        <f t="shared" si="27"/>
        <v>2.8886380971689962E-3</v>
      </c>
      <c r="L624">
        <f t="shared" si="26"/>
        <v>1.8411666516805082E-2</v>
      </c>
      <c r="M624">
        <f t="shared" si="26"/>
        <v>1.1708717090582323E-2</v>
      </c>
      <c r="N624">
        <f t="shared" si="26"/>
        <v>-2.2978874571400612E-3</v>
      </c>
      <c r="O624">
        <f t="shared" si="26"/>
        <v>8.3043782106639406E-3</v>
      </c>
    </row>
    <row r="625" spans="1:15" x14ac:dyDescent="0.35">
      <c r="A625" s="2">
        <v>45845</v>
      </c>
      <c r="B625">
        <v>209.50889587402341</v>
      </c>
      <c r="C625">
        <v>989.40753173828125</v>
      </c>
      <c r="D625">
        <v>153.16612243652341</v>
      </c>
      <c r="E625">
        <v>289.25262451171881</v>
      </c>
      <c r="F625">
        <v>73.677490234375</v>
      </c>
      <c r="G625">
        <v>158.3028564453125</v>
      </c>
      <c r="H625">
        <v>6229.97998046875</v>
      </c>
      <c r="I625">
        <f t="shared" si="27"/>
        <v>-1.7001668001927619E-2</v>
      </c>
      <c r="J625">
        <f t="shared" si="27"/>
        <v>5.2141651124190088E-3</v>
      </c>
      <c r="K625">
        <f t="shared" si="27"/>
        <v>-4.7546183391495144E-3</v>
      </c>
      <c r="L625">
        <f t="shared" si="26"/>
        <v>-1.3708397173952414E-2</v>
      </c>
      <c r="M625">
        <f t="shared" si="26"/>
        <v>1.1707108841516713E-2</v>
      </c>
      <c r="N625">
        <f t="shared" si="26"/>
        <v>-2.053981090240368E-3</v>
      </c>
      <c r="O625">
        <f t="shared" si="26"/>
        <v>-7.8933681042440175E-3</v>
      </c>
    </row>
    <row r="626" spans="1:15" x14ac:dyDescent="0.35">
      <c r="A626" s="2">
        <v>45846</v>
      </c>
      <c r="B626">
        <v>209.56877136230469</v>
      </c>
      <c r="C626">
        <v>983.0853271484375</v>
      </c>
      <c r="D626">
        <v>153.67906188964841</v>
      </c>
      <c r="E626">
        <v>280.14816284179688</v>
      </c>
      <c r="F626">
        <v>71.42034912109375</v>
      </c>
      <c r="G626">
        <v>155.72857666015619</v>
      </c>
      <c r="H626">
        <v>6225.52001953125</v>
      </c>
      <c r="I626">
        <f t="shared" si="27"/>
        <v>2.8574888794971224E-4</v>
      </c>
      <c r="J626">
        <f t="shared" si="27"/>
        <v>-6.4103920186826396E-3</v>
      </c>
      <c r="K626">
        <f t="shared" si="27"/>
        <v>3.3433141995936975E-3</v>
      </c>
      <c r="L626">
        <f t="shared" si="26"/>
        <v>-3.1981823315412911E-2</v>
      </c>
      <c r="M626">
        <f t="shared" si="26"/>
        <v>-3.11144978792606E-2</v>
      </c>
      <c r="N626">
        <f t="shared" si="26"/>
        <v>-1.6395412556996312E-2</v>
      </c>
      <c r="O626">
        <f t="shared" si="26"/>
        <v>-7.161432504695748E-4</v>
      </c>
    </row>
    <row r="627" spans="1:15" x14ac:dyDescent="0.35">
      <c r="A627" s="2">
        <v>45847</v>
      </c>
      <c r="B627">
        <v>210.69639587402341</v>
      </c>
      <c r="C627">
        <v>979.3458251953125</v>
      </c>
      <c r="D627">
        <v>154.1624450683594</v>
      </c>
      <c r="E627">
        <v>280.524658203125</v>
      </c>
      <c r="F627">
        <v>72.593276977539063</v>
      </c>
      <c r="G627">
        <v>155.36366271972659</v>
      </c>
      <c r="H627">
        <v>6263.259765625</v>
      </c>
      <c r="I627">
        <f t="shared" si="27"/>
        <v>5.3662654230007857E-3</v>
      </c>
      <c r="J627">
        <f t="shared" si="27"/>
        <v>-3.8110957164964022E-3</v>
      </c>
      <c r="K627">
        <f t="shared" si="27"/>
        <v>3.1404704373385354E-3</v>
      </c>
      <c r="L627">
        <f t="shared" si="26"/>
        <v>1.3430129080140264E-3</v>
      </c>
      <c r="M627">
        <f t="shared" si="26"/>
        <v>1.6289483491345357E-2</v>
      </c>
      <c r="N627">
        <f t="shared" si="26"/>
        <v>-2.3460187147380132E-3</v>
      </c>
      <c r="O627">
        <f t="shared" si="26"/>
        <v>6.0438027767796901E-3</v>
      </c>
    </row>
    <row r="628" spans="1:15" x14ac:dyDescent="0.35">
      <c r="A628" s="2">
        <v>45848</v>
      </c>
      <c r="B628">
        <v>211.96372985839841</v>
      </c>
      <c r="C628">
        <v>967.45904541015625</v>
      </c>
      <c r="D628">
        <v>155.5533447265625</v>
      </c>
      <c r="E628">
        <v>285.5078125</v>
      </c>
      <c r="F628">
        <v>73.569068908691406</v>
      </c>
      <c r="G628">
        <v>156.32037353515619</v>
      </c>
      <c r="H628">
        <v>6280.4599609375</v>
      </c>
      <c r="I628">
        <f t="shared" si="27"/>
        <v>5.9969592841335123E-3</v>
      </c>
      <c r="J628">
        <f t="shared" si="27"/>
        <v>-1.2211729776930977E-2</v>
      </c>
      <c r="K628">
        <f t="shared" si="27"/>
        <v>8.9818411249659915E-3</v>
      </c>
      <c r="L628">
        <f t="shared" si="26"/>
        <v>1.7607763863277472E-2</v>
      </c>
      <c r="M628">
        <f t="shared" si="26"/>
        <v>1.3352364080716165E-2</v>
      </c>
      <c r="N628">
        <f t="shared" si="26"/>
        <v>6.1389978875846865E-3</v>
      </c>
      <c r="O628">
        <f t="shared" si="26"/>
        <v>2.7424410729257912E-3</v>
      </c>
    </row>
    <row r="629" spans="1:15" x14ac:dyDescent="0.35">
      <c r="A629" s="2">
        <v>45849</v>
      </c>
      <c r="B629">
        <v>210.71635437011719</v>
      </c>
      <c r="C629">
        <v>967.61865234375</v>
      </c>
      <c r="D629">
        <v>154.77403259277341</v>
      </c>
      <c r="E629">
        <v>284.190185546875</v>
      </c>
      <c r="F629">
        <v>73.33251953125</v>
      </c>
      <c r="G629">
        <v>154.90008544921881</v>
      </c>
      <c r="H629">
        <v>6259.75</v>
      </c>
      <c r="I629">
        <f t="shared" si="27"/>
        <v>-5.9022374414881076E-3</v>
      </c>
      <c r="J629">
        <f t="shared" si="27"/>
        <v>1.6496178333408795E-4</v>
      </c>
      <c r="K629">
        <f t="shared" si="27"/>
        <v>-5.0225267183940207E-3</v>
      </c>
      <c r="L629">
        <f t="shared" si="26"/>
        <v>-4.6257115422657976E-3</v>
      </c>
      <c r="M629">
        <f t="shared" si="26"/>
        <v>-3.2205176867826178E-3</v>
      </c>
      <c r="N629">
        <f t="shared" si="26"/>
        <v>-9.1272787822459511E-3</v>
      </c>
      <c r="O629">
        <f t="shared" si="26"/>
        <v>-3.3029717732258423E-3</v>
      </c>
    </row>
    <row r="630" spans="1:15" x14ac:dyDescent="0.35">
      <c r="A630" s="2">
        <v>45852</v>
      </c>
      <c r="B630">
        <v>208.18168640136719</v>
      </c>
      <c r="C630">
        <v>978.1690673828125</v>
      </c>
      <c r="D630">
        <v>154.69512939453119</v>
      </c>
      <c r="E630">
        <v>286.0130615234375</v>
      </c>
      <c r="F630">
        <v>73.963333129882813</v>
      </c>
      <c r="G630">
        <v>151.65510559082031</v>
      </c>
      <c r="H630">
        <v>6268.56005859375</v>
      </c>
      <c r="I630">
        <f t="shared" si="27"/>
        <v>-1.2101746276944433E-2</v>
      </c>
      <c r="J630">
        <f t="shared" si="27"/>
        <v>1.0844470163103999E-2</v>
      </c>
      <c r="K630">
        <f t="shared" si="27"/>
        <v>-5.0992609050448667E-4</v>
      </c>
      <c r="L630">
        <f t="shared" si="26"/>
        <v>6.3937979867850509E-3</v>
      </c>
      <c r="M630">
        <f t="shared" si="26"/>
        <v>8.5653118379811141E-3</v>
      </c>
      <c r="N630">
        <f t="shared" si="26"/>
        <v>-2.1171398560138291E-2</v>
      </c>
      <c r="O630">
        <f t="shared" si="26"/>
        <v>1.4064243309367943E-3</v>
      </c>
    </row>
    <row r="631" spans="1:15" x14ac:dyDescent="0.35">
      <c r="A631" s="2">
        <v>45853</v>
      </c>
      <c r="B631">
        <v>208.67066955566409</v>
      </c>
      <c r="C631">
        <v>964.97607421875</v>
      </c>
      <c r="D631">
        <v>153.0674743652344</v>
      </c>
      <c r="E631">
        <v>283.88308715820313</v>
      </c>
      <c r="F631">
        <v>73.628211975097656</v>
      </c>
      <c r="G631">
        <v>150.58988952636719</v>
      </c>
      <c r="H631">
        <v>6243.759765625</v>
      </c>
      <c r="I631">
        <f t="shared" si="27"/>
        <v>2.3460746789217817E-3</v>
      </c>
      <c r="J631">
        <f t="shared" si="27"/>
        <v>-1.3579218153080233E-2</v>
      </c>
      <c r="K631">
        <f t="shared" si="27"/>
        <v>-1.0577439785453691E-2</v>
      </c>
      <c r="L631">
        <f t="shared" si="26"/>
        <v>-7.4749909713642477E-3</v>
      </c>
      <c r="M631">
        <f t="shared" si="26"/>
        <v>-4.5412049920264524E-3</v>
      </c>
      <c r="N631">
        <f t="shared" si="26"/>
        <v>-7.0487220106246491E-3</v>
      </c>
      <c r="O631">
        <f t="shared" si="26"/>
        <v>-3.9641450656725608E-3</v>
      </c>
    </row>
    <row r="632" spans="1:15" x14ac:dyDescent="0.35">
      <c r="A632" s="2">
        <v>45854</v>
      </c>
      <c r="B632">
        <v>209.7184753417969</v>
      </c>
      <c r="C632">
        <v>948.71160888671875</v>
      </c>
      <c r="D632">
        <v>162.54725646972659</v>
      </c>
      <c r="E632">
        <v>283.15988159179688</v>
      </c>
      <c r="F632">
        <v>73.69720458984375</v>
      </c>
      <c r="G632">
        <v>151.62553405761719</v>
      </c>
      <c r="H632">
        <v>6263.7001953125</v>
      </c>
      <c r="I632">
        <f t="shared" si="27"/>
        <v>5.0087722853509372E-3</v>
      </c>
      <c r="J632">
        <f t="shared" si="27"/>
        <v>-1.6998444526344244E-2</v>
      </c>
      <c r="K632">
        <f t="shared" si="27"/>
        <v>6.0089935437827376E-2</v>
      </c>
      <c r="L632">
        <f t="shared" si="26"/>
        <v>-2.5507977292539142E-3</v>
      </c>
      <c r="M632">
        <f t="shared" si="26"/>
        <v>9.3660172695546003E-4</v>
      </c>
      <c r="N632">
        <f t="shared" si="26"/>
        <v>6.8537109915823083E-3</v>
      </c>
      <c r="O632">
        <f t="shared" si="26"/>
        <v>3.1885685253844154E-3</v>
      </c>
    </row>
    <row r="633" spans="1:15" x14ac:dyDescent="0.35">
      <c r="A633" s="2">
        <v>45855</v>
      </c>
      <c r="B633">
        <v>209.57875061035159</v>
      </c>
      <c r="C633">
        <v>951.2445068359375</v>
      </c>
      <c r="D633">
        <v>160.77165222167969</v>
      </c>
      <c r="E633">
        <v>287.201904296875</v>
      </c>
      <c r="F633">
        <v>74.101318359375</v>
      </c>
      <c r="G633">
        <v>153.4896545410156</v>
      </c>
      <c r="H633">
        <v>6297.35986328125</v>
      </c>
      <c r="I633">
        <f t="shared" si="27"/>
        <v>-6.6647107573856404E-4</v>
      </c>
      <c r="J633">
        <f t="shared" si="27"/>
        <v>2.666271529947441E-3</v>
      </c>
      <c r="K633">
        <f t="shared" si="27"/>
        <v>-1.0983719487664991E-2</v>
      </c>
      <c r="L633">
        <f t="shared" si="26"/>
        <v>1.4173776973460785E-2</v>
      </c>
      <c r="M633">
        <f t="shared" si="26"/>
        <v>5.468454873815763E-3</v>
      </c>
      <c r="N633">
        <f t="shared" si="26"/>
        <v>1.2219278144358905E-2</v>
      </c>
      <c r="O633">
        <f t="shared" si="26"/>
        <v>5.3593802400110132E-3</v>
      </c>
    </row>
    <row r="634" spans="1:15" x14ac:dyDescent="0.35">
      <c r="A634" s="2">
        <v>45856</v>
      </c>
      <c r="B634">
        <v>210.73631286621091</v>
      </c>
      <c r="C634">
        <v>948.29278564453125</v>
      </c>
      <c r="D634">
        <v>161.4819030761719</v>
      </c>
      <c r="E634">
        <v>288.55914306640619</v>
      </c>
      <c r="F634">
        <v>74.860275268554688</v>
      </c>
      <c r="G634">
        <v>154.02293395996091</v>
      </c>
      <c r="H634">
        <v>6296.7900390625</v>
      </c>
      <c r="I634">
        <f t="shared" si="27"/>
        <v>5.5080832596775906E-3</v>
      </c>
      <c r="J634">
        <f t="shared" si="27"/>
        <v>-3.1078342908982788E-3</v>
      </c>
      <c r="K634">
        <f t="shared" si="27"/>
        <v>4.4080320783059781E-3</v>
      </c>
      <c r="L634">
        <f t="shared" si="26"/>
        <v>4.7145991891659536E-3</v>
      </c>
      <c r="M634">
        <f t="shared" si="26"/>
        <v>1.0190055812593383E-2</v>
      </c>
      <c r="N634">
        <f t="shared" si="26"/>
        <v>3.468345514774793E-3</v>
      </c>
      <c r="O634">
        <f t="shared" ref="O634:O697" si="28">LN(H634/H633)</f>
        <v>-9.0490302808416738E-5</v>
      </c>
    </row>
    <row r="635" spans="1:15" x14ac:dyDescent="0.35">
      <c r="A635" s="2">
        <v>45859</v>
      </c>
      <c r="B635">
        <v>212.0335693359375</v>
      </c>
      <c r="C635">
        <v>944.91229248046875</v>
      </c>
      <c r="D635">
        <v>162.1329650878906</v>
      </c>
      <c r="E635">
        <v>288.26193237304688</v>
      </c>
      <c r="F635">
        <v>75.077117919921875</v>
      </c>
      <c r="G635">
        <v>153.95341491699219</v>
      </c>
      <c r="H635">
        <v>6305.60009765625</v>
      </c>
      <c r="I635">
        <f t="shared" si="27"/>
        <v>6.1369581694601244E-3</v>
      </c>
      <c r="J635">
        <f t="shared" si="27"/>
        <v>-3.5711891921812538E-3</v>
      </c>
      <c r="K635">
        <f t="shared" si="27"/>
        <v>4.0236896024431115E-3</v>
      </c>
      <c r="L635">
        <f t="shared" si="27"/>
        <v>-1.0305126921201641E-3</v>
      </c>
      <c r="M635">
        <f t="shared" si="27"/>
        <v>2.8924446121897005E-3</v>
      </c>
      <c r="N635">
        <f t="shared" si="27"/>
        <v>-4.5145703170365868E-4</v>
      </c>
      <c r="O635">
        <f t="shared" si="28"/>
        <v>1.3981570056732561E-3</v>
      </c>
    </row>
    <row r="636" spans="1:15" x14ac:dyDescent="0.35">
      <c r="A636" s="2">
        <v>45860</v>
      </c>
      <c r="B636">
        <v>213.9495544433594</v>
      </c>
      <c r="C636">
        <v>938.9788818359375</v>
      </c>
      <c r="D636">
        <v>165.6545715332031</v>
      </c>
      <c r="E636">
        <v>288.7176513671875</v>
      </c>
      <c r="F636">
        <v>76.427467346191406</v>
      </c>
      <c r="G636">
        <v>157.2205810546875</v>
      </c>
      <c r="H636">
        <v>6309.6201171875</v>
      </c>
      <c r="I636">
        <f t="shared" ref="I636:N678" si="29">LN(B636/B635)</f>
        <v>8.9956522728556979E-3</v>
      </c>
      <c r="J636">
        <f t="shared" si="29"/>
        <v>-6.2991220986615927E-3</v>
      </c>
      <c r="K636">
        <f t="shared" si="29"/>
        <v>2.1487955178744529E-2</v>
      </c>
      <c r="L636">
        <f t="shared" si="29"/>
        <v>1.5796714537168531E-3</v>
      </c>
      <c r="M636">
        <f t="shared" si="29"/>
        <v>1.7826327605618097E-2</v>
      </c>
      <c r="N636">
        <f t="shared" si="29"/>
        <v>2.0999738053114211E-2</v>
      </c>
      <c r="O636">
        <f t="shared" si="28"/>
        <v>6.3732849666675692E-4</v>
      </c>
    </row>
    <row r="637" spans="1:15" x14ac:dyDescent="0.35">
      <c r="A637" s="2">
        <v>45861</v>
      </c>
      <c r="B637">
        <v>213.7000732421875</v>
      </c>
      <c r="C637">
        <v>938.56005859375</v>
      </c>
      <c r="D637">
        <v>166.80873107910159</v>
      </c>
      <c r="E637">
        <v>293.998046875</v>
      </c>
      <c r="F637">
        <v>71.775184631347656</v>
      </c>
      <c r="G637">
        <v>157.18084716796881</v>
      </c>
      <c r="H637">
        <v>6358.91015625</v>
      </c>
      <c r="I637">
        <f t="shared" si="29"/>
        <v>-1.1667552749854519E-3</v>
      </c>
      <c r="J637">
        <f t="shared" si="29"/>
        <v>-4.4614067928577935E-4</v>
      </c>
      <c r="K637">
        <f t="shared" si="29"/>
        <v>6.9431072443079007E-3</v>
      </c>
      <c r="L637">
        <f t="shared" si="29"/>
        <v>1.8123898371302433E-2</v>
      </c>
      <c r="M637">
        <f t="shared" si="29"/>
        <v>-6.2803353431940906E-2</v>
      </c>
      <c r="N637">
        <f t="shared" si="29"/>
        <v>-2.5275894676980248E-4</v>
      </c>
      <c r="O637">
        <f t="shared" si="28"/>
        <v>7.7815321457028732E-3</v>
      </c>
    </row>
    <row r="638" spans="1:15" x14ac:dyDescent="0.35">
      <c r="A638" s="2">
        <v>45862</v>
      </c>
      <c r="B638">
        <v>213.3108825683594</v>
      </c>
      <c r="C638">
        <v>931.19073486328125</v>
      </c>
      <c r="D638">
        <v>167.26249694824219</v>
      </c>
      <c r="E638">
        <v>293.78997802734381</v>
      </c>
      <c r="F638">
        <v>70.9373779296875</v>
      </c>
      <c r="G638">
        <v>157.70716857910159</v>
      </c>
      <c r="H638">
        <v>6363.35009765625</v>
      </c>
      <c r="I638">
        <f t="shared" si="29"/>
        <v>-1.8228608718337325E-3</v>
      </c>
      <c r="J638">
        <f t="shared" si="29"/>
        <v>-7.8827209651337205E-3</v>
      </c>
      <c r="K638">
        <f t="shared" si="29"/>
        <v>2.7165832321411928E-3</v>
      </c>
      <c r="L638">
        <f t="shared" si="29"/>
        <v>-7.0797242383952149E-4</v>
      </c>
      <c r="M638">
        <f t="shared" si="29"/>
        <v>-1.1741311507462986E-2</v>
      </c>
      <c r="N638">
        <f t="shared" si="29"/>
        <v>3.3429147820965874E-3</v>
      </c>
      <c r="O638">
        <f t="shared" si="28"/>
        <v>6.9797999693325139E-4</v>
      </c>
    </row>
    <row r="639" spans="1:15" x14ac:dyDescent="0.35">
      <c r="A639" s="2">
        <v>45863</v>
      </c>
      <c r="B639">
        <v>213.43064880371091</v>
      </c>
      <c r="C639">
        <v>932.865966796875</v>
      </c>
      <c r="D639">
        <v>166.01957702636719</v>
      </c>
      <c r="E639">
        <v>295.84075927734381</v>
      </c>
      <c r="F639">
        <v>70.819099426269531</v>
      </c>
      <c r="G639">
        <v>157.2007141113281</v>
      </c>
      <c r="H639">
        <v>6388.64013671875</v>
      </c>
      <c r="I639">
        <f t="shared" si="29"/>
        <v>5.6130575391109545E-4</v>
      </c>
      <c r="J639">
        <f t="shared" si="29"/>
        <v>1.7974049642492534E-3</v>
      </c>
      <c r="K639">
        <f t="shared" si="29"/>
        <v>-7.4587010891206725E-3</v>
      </c>
      <c r="L639">
        <f t="shared" si="29"/>
        <v>6.9561825385248887E-3</v>
      </c>
      <c r="M639">
        <f t="shared" si="29"/>
        <v>-1.6687566321072782E-3</v>
      </c>
      <c r="N639">
        <f t="shared" si="29"/>
        <v>-3.2165273228265444E-3</v>
      </c>
      <c r="O639">
        <f t="shared" si="28"/>
        <v>3.9664510016805517E-3</v>
      </c>
    </row>
    <row r="640" spans="1:15" x14ac:dyDescent="0.35">
      <c r="A640" s="2">
        <v>45866</v>
      </c>
      <c r="B640">
        <v>213.60029602050781</v>
      </c>
      <c r="C640">
        <v>931.380126953125</v>
      </c>
      <c r="D640">
        <v>163.96775817871091</v>
      </c>
      <c r="E640">
        <v>295.50390625</v>
      </c>
      <c r="F640">
        <v>70.316421508789063</v>
      </c>
      <c r="G640">
        <v>156.01896667480469</v>
      </c>
      <c r="H640">
        <v>6389.77001953125</v>
      </c>
      <c r="I640">
        <f t="shared" si="29"/>
        <v>7.9454300807906822E-4</v>
      </c>
      <c r="J640">
        <f t="shared" si="29"/>
        <v>-1.5940386447399575E-3</v>
      </c>
      <c r="K640">
        <f t="shared" si="29"/>
        <v>-1.2435903271362557E-2</v>
      </c>
      <c r="L640">
        <f t="shared" si="29"/>
        <v>-1.1392782700708963E-3</v>
      </c>
      <c r="M640">
        <f t="shared" si="29"/>
        <v>-7.1233668142041302E-3</v>
      </c>
      <c r="N640">
        <f t="shared" si="29"/>
        <v>-7.5458415698309543E-3</v>
      </c>
      <c r="O640">
        <f t="shared" si="28"/>
        <v>1.7684247126657597E-4</v>
      </c>
    </row>
    <row r="641" spans="1:15" x14ac:dyDescent="0.35">
      <c r="A641" s="2">
        <v>45867</v>
      </c>
      <c r="B641">
        <v>210.82612609863281</v>
      </c>
      <c r="C641">
        <v>931.95855712890625</v>
      </c>
      <c r="D641">
        <v>165.83213806152341</v>
      </c>
      <c r="E641">
        <v>294.27545166015619</v>
      </c>
      <c r="F641">
        <v>70.91766357421875</v>
      </c>
      <c r="G641">
        <v>155.52244567871091</v>
      </c>
      <c r="H641">
        <v>6370.85986328125</v>
      </c>
      <c r="I641">
        <f t="shared" si="29"/>
        <v>-1.3072746112031753E-2</v>
      </c>
      <c r="J641">
        <f t="shared" si="29"/>
        <v>6.208535241636787E-4</v>
      </c>
      <c r="K641">
        <f t="shared" si="29"/>
        <v>1.1306248210052862E-2</v>
      </c>
      <c r="L641">
        <f t="shared" si="29"/>
        <v>-4.1658167581493802E-3</v>
      </c>
      <c r="M641">
        <f t="shared" si="29"/>
        <v>8.5141727244102475E-3</v>
      </c>
      <c r="N641">
        <f t="shared" si="29"/>
        <v>-3.1875147046480446E-3</v>
      </c>
      <c r="O641">
        <f t="shared" si="28"/>
        <v>-2.9638301974668291E-3</v>
      </c>
    </row>
    <row r="642" spans="1:15" x14ac:dyDescent="0.35">
      <c r="A642" s="2">
        <v>45868</v>
      </c>
      <c r="B642">
        <v>208.61079406738281</v>
      </c>
      <c r="C642">
        <v>924.91827392578125</v>
      </c>
      <c r="D642">
        <v>164.99365234375</v>
      </c>
      <c r="E642">
        <v>296.84133911132813</v>
      </c>
      <c r="F642">
        <v>69.971435546875</v>
      </c>
      <c r="G642">
        <v>151.81834411621091</v>
      </c>
      <c r="H642">
        <v>6362.89990234375</v>
      </c>
      <c r="I642">
        <f t="shared" si="29"/>
        <v>-1.0563460319450515E-2</v>
      </c>
      <c r="J642">
        <f t="shared" si="29"/>
        <v>-7.582966000593553E-3</v>
      </c>
      <c r="K642">
        <f t="shared" si="29"/>
        <v>-5.0690577187298066E-3</v>
      </c>
      <c r="L642">
        <f t="shared" si="29"/>
        <v>8.6815451936290439E-3</v>
      </c>
      <c r="M642">
        <f t="shared" si="29"/>
        <v>-1.3432440984688373E-2</v>
      </c>
      <c r="N642">
        <f t="shared" si="29"/>
        <v>-2.4105364762442988E-2</v>
      </c>
      <c r="O642">
        <f t="shared" si="28"/>
        <v>-1.2502139385094711E-3</v>
      </c>
    </row>
    <row r="643" spans="1:15" x14ac:dyDescent="0.35">
      <c r="A643" s="2">
        <v>45869</v>
      </c>
      <c r="B643">
        <v>207.1339111328125</v>
      </c>
      <c r="C643">
        <v>937.014404296875</v>
      </c>
      <c r="D643">
        <v>162.5078125</v>
      </c>
      <c r="E643">
        <v>293.48287963867188</v>
      </c>
      <c r="F643">
        <v>70.040435791015625</v>
      </c>
      <c r="G643">
        <v>149.4250793457031</v>
      </c>
      <c r="H643">
        <v>6339.39013671875</v>
      </c>
      <c r="I643">
        <f t="shared" si="29"/>
        <v>-7.1047887254020361E-3</v>
      </c>
      <c r="J643">
        <f t="shared" si="29"/>
        <v>1.2993273805969463E-2</v>
      </c>
      <c r="K643">
        <f t="shared" si="29"/>
        <v>-1.5180924979416185E-2</v>
      </c>
      <c r="L643">
        <f t="shared" si="29"/>
        <v>-1.1378478472744698E-2</v>
      </c>
      <c r="M643">
        <f t="shared" si="29"/>
        <v>9.8563427611236885E-4</v>
      </c>
      <c r="N643">
        <f t="shared" si="29"/>
        <v>-1.5889575923735758E-2</v>
      </c>
      <c r="O643">
        <f t="shared" si="28"/>
        <v>-3.701662046374567E-3</v>
      </c>
    </row>
    <row r="644" spans="1:15" x14ac:dyDescent="0.35">
      <c r="A644" s="2">
        <v>45870</v>
      </c>
      <c r="B644">
        <v>201.95481872558591</v>
      </c>
      <c r="C644">
        <v>951.17437744140625</v>
      </c>
      <c r="D644">
        <v>165.0627136230469</v>
      </c>
      <c r="E644">
        <v>286.67684936523438</v>
      </c>
      <c r="F644">
        <v>69.389907836914063</v>
      </c>
      <c r="G644">
        <v>149.60382080078119</v>
      </c>
      <c r="H644">
        <v>6238.009765625</v>
      </c>
      <c r="I644">
        <f t="shared" si="29"/>
        <v>-2.5321495083900643E-2</v>
      </c>
      <c r="J644">
        <f t="shared" si="29"/>
        <v>1.4998753022836415E-2</v>
      </c>
      <c r="K644">
        <f t="shared" si="29"/>
        <v>1.559940671421014E-2</v>
      </c>
      <c r="L644">
        <f t="shared" si="29"/>
        <v>-2.3463684851549708E-2</v>
      </c>
      <c r="M644">
        <f t="shared" si="29"/>
        <v>-9.3312927079486786E-3</v>
      </c>
      <c r="N644">
        <f t="shared" si="29"/>
        <v>1.1954796093503613E-3</v>
      </c>
      <c r="O644">
        <f t="shared" si="28"/>
        <v>-1.61213871855698E-2</v>
      </c>
    </row>
    <row r="645" spans="1:15" x14ac:dyDescent="0.35">
      <c r="A645" s="2">
        <v>45873</v>
      </c>
      <c r="B645">
        <v>202.92277526855469</v>
      </c>
      <c r="C645">
        <v>954.02032470703125</v>
      </c>
      <c r="D645">
        <v>168.7224426269531</v>
      </c>
      <c r="E645">
        <v>291.52133178710938</v>
      </c>
      <c r="F645">
        <v>69.518043518066406</v>
      </c>
      <c r="G645">
        <v>149.71305847167969</v>
      </c>
      <c r="H645">
        <v>6329.93994140625</v>
      </c>
      <c r="I645">
        <f t="shared" si="29"/>
        <v>4.7814865603560087E-3</v>
      </c>
      <c r="J645">
        <f t="shared" si="29"/>
        <v>2.9875680204465662E-3</v>
      </c>
      <c r="K645">
        <f t="shared" si="29"/>
        <v>2.192952921445037E-2</v>
      </c>
      <c r="L645">
        <f t="shared" si="29"/>
        <v>1.6757561495553481E-2</v>
      </c>
      <c r="M645">
        <f t="shared" si="29"/>
        <v>1.8449011197217168E-3</v>
      </c>
      <c r="N645">
        <f t="shared" si="29"/>
        <v>7.2991323452212221E-4</v>
      </c>
      <c r="O645">
        <f t="shared" si="28"/>
        <v>1.4629564491414495E-2</v>
      </c>
    </row>
    <row r="646" spans="1:15" x14ac:dyDescent="0.35">
      <c r="A646" s="2">
        <v>45874</v>
      </c>
      <c r="B646">
        <v>202.49366760253909</v>
      </c>
      <c r="C646">
        <v>942.296875</v>
      </c>
      <c r="D646">
        <v>168.426513671875</v>
      </c>
      <c r="E646">
        <v>288.658203125</v>
      </c>
      <c r="F646">
        <v>70.158714294433594</v>
      </c>
      <c r="G646">
        <v>149.46479797363281</v>
      </c>
      <c r="H646">
        <v>6299.18994140625</v>
      </c>
      <c r="I646">
        <f t="shared" si="29"/>
        <v>-2.1168743093806668E-3</v>
      </c>
      <c r="J646">
        <f t="shared" si="29"/>
        <v>-1.2364597092086987E-2</v>
      </c>
      <c r="K646">
        <f t="shared" si="29"/>
        <v>-1.7554794434126817E-3</v>
      </c>
      <c r="L646">
        <f t="shared" si="29"/>
        <v>-9.8698824495591676E-3</v>
      </c>
      <c r="M646">
        <f t="shared" si="29"/>
        <v>9.1736847195623417E-3</v>
      </c>
      <c r="N646">
        <f t="shared" si="29"/>
        <v>-1.6596185157503249E-3</v>
      </c>
      <c r="O646">
        <f t="shared" si="28"/>
        <v>-4.8697037804620166E-3</v>
      </c>
    </row>
    <row r="647" spans="1:15" x14ac:dyDescent="0.35">
      <c r="A647" s="2">
        <v>45875</v>
      </c>
      <c r="B647">
        <v>212.8019714355469</v>
      </c>
      <c r="C647">
        <v>967.191650390625</v>
      </c>
      <c r="D647">
        <v>168.2785339355469</v>
      </c>
      <c r="E647">
        <v>288.63839721679688</v>
      </c>
      <c r="F647">
        <v>69.527900695800781</v>
      </c>
      <c r="G647">
        <v>151.7984924316406</v>
      </c>
      <c r="H647">
        <v>6345.06005859375</v>
      </c>
      <c r="I647">
        <f t="shared" si="29"/>
        <v>4.9653406730293913E-2</v>
      </c>
      <c r="J647">
        <f t="shared" si="29"/>
        <v>2.6076287645676561E-2</v>
      </c>
      <c r="K647">
        <f t="shared" si="29"/>
        <v>-8.7898739212427795E-4</v>
      </c>
      <c r="L647">
        <f t="shared" si="29"/>
        <v>-6.8616056977211925E-5</v>
      </c>
      <c r="M647">
        <f t="shared" si="29"/>
        <v>-9.031901687966323E-3</v>
      </c>
      <c r="N647">
        <f t="shared" si="29"/>
        <v>1.5493033586669782E-2</v>
      </c>
      <c r="O647">
        <f t="shared" si="28"/>
        <v>7.2555222198526052E-3</v>
      </c>
    </row>
    <row r="648" spans="1:15" x14ac:dyDescent="0.35">
      <c r="A648" s="2">
        <v>45876</v>
      </c>
      <c r="B648">
        <v>219.5677185058594</v>
      </c>
      <c r="C648">
        <v>976.069091796875</v>
      </c>
      <c r="D648">
        <v>169.20579528808591</v>
      </c>
      <c r="E648">
        <v>284.26943969726563</v>
      </c>
      <c r="F648">
        <v>71.538627624511719</v>
      </c>
      <c r="G648">
        <v>152.42411804199219</v>
      </c>
      <c r="H648">
        <v>6340</v>
      </c>
      <c r="I648">
        <f t="shared" si="29"/>
        <v>3.1298675800817251E-2</v>
      </c>
      <c r="J648">
        <f t="shared" si="29"/>
        <v>9.1367081837455122E-3</v>
      </c>
      <c r="K648">
        <f t="shared" si="29"/>
        <v>5.4951510668513918E-3</v>
      </c>
      <c r="L648">
        <f t="shared" si="29"/>
        <v>-1.5252164250633804E-2</v>
      </c>
      <c r="M648">
        <f t="shared" si="29"/>
        <v>2.8509429443874305E-2</v>
      </c>
      <c r="N648">
        <f t="shared" si="29"/>
        <v>4.1129519684312311E-3</v>
      </c>
      <c r="O648">
        <f t="shared" si="28"/>
        <v>-7.9779817182786678E-4</v>
      </c>
    </row>
    <row r="649" spans="1:15" x14ac:dyDescent="0.35">
      <c r="A649" s="2">
        <v>45877</v>
      </c>
      <c r="B649">
        <v>228.86814880371091</v>
      </c>
      <c r="C649">
        <v>979.5941162109375</v>
      </c>
      <c r="D649">
        <v>170.9814147949219</v>
      </c>
      <c r="E649">
        <v>286.07254028320313</v>
      </c>
      <c r="F649">
        <v>71.371070861816406</v>
      </c>
      <c r="G649">
        <v>152.4439697265625</v>
      </c>
      <c r="H649">
        <v>6389.4501953125</v>
      </c>
      <c r="I649">
        <f t="shared" si="29"/>
        <v>4.1485370829086078E-2</v>
      </c>
      <c r="J649">
        <f t="shared" si="29"/>
        <v>3.6049440589955395E-3</v>
      </c>
      <c r="K649">
        <f t="shared" si="29"/>
        <v>1.0439167488973425E-2</v>
      </c>
      <c r="L649">
        <f t="shared" si="29"/>
        <v>6.3228962847087511E-3</v>
      </c>
      <c r="M649">
        <f t="shared" si="29"/>
        <v>-2.3449330766055982E-3</v>
      </c>
      <c r="N649">
        <f t="shared" si="29"/>
        <v>1.3023130589807452E-4</v>
      </c>
      <c r="O649">
        <f t="shared" si="28"/>
        <v>7.7694548163894745E-3</v>
      </c>
    </row>
    <row r="650" spans="1:15" x14ac:dyDescent="0.35">
      <c r="A650" s="2">
        <v>45880</v>
      </c>
      <c r="B650">
        <v>226.95997619628909</v>
      </c>
      <c r="C650">
        <v>987.3431396484375</v>
      </c>
      <c r="D650">
        <v>171.46479797363281</v>
      </c>
      <c r="E650">
        <v>286.86508178710938</v>
      </c>
      <c r="F650">
        <v>71.410491943359375</v>
      </c>
      <c r="G650">
        <v>153.90376281738281</v>
      </c>
      <c r="H650">
        <v>6373.4501953125</v>
      </c>
      <c r="I650">
        <f t="shared" si="29"/>
        <v>-8.3723826993211525E-3</v>
      </c>
      <c r="J650">
        <f t="shared" si="29"/>
        <v>7.8793194902678793E-3</v>
      </c>
      <c r="K650">
        <f t="shared" si="29"/>
        <v>2.8231207222314176E-3</v>
      </c>
      <c r="L650">
        <f t="shared" si="29"/>
        <v>2.766590912823606E-3</v>
      </c>
      <c r="M650">
        <f t="shared" si="29"/>
        <v>5.5218729603649988E-4</v>
      </c>
      <c r="N650">
        <f t="shared" si="29"/>
        <v>9.5303733953387027E-3</v>
      </c>
      <c r="O650">
        <f t="shared" si="28"/>
        <v>-2.5072683938851073E-3</v>
      </c>
    </row>
    <row r="651" spans="1:15" x14ac:dyDescent="0.35">
      <c r="A651" s="2">
        <v>45881</v>
      </c>
      <c r="B651">
        <v>229.4275817871094</v>
      </c>
      <c r="C651">
        <v>989.849609375</v>
      </c>
      <c r="D651">
        <v>170.4388732910156</v>
      </c>
      <c r="E651">
        <v>290.12445068359381</v>
      </c>
      <c r="F651">
        <v>70.828956604003906</v>
      </c>
      <c r="G651">
        <v>154.01300048828119</v>
      </c>
      <c r="H651">
        <v>6445.759765625</v>
      </c>
      <c r="I651">
        <f t="shared" si="29"/>
        <v>1.0813746316393955E-2</v>
      </c>
      <c r="J651">
        <f t="shared" si="29"/>
        <v>2.5353836346691007E-3</v>
      </c>
      <c r="K651">
        <f t="shared" si="29"/>
        <v>-6.0012678886749516E-3</v>
      </c>
      <c r="L651">
        <f t="shared" si="29"/>
        <v>1.1297964288398351E-2</v>
      </c>
      <c r="M651">
        <f t="shared" si="29"/>
        <v>-8.1768958680697272E-3</v>
      </c>
      <c r="N651">
        <f t="shared" si="29"/>
        <v>7.095273041221855E-4</v>
      </c>
      <c r="O651">
        <f t="shared" si="28"/>
        <v>1.1281559075170764E-2</v>
      </c>
    </row>
    <row r="652" spans="1:15" x14ac:dyDescent="0.35">
      <c r="A652" s="2">
        <v>45882</v>
      </c>
      <c r="B652">
        <v>233.1040344238281</v>
      </c>
      <c r="C652">
        <v>977.46710205078125</v>
      </c>
      <c r="D652">
        <v>172.056640625</v>
      </c>
      <c r="E652">
        <v>287.82601928710938</v>
      </c>
      <c r="F652">
        <v>71.262649536132813</v>
      </c>
      <c r="G652">
        <v>154.3307800292969</v>
      </c>
      <c r="H652">
        <v>6466.580078125</v>
      </c>
      <c r="I652">
        <f t="shared" si="29"/>
        <v>1.5897421651124486E-2</v>
      </c>
      <c r="J652">
        <f t="shared" si="29"/>
        <v>-1.2588385764807282E-2</v>
      </c>
      <c r="K652">
        <f t="shared" si="29"/>
        <v>9.4470105437329185E-3</v>
      </c>
      <c r="L652">
        <f t="shared" si="29"/>
        <v>-7.9537733177484481E-3</v>
      </c>
      <c r="M652">
        <f t="shared" si="29"/>
        <v>6.1044320727114765E-3</v>
      </c>
      <c r="N652">
        <f t="shared" si="29"/>
        <v>2.0612035890010196E-3</v>
      </c>
      <c r="O652">
        <f t="shared" si="28"/>
        <v>3.2248733840464015E-3</v>
      </c>
    </row>
    <row r="653" spans="1:15" x14ac:dyDescent="0.35">
      <c r="A653" s="2">
        <v>45883</v>
      </c>
      <c r="B653">
        <v>232.5545654296875</v>
      </c>
      <c r="C653">
        <v>974.01202392578125</v>
      </c>
      <c r="D653">
        <v>172.3525695800781</v>
      </c>
      <c r="E653">
        <v>291.42227172851563</v>
      </c>
      <c r="F653">
        <v>71.203498840332031</v>
      </c>
      <c r="G653">
        <v>152.67237854003909</v>
      </c>
      <c r="H653">
        <v>6468.5400390625</v>
      </c>
      <c r="I653">
        <f t="shared" si="29"/>
        <v>-2.3599660752876305E-3</v>
      </c>
      <c r="J653">
        <f t="shared" si="29"/>
        <v>-3.5409876428187737E-3</v>
      </c>
      <c r="K653">
        <f t="shared" si="29"/>
        <v>1.7184733690994438E-3</v>
      </c>
      <c r="L653">
        <f t="shared" si="29"/>
        <v>1.2417123034800354E-2</v>
      </c>
      <c r="M653">
        <f t="shared" si="29"/>
        <v>-8.3038251365301959E-4</v>
      </c>
      <c r="N653">
        <f t="shared" si="29"/>
        <v>-1.0803912430728667E-2</v>
      </c>
      <c r="O653">
        <f t="shared" si="28"/>
        <v>3.0304487855445177E-4</v>
      </c>
    </row>
    <row r="654" spans="1:15" x14ac:dyDescent="0.35">
      <c r="A654" s="2">
        <v>45884</v>
      </c>
      <c r="B654">
        <v>231.36570739746091</v>
      </c>
      <c r="C654">
        <v>970.666748046875</v>
      </c>
      <c r="D654">
        <v>174.24656677246091</v>
      </c>
      <c r="E654">
        <v>287.78640747070313</v>
      </c>
      <c r="F654">
        <v>74.328033447265625</v>
      </c>
      <c r="G654">
        <v>153.28807067871091</v>
      </c>
      <c r="H654">
        <v>6449.7998046875</v>
      </c>
      <c r="I654">
        <f t="shared" si="29"/>
        <v>-5.1252799427785869E-3</v>
      </c>
      <c r="J654">
        <f t="shared" si="29"/>
        <v>-3.4404439713730819E-3</v>
      </c>
      <c r="K654">
        <f t="shared" si="29"/>
        <v>1.0929144629968942E-2</v>
      </c>
      <c r="L654">
        <f t="shared" si="29"/>
        <v>-1.2554756673781732E-2</v>
      </c>
      <c r="M654">
        <f t="shared" si="29"/>
        <v>4.2946223107962311E-2</v>
      </c>
      <c r="N654">
        <f t="shared" si="29"/>
        <v>4.0246572478150437E-3</v>
      </c>
      <c r="O654">
        <f t="shared" si="28"/>
        <v>-2.9013399163647113E-3</v>
      </c>
    </row>
    <row r="655" spans="1:15" x14ac:dyDescent="0.35">
      <c r="A655" s="2">
        <v>45887</v>
      </c>
      <c r="B655">
        <v>230.66639709472659</v>
      </c>
      <c r="C655">
        <v>977.96636962890625</v>
      </c>
      <c r="D655">
        <v>173.8618469238281</v>
      </c>
      <c r="E655">
        <v>288.81674194335938</v>
      </c>
      <c r="F655">
        <v>74.633575439453125</v>
      </c>
      <c r="G655">
        <v>154.63862609863281</v>
      </c>
      <c r="H655">
        <v>6449.14990234375</v>
      </c>
      <c r="I655">
        <f t="shared" si="29"/>
        <v>-3.0271092850021226E-3</v>
      </c>
      <c r="J655">
        <f t="shared" si="29"/>
        <v>7.4920780731021997E-3</v>
      </c>
      <c r="K655">
        <f t="shared" si="29"/>
        <v>-2.2103459159804476E-3</v>
      </c>
      <c r="L655">
        <f t="shared" si="29"/>
        <v>3.5738117987512657E-3</v>
      </c>
      <c r="M655">
        <f t="shared" si="29"/>
        <v>4.1022975377899805E-3</v>
      </c>
      <c r="N655">
        <f t="shared" si="29"/>
        <v>8.7719843340908297E-3</v>
      </c>
      <c r="O655">
        <f t="shared" si="28"/>
        <v>-1.0076825773579619E-4</v>
      </c>
    </row>
    <row r="656" spans="1:15" x14ac:dyDescent="0.35">
      <c r="A656" s="2">
        <v>45888</v>
      </c>
      <c r="B656">
        <v>230.33671569824219</v>
      </c>
      <c r="C656">
        <v>979.46429443359375</v>
      </c>
      <c r="D656">
        <v>175.39085388183591</v>
      </c>
      <c r="E656">
        <v>287.954833984375</v>
      </c>
      <c r="F656">
        <v>75.412246704101563</v>
      </c>
      <c r="G656">
        <v>157.30000305175781</v>
      </c>
      <c r="H656">
        <v>6411.3701171875</v>
      </c>
      <c r="I656">
        <f t="shared" si="29"/>
        <v>-1.4302786403736167E-3</v>
      </c>
      <c r="J656">
        <f t="shared" si="29"/>
        <v>1.5305013092803655E-3</v>
      </c>
      <c r="K656">
        <f t="shared" si="29"/>
        <v>8.7559335866913418E-3</v>
      </c>
      <c r="L656">
        <f t="shared" si="29"/>
        <v>-2.9887346621862666E-3</v>
      </c>
      <c r="M656">
        <f t="shared" si="29"/>
        <v>1.0379206083820529E-2</v>
      </c>
      <c r="N656">
        <f t="shared" si="29"/>
        <v>1.7063879119290616E-2</v>
      </c>
      <c r="O656">
        <f t="shared" si="28"/>
        <v>-5.8753291122071267E-3</v>
      </c>
    </row>
    <row r="657" spans="1:15" x14ac:dyDescent="0.35">
      <c r="A657" s="2">
        <v>45889</v>
      </c>
      <c r="B657">
        <v>225.7911071777344</v>
      </c>
      <c r="C657">
        <v>993.1649169921875</v>
      </c>
      <c r="D657">
        <v>176.416748046875</v>
      </c>
      <c r="E657">
        <v>289.52011108398438</v>
      </c>
      <c r="F657">
        <v>75.08697509765625</v>
      </c>
      <c r="G657">
        <v>158.40229797363281</v>
      </c>
      <c r="H657">
        <v>6395.77978515625</v>
      </c>
      <c r="I657">
        <f t="shared" si="29"/>
        <v>-1.993195232786818E-2</v>
      </c>
      <c r="J657">
        <f t="shared" si="29"/>
        <v>1.3890945934175227E-2</v>
      </c>
      <c r="K657">
        <f t="shared" si="29"/>
        <v>5.8321484089960832E-3</v>
      </c>
      <c r="L657">
        <f t="shared" si="29"/>
        <v>5.4211215444462321E-3</v>
      </c>
      <c r="M657">
        <f t="shared" si="29"/>
        <v>-4.3225753464602801E-3</v>
      </c>
      <c r="N657">
        <f t="shared" si="29"/>
        <v>6.9831572192841345E-3</v>
      </c>
      <c r="O657">
        <f t="shared" si="28"/>
        <v>-2.4346306322649571E-3</v>
      </c>
    </row>
    <row r="658" spans="1:15" x14ac:dyDescent="0.35">
      <c r="A658" s="2">
        <v>45890</v>
      </c>
      <c r="B658">
        <v>224.68218994140619</v>
      </c>
      <c r="C658">
        <v>968.31005859375</v>
      </c>
      <c r="D658">
        <v>176.50553894042969</v>
      </c>
      <c r="E658">
        <v>288.75729370117188</v>
      </c>
      <c r="F658">
        <v>74.988410949707031</v>
      </c>
      <c r="G658">
        <v>157.6277160644531</v>
      </c>
      <c r="H658">
        <v>6370.169921875</v>
      </c>
      <c r="I658">
        <f t="shared" si="29"/>
        <v>-4.9233527642000017E-3</v>
      </c>
      <c r="J658">
        <f t="shared" si="29"/>
        <v>-2.534438535113161E-2</v>
      </c>
      <c r="K658">
        <f t="shared" si="29"/>
        <v>5.0317533747177765E-4</v>
      </c>
      <c r="L658">
        <f t="shared" si="29"/>
        <v>-2.6382418505536158E-3</v>
      </c>
      <c r="M658">
        <f t="shared" si="29"/>
        <v>-1.3135286833731144E-3</v>
      </c>
      <c r="N658">
        <f t="shared" si="29"/>
        <v>-4.9019613696312343E-3</v>
      </c>
      <c r="O658">
        <f t="shared" si="28"/>
        <v>-4.0122197289511226E-3</v>
      </c>
    </row>
    <row r="659" spans="1:15" x14ac:dyDescent="0.35">
      <c r="A659" s="2">
        <v>45891</v>
      </c>
      <c r="B659">
        <v>227.53941345214841</v>
      </c>
      <c r="C659">
        <v>957.185791015625</v>
      </c>
      <c r="D659">
        <v>176.86065673828119</v>
      </c>
      <c r="E659">
        <v>293.48287963867188</v>
      </c>
      <c r="F659">
        <v>75.224960327148438</v>
      </c>
      <c r="G659">
        <v>157.56813049316409</v>
      </c>
      <c r="H659">
        <v>6466.91015625</v>
      </c>
      <c r="I659">
        <f t="shared" si="29"/>
        <v>1.2636554777214086E-2</v>
      </c>
      <c r="J659">
        <f t="shared" si="29"/>
        <v>-1.1554832850677771E-2</v>
      </c>
      <c r="K659">
        <f t="shared" si="29"/>
        <v>2.009914483860167E-3</v>
      </c>
      <c r="L659">
        <f t="shared" si="29"/>
        <v>1.6232784753507722E-2</v>
      </c>
      <c r="M659">
        <f t="shared" si="29"/>
        <v>3.1495142005945457E-3</v>
      </c>
      <c r="N659">
        <f t="shared" si="29"/>
        <v>-3.7808602270351471E-4</v>
      </c>
      <c r="O659">
        <f t="shared" si="28"/>
        <v>1.5072285158779139E-2</v>
      </c>
    </row>
    <row r="660" spans="1:15" x14ac:dyDescent="0.35">
      <c r="A660" s="2">
        <v>45894</v>
      </c>
      <c r="B660">
        <v>226.94000244140619</v>
      </c>
      <c r="C660">
        <v>940.24981689453125</v>
      </c>
      <c r="D660">
        <v>175.9925842285156</v>
      </c>
      <c r="E660">
        <v>292.15536499023438</v>
      </c>
      <c r="F660">
        <v>74.23931884765625</v>
      </c>
      <c r="G660">
        <v>155.06562805175781</v>
      </c>
      <c r="H660">
        <v>6439.31982421875</v>
      </c>
      <c r="I660">
        <f t="shared" si="29"/>
        <v>-2.6377932083889808E-3</v>
      </c>
      <c r="J660">
        <f t="shared" si="29"/>
        <v>-1.785190899354459E-2</v>
      </c>
      <c r="K660">
        <f t="shared" si="29"/>
        <v>-4.9203133783629208E-3</v>
      </c>
      <c r="L660">
        <f t="shared" si="29"/>
        <v>-4.5335731890605866E-3</v>
      </c>
      <c r="M660">
        <f t="shared" si="29"/>
        <v>-1.3189181695559025E-2</v>
      </c>
      <c r="N660">
        <f t="shared" si="29"/>
        <v>-1.6009505198635698E-2</v>
      </c>
      <c r="O660">
        <f t="shared" si="28"/>
        <v>-4.2755125396463194E-3</v>
      </c>
    </row>
    <row r="661" spans="1:15" x14ac:dyDescent="0.35">
      <c r="A661" s="2">
        <v>45895</v>
      </c>
      <c r="B661">
        <v>229.0879211425781</v>
      </c>
      <c r="C661">
        <v>940.0101318359375</v>
      </c>
      <c r="D661">
        <v>175.37651062011719</v>
      </c>
      <c r="E661">
        <v>295.79122924804688</v>
      </c>
      <c r="F661">
        <v>73.766197204589844</v>
      </c>
      <c r="G661">
        <v>154.88688659667969</v>
      </c>
      <c r="H661">
        <v>6465.93994140625</v>
      </c>
      <c r="I661">
        <f t="shared" si="29"/>
        <v>9.4201888696588687E-3</v>
      </c>
      <c r="J661">
        <f t="shared" si="29"/>
        <v>-2.5494885433674085E-4</v>
      </c>
      <c r="K661">
        <f t="shared" si="29"/>
        <v>-3.5067070425463232E-3</v>
      </c>
      <c r="L661">
        <f t="shared" si="29"/>
        <v>1.2368166231321837E-2</v>
      </c>
      <c r="M661">
        <f t="shared" si="29"/>
        <v>-6.3933192118377866E-3</v>
      </c>
      <c r="N661">
        <f t="shared" si="29"/>
        <v>-1.1533474738509967E-3</v>
      </c>
      <c r="O661">
        <f t="shared" si="28"/>
        <v>4.12547371011636E-3</v>
      </c>
    </row>
    <row r="662" spans="1:15" x14ac:dyDescent="0.35">
      <c r="A662" s="2">
        <v>45896</v>
      </c>
      <c r="B662">
        <v>230.26678466796881</v>
      </c>
      <c r="C662">
        <v>948.1785888671875</v>
      </c>
      <c r="D662">
        <v>175.6745910644531</v>
      </c>
      <c r="E662">
        <v>296.49459838867188</v>
      </c>
      <c r="F662">
        <v>72.829833984375</v>
      </c>
      <c r="G662">
        <v>155.8700256347656</v>
      </c>
      <c r="H662">
        <v>6481.39990234375</v>
      </c>
      <c r="I662">
        <f t="shared" si="29"/>
        <v>5.1327050688324523E-3</v>
      </c>
      <c r="J662">
        <f t="shared" si="29"/>
        <v>8.6522156389866201E-3</v>
      </c>
      <c r="K662">
        <f t="shared" si="29"/>
        <v>1.6982172369934502E-3</v>
      </c>
      <c r="L662">
        <f t="shared" si="29"/>
        <v>2.3751014745021404E-3</v>
      </c>
      <c r="M662">
        <f t="shared" si="29"/>
        <v>-1.2774915487217712E-2</v>
      </c>
      <c r="N662">
        <f t="shared" si="29"/>
        <v>6.327404343847892E-3</v>
      </c>
      <c r="O662">
        <f t="shared" si="28"/>
        <v>2.3881304533030262E-3</v>
      </c>
    </row>
    <row r="663" spans="1:15" x14ac:dyDescent="0.35">
      <c r="A663" s="2">
        <v>45897</v>
      </c>
      <c r="B663">
        <v>232.33477783203119</v>
      </c>
      <c r="C663">
        <v>943.625</v>
      </c>
      <c r="D663">
        <v>174.34306335449219</v>
      </c>
      <c r="E663">
        <v>298.2679443359375</v>
      </c>
      <c r="F663">
        <v>71.605117797851563</v>
      </c>
      <c r="G663">
        <v>154.56910705566409</v>
      </c>
      <c r="H663">
        <v>6501.85986328125</v>
      </c>
      <c r="I663">
        <f t="shared" si="29"/>
        <v>8.9407693683251979E-3</v>
      </c>
      <c r="J663">
        <f t="shared" si="29"/>
        <v>-4.8140279340288727E-3</v>
      </c>
      <c r="K663">
        <f t="shared" si="29"/>
        <v>-7.6083826994265908E-3</v>
      </c>
      <c r="L663">
        <f t="shared" si="29"/>
        <v>5.963224227808068E-3</v>
      </c>
      <c r="M663">
        <f t="shared" si="29"/>
        <v>-1.6959129696347205E-2</v>
      </c>
      <c r="N663">
        <f t="shared" si="29"/>
        <v>-8.3811997734760564E-3</v>
      </c>
      <c r="O663">
        <f t="shared" si="28"/>
        <v>3.151747441466755E-3</v>
      </c>
    </row>
    <row r="664" spans="1:15" x14ac:dyDescent="0.35">
      <c r="A664" s="2">
        <v>45898</v>
      </c>
      <c r="B664">
        <v>231.91517639160159</v>
      </c>
      <c r="C664">
        <v>941.9873046875</v>
      </c>
      <c r="D664">
        <v>176.05220031738281</v>
      </c>
      <c r="E664">
        <v>298.61471557617188</v>
      </c>
      <c r="F664">
        <v>71.565399169921875</v>
      </c>
      <c r="G664">
        <v>155.94944763183591</v>
      </c>
      <c r="H664">
        <v>6460.259765625</v>
      </c>
      <c r="I664">
        <f t="shared" si="29"/>
        <v>-1.8076536179272853E-3</v>
      </c>
      <c r="J664">
        <f t="shared" si="29"/>
        <v>-1.7370439514174021E-3</v>
      </c>
      <c r="K664">
        <f t="shared" si="29"/>
        <v>9.7555571954174771E-3</v>
      </c>
      <c r="L664">
        <f t="shared" si="29"/>
        <v>1.1619412073398132E-3</v>
      </c>
      <c r="M664">
        <f t="shared" si="29"/>
        <v>-5.5484368974627525E-4</v>
      </c>
      <c r="N664">
        <f t="shared" si="29"/>
        <v>8.8906099007896103E-3</v>
      </c>
      <c r="O664">
        <f t="shared" si="28"/>
        <v>-6.4187404027925511E-3</v>
      </c>
    </row>
    <row r="665" spans="1:15" x14ac:dyDescent="0.35">
      <c r="A665" s="2">
        <v>45902</v>
      </c>
      <c r="B665">
        <v>229.4975280761719</v>
      </c>
      <c r="C665">
        <v>937.49371337890625</v>
      </c>
      <c r="D665">
        <v>176.93658447265619</v>
      </c>
      <c r="E665">
        <v>296.91070556640619</v>
      </c>
      <c r="F665">
        <v>72.161361694335938</v>
      </c>
      <c r="G665">
        <v>156.89286804199219</v>
      </c>
      <c r="H665">
        <v>6415.5400390625</v>
      </c>
      <c r="I665">
        <f t="shared" si="29"/>
        <v>-1.0479427277002538E-2</v>
      </c>
      <c r="J665">
        <f t="shared" si="29"/>
        <v>-4.781745415455862E-3</v>
      </c>
      <c r="K665">
        <f t="shared" si="29"/>
        <v>5.0108447851495968E-3</v>
      </c>
      <c r="L665">
        <f t="shared" si="29"/>
        <v>-5.722726855101232E-3</v>
      </c>
      <c r="M665">
        <f t="shared" si="29"/>
        <v>8.2930407171647926E-3</v>
      </c>
      <c r="N665">
        <f t="shared" si="29"/>
        <v>6.0313021784913698E-3</v>
      </c>
      <c r="O665">
        <f t="shared" si="28"/>
        <v>-6.9463500610303626E-3</v>
      </c>
    </row>
    <row r="666" spans="1:15" x14ac:dyDescent="0.35">
      <c r="A666" s="2">
        <v>45903</v>
      </c>
      <c r="B666">
        <v>238.23905944824219</v>
      </c>
      <c r="C666">
        <v>948.438232421875</v>
      </c>
      <c r="D666">
        <v>176.87696838378909</v>
      </c>
      <c r="E666">
        <v>296.72247314453119</v>
      </c>
      <c r="F666">
        <v>71.148216247558594</v>
      </c>
      <c r="G666">
        <v>157.07160949707031</v>
      </c>
      <c r="H666">
        <v>6448.259765625</v>
      </c>
      <c r="I666">
        <f t="shared" si="29"/>
        <v>3.7382362478189754E-2</v>
      </c>
      <c r="J666">
        <f t="shared" si="29"/>
        <v>1.160661383523107E-2</v>
      </c>
      <c r="K666">
        <f t="shared" si="29"/>
        <v>-3.369915536021276E-4</v>
      </c>
      <c r="L666">
        <f t="shared" si="29"/>
        <v>-6.3417084803867225E-4</v>
      </c>
      <c r="M666">
        <f t="shared" si="29"/>
        <v>-1.4139492150026347E-2</v>
      </c>
      <c r="N666">
        <f t="shared" si="29"/>
        <v>1.1386095381849784E-3</v>
      </c>
      <c r="O666">
        <f t="shared" si="28"/>
        <v>5.0871123029413079E-3</v>
      </c>
    </row>
    <row r="667" spans="1:15" x14ac:dyDescent="0.35">
      <c r="A667" s="2">
        <v>45904</v>
      </c>
      <c r="B667">
        <v>239.54777526855469</v>
      </c>
      <c r="C667">
        <v>954.549560546875</v>
      </c>
      <c r="D667">
        <v>177.6321716308594</v>
      </c>
      <c r="E667">
        <v>300.99237060546881</v>
      </c>
      <c r="F667">
        <v>70.393333435058594</v>
      </c>
      <c r="G667">
        <v>158.08453369140619</v>
      </c>
      <c r="H667">
        <v>6502.080078125</v>
      </c>
      <c r="I667">
        <f t="shared" si="29"/>
        <v>5.4782551474289055E-3</v>
      </c>
      <c r="J667">
        <f t="shared" si="29"/>
        <v>6.4228989351435666E-3</v>
      </c>
      <c r="K667">
        <f t="shared" si="29"/>
        <v>4.2605637159871569E-3</v>
      </c>
      <c r="L667">
        <f t="shared" si="29"/>
        <v>1.428764951153152E-2</v>
      </c>
      <c r="M667">
        <f t="shared" si="29"/>
        <v>-1.0666690757857025E-2</v>
      </c>
      <c r="N667">
        <f t="shared" si="29"/>
        <v>6.4281005089184412E-3</v>
      </c>
      <c r="O667">
        <f t="shared" si="28"/>
        <v>8.3118471028735715E-3</v>
      </c>
    </row>
    <row r="668" spans="1:15" x14ac:dyDescent="0.35">
      <c r="A668" s="2">
        <v>45905</v>
      </c>
      <c r="B668">
        <v>239.45787048339841</v>
      </c>
      <c r="C668">
        <v>962.11883544921875</v>
      </c>
      <c r="D668">
        <v>177.30424499511719</v>
      </c>
      <c r="E668">
        <v>291.64022827148438</v>
      </c>
      <c r="F668">
        <v>70.423133850097656</v>
      </c>
      <c r="G668">
        <v>158.90876770019531</v>
      </c>
      <c r="H668">
        <v>6481.5</v>
      </c>
      <c r="I668">
        <f t="shared" si="29"/>
        <v>-3.7538090420987611E-4</v>
      </c>
      <c r="J668">
        <f t="shared" si="29"/>
        <v>7.8984077462592485E-3</v>
      </c>
      <c r="K668">
        <f t="shared" si="29"/>
        <v>-1.8478054867693803E-3</v>
      </c>
      <c r="L668">
        <f t="shared" si="29"/>
        <v>-3.1563969947379249E-2</v>
      </c>
      <c r="M668">
        <f t="shared" si="29"/>
        <v>4.2325185482172109E-4</v>
      </c>
      <c r="N668">
        <f t="shared" si="29"/>
        <v>5.2003361754586102E-3</v>
      </c>
      <c r="O668">
        <f t="shared" si="28"/>
        <v>-3.1701726699367399E-3</v>
      </c>
    </row>
    <row r="669" spans="1:15" x14ac:dyDescent="0.35">
      <c r="A669" s="2">
        <v>45908</v>
      </c>
      <c r="B669">
        <v>237.6496276855469</v>
      </c>
      <c r="C669">
        <v>970.47698974609375</v>
      </c>
      <c r="D669">
        <v>177.00614929199219</v>
      </c>
      <c r="E669">
        <v>290.18389892578119</v>
      </c>
      <c r="F669">
        <v>69.300727844238281</v>
      </c>
      <c r="G669">
        <v>157.90577697753909</v>
      </c>
      <c r="H669">
        <v>6495.14990234375</v>
      </c>
      <c r="I669">
        <f t="shared" si="29"/>
        <v>-7.5800588456236212E-3</v>
      </c>
      <c r="J669">
        <f t="shared" si="29"/>
        <v>8.6497200286822541E-3</v>
      </c>
      <c r="K669">
        <f t="shared" si="29"/>
        <v>-1.682681503380014E-3</v>
      </c>
      <c r="L669">
        <f t="shared" si="29"/>
        <v>-5.0060914253723084E-3</v>
      </c>
      <c r="M669">
        <f t="shared" si="29"/>
        <v>-1.6066406066613571E-2</v>
      </c>
      <c r="N669">
        <f t="shared" si="29"/>
        <v>-6.3317425945811356E-3</v>
      </c>
      <c r="O669">
        <f t="shared" si="28"/>
        <v>2.1037644508885675E-3</v>
      </c>
    </row>
    <row r="670" spans="1:15" x14ac:dyDescent="0.35">
      <c r="A670" s="2">
        <v>45909</v>
      </c>
      <c r="B670">
        <v>234.123046875</v>
      </c>
      <c r="C670">
        <v>977.8665771484375</v>
      </c>
      <c r="D670">
        <v>175.8435363769531</v>
      </c>
      <c r="E670">
        <v>295.07791137695313</v>
      </c>
      <c r="F670">
        <v>69.598709106445313</v>
      </c>
      <c r="G670">
        <v>158.3526611328125</v>
      </c>
      <c r="H670">
        <v>6512.60986328125</v>
      </c>
      <c r="I670">
        <f t="shared" si="29"/>
        <v>-1.4950617910709941E-2</v>
      </c>
      <c r="J670">
        <f t="shared" si="29"/>
        <v>7.5855439063583011E-3</v>
      </c>
      <c r="K670">
        <f t="shared" si="29"/>
        <v>-6.5898719460340486E-3</v>
      </c>
      <c r="L670">
        <f t="shared" si="29"/>
        <v>1.67245716032241E-2</v>
      </c>
      <c r="M670">
        <f t="shared" si="29"/>
        <v>4.2906109036175127E-3</v>
      </c>
      <c r="N670">
        <f t="shared" si="29"/>
        <v>2.8260713318525449E-3</v>
      </c>
      <c r="O670">
        <f t="shared" si="28"/>
        <v>2.6845470300734414E-3</v>
      </c>
    </row>
    <row r="671" spans="1:15" x14ac:dyDescent="0.35">
      <c r="A671" s="2">
        <v>45910</v>
      </c>
      <c r="B671">
        <v>226.57035827636719</v>
      </c>
      <c r="C671">
        <v>954.93896484375</v>
      </c>
      <c r="D671">
        <v>174.680908203125</v>
      </c>
      <c r="E671">
        <v>297.74288940429688</v>
      </c>
      <c r="F671">
        <v>70.562187194824219</v>
      </c>
      <c r="G671">
        <v>156.25730895996091</v>
      </c>
      <c r="H671">
        <v>6532.0400390625</v>
      </c>
      <c r="I671">
        <f t="shared" si="29"/>
        <v>-3.2791289244217724E-2</v>
      </c>
      <c r="J671">
        <f t="shared" si="29"/>
        <v>-2.3725809264642024E-2</v>
      </c>
      <c r="K671">
        <f t="shared" si="29"/>
        <v>-6.6336739438142382E-3</v>
      </c>
      <c r="L671">
        <f t="shared" si="29"/>
        <v>8.990899023943533E-3</v>
      </c>
      <c r="M671">
        <f t="shared" si="29"/>
        <v>1.3748389030009587E-2</v>
      </c>
      <c r="N671">
        <f t="shared" si="29"/>
        <v>-1.3320513362822297E-2</v>
      </c>
      <c r="O671">
        <f t="shared" si="28"/>
        <v>2.9790282293981275E-3</v>
      </c>
    </row>
    <row r="672" spans="1:15" x14ac:dyDescent="0.35">
      <c r="A672" s="2">
        <v>45911</v>
      </c>
      <c r="B672">
        <v>229.8072204589844</v>
      </c>
      <c r="C672">
        <v>962.9576416015625</v>
      </c>
      <c r="D672">
        <v>177.3738098144531</v>
      </c>
      <c r="E672">
        <v>302.71615600585938</v>
      </c>
      <c r="F672">
        <v>70.840301513671875</v>
      </c>
      <c r="G672">
        <v>157.52842712402341</v>
      </c>
      <c r="H672">
        <v>6587.47021484375</v>
      </c>
      <c r="I672">
        <f t="shared" si="29"/>
        <v>1.4185256289725907E-2</v>
      </c>
      <c r="J672">
        <f t="shared" si="29"/>
        <v>8.361997674926713E-3</v>
      </c>
      <c r="K672">
        <f t="shared" si="29"/>
        <v>1.5298497618491056E-2</v>
      </c>
      <c r="L672">
        <f t="shared" si="29"/>
        <v>1.6565260742916432E-2</v>
      </c>
      <c r="M672">
        <f t="shared" si="29"/>
        <v>3.9336602913966796E-3</v>
      </c>
      <c r="N672">
        <f t="shared" si="29"/>
        <v>8.1018667894900472E-3</v>
      </c>
      <c r="O672">
        <f t="shared" si="28"/>
        <v>8.4500876230935648E-3</v>
      </c>
    </row>
    <row r="673" spans="1:15" x14ac:dyDescent="0.35">
      <c r="A673" s="2">
        <v>45912</v>
      </c>
      <c r="B673">
        <v>233.84332275390619</v>
      </c>
      <c r="C673">
        <v>966.53265380859375</v>
      </c>
      <c r="D673">
        <v>176.93658447265619</v>
      </c>
      <c r="E673">
        <v>304.0535888671875</v>
      </c>
      <c r="F673">
        <v>71.158149719238281</v>
      </c>
      <c r="G673">
        <v>156.80348205566409</v>
      </c>
      <c r="H673">
        <v>6584.2900390625</v>
      </c>
      <c r="I673">
        <f t="shared" si="29"/>
        <v>1.7410544677714249E-2</v>
      </c>
      <c r="J673">
        <f t="shared" si="29"/>
        <v>3.7056587498909628E-3</v>
      </c>
      <c r="K673">
        <f t="shared" si="29"/>
        <v>-2.4680369008783986E-3</v>
      </c>
      <c r="L673">
        <f t="shared" si="29"/>
        <v>4.4083774399679733E-3</v>
      </c>
      <c r="M673">
        <f t="shared" si="29"/>
        <v>4.4767915939511503E-3</v>
      </c>
      <c r="N673">
        <f t="shared" si="29"/>
        <v>-4.6126169983352451E-3</v>
      </c>
      <c r="O673">
        <f t="shared" si="28"/>
        <v>-4.8287788142832935E-4</v>
      </c>
    </row>
    <row r="674" spans="1:15" x14ac:dyDescent="0.35">
      <c r="A674" s="2">
        <v>45915</v>
      </c>
      <c r="B674">
        <v>236.47076416015619</v>
      </c>
      <c r="C674">
        <v>958.74359130859375</v>
      </c>
      <c r="D674">
        <v>176.28074645996091</v>
      </c>
      <c r="E674">
        <v>306.02505493164063</v>
      </c>
      <c r="F674">
        <v>71.019096374511719</v>
      </c>
      <c r="G674">
        <v>155.74092102050781</v>
      </c>
      <c r="H674">
        <v>6615.27978515625</v>
      </c>
      <c r="I674">
        <f t="shared" si="29"/>
        <v>1.1173251296468912E-2</v>
      </c>
      <c r="J674">
        <f t="shared" si="29"/>
        <v>-8.0914154695325043E-3</v>
      </c>
      <c r="K674">
        <f t="shared" si="29"/>
        <v>-3.7135140829067693E-3</v>
      </c>
      <c r="L674">
        <f t="shared" si="29"/>
        <v>6.4630124228058161E-3</v>
      </c>
      <c r="M674">
        <f t="shared" si="29"/>
        <v>-1.9560568640012237E-3</v>
      </c>
      <c r="N674">
        <f t="shared" si="29"/>
        <v>-6.7994506920320804E-3</v>
      </c>
      <c r="O674">
        <f t="shared" si="28"/>
        <v>4.695577726559718E-3</v>
      </c>
    </row>
    <row r="675" spans="1:15" x14ac:dyDescent="0.35">
      <c r="A675" s="2">
        <v>45916</v>
      </c>
      <c r="B675">
        <v>237.91935729980469</v>
      </c>
      <c r="C675">
        <v>950.7249755859375</v>
      </c>
      <c r="D675">
        <v>175.34669494628909</v>
      </c>
      <c r="E675">
        <v>306.31234741210938</v>
      </c>
      <c r="F675">
        <v>69.360328674316406</v>
      </c>
      <c r="G675">
        <v>156.95245361328119</v>
      </c>
      <c r="H675">
        <v>6606.759765625</v>
      </c>
      <c r="I675">
        <f t="shared" si="29"/>
        <v>6.1071998617643992E-3</v>
      </c>
      <c r="J675">
        <f t="shared" si="29"/>
        <v>-8.3988424822399078E-3</v>
      </c>
      <c r="K675">
        <f t="shared" si="29"/>
        <v>-5.3127463938741999E-3</v>
      </c>
      <c r="L675">
        <f t="shared" si="29"/>
        <v>9.3834706307053867E-4</v>
      </c>
      <c r="M675">
        <f t="shared" si="29"/>
        <v>-2.36337327650974E-2</v>
      </c>
      <c r="N675">
        <f t="shared" si="29"/>
        <v>7.7490522891715914E-3</v>
      </c>
      <c r="O675">
        <f t="shared" si="28"/>
        <v>-1.2887604333313247E-3</v>
      </c>
    </row>
    <row r="676" spans="1:15" x14ac:dyDescent="0.35">
      <c r="A676" s="2">
        <v>45917</v>
      </c>
      <c r="B676">
        <v>238.75856018066409</v>
      </c>
      <c r="C676">
        <v>961.66949462890625</v>
      </c>
      <c r="D676">
        <v>176.08201599121091</v>
      </c>
      <c r="E676">
        <v>308.84854125976563</v>
      </c>
      <c r="F676">
        <v>69.83709716796875</v>
      </c>
      <c r="G676">
        <v>159.21661376953119</v>
      </c>
      <c r="H676">
        <v>6600.35009765625</v>
      </c>
      <c r="I676">
        <f t="shared" si="29"/>
        <v>3.5210514987462998E-3</v>
      </c>
      <c r="J676">
        <f t="shared" si="29"/>
        <v>1.1446005205410453E-2</v>
      </c>
      <c r="K676">
        <f t="shared" si="29"/>
        <v>4.1847583599576325E-3</v>
      </c>
      <c r="L676">
        <f t="shared" si="29"/>
        <v>8.2456744706568066E-3</v>
      </c>
      <c r="M676">
        <f t="shared" si="29"/>
        <v>6.8502755015769192E-3</v>
      </c>
      <c r="N676">
        <f t="shared" si="29"/>
        <v>1.4322709559666136E-2</v>
      </c>
      <c r="O676">
        <f t="shared" si="28"/>
        <v>-9.7063907824438648E-4</v>
      </c>
    </row>
    <row r="677" spans="1:15" x14ac:dyDescent="0.35">
      <c r="A677" s="2">
        <v>45918</v>
      </c>
      <c r="B677">
        <v>237.6496276855469</v>
      </c>
      <c r="C677">
        <v>951.0145263671875</v>
      </c>
      <c r="D677">
        <v>173.06120300292969</v>
      </c>
      <c r="E677">
        <v>310.31478881835938</v>
      </c>
      <c r="F677">
        <v>70.313873291015625</v>
      </c>
      <c r="G677">
        <v>156.22752380371091</v>
      </c>
      <c r="H677">
        <v>6631.9599609375</v>
      </c>
      <c r="I677">
        <f t="shared" si="29"/>
        <v>-4.6553964694921379E-3</v>
      </c>
      <c r="J677">
        <f t="shared" si="29"/>
        <v>-1.1141493695616267E-2</v>
      </c>
      <c r="K677">
        <f t="shared" si="29"/>
        <v>-1.7304579926242101E-2</v>
      </c>
      <c r="L677">
        <f t="shared" si="29"/>
        <v>4.7362310662004727E-3</v>
      </c>
      <c r="M677">
        <f t="shared" si="29"/>
        <v>6.8037768229892905E-3</v>
      </c>
      <c r="N677">
        <f t="shared" si="29"/>
        <v>-1.8952195201000856E-2</v>
      </c>
      <c r="O677">
        <f t="shared" si="28"/>
        <v>4.7776878367082627E-3</v>
      </c>
    </row>
    <row r="678" spans="1:15" x14ac:dyDescent="0.35">
      <c r="A678" s="2">
        <v>45919</v>
      </c>
      <c r="B678">
        <v>245.2622375488281</v>
      </c>
      <c r="C678">
        <v>949.81622314453125</v>
      </c>
      <c r="D678">
        <v>175.0783996582031</v>
      </c>
      <c r="E678">
        <v>311.850341796875</v>
      </c>
      <c r="F678">
        <v>70.601921081542969</v>
      </c>
      <c r="G678">
        <v>154.9563903808594</v>
      </c>
      <c r="H678">
        <v>6664.35986328125</v>
      </c>
      <c r="I678">
        <f t="shared" si="29"/>
        <v>3.1530559054439522E-2</v>
      </c>
      <c r="J678">
        <f t="shared" si="29"/>
        <v>-1.2608207034804505E-3</v>
      </c>
      <c r="K678">
        <f t="shared" si="29"/>
        <v>1.1588565131510534E-2</v>
      </c>
      <c r="L678">
        <f t="shared" ref="L678:O741" si="30">LN(E678/E677)</f>
        <v>4.9361689392847701E-3</v>
      </c>
      <c r="M678">
        <f t="shared" si="30"/>
        <v>4.0882314577103535E-3</v>
      </c>
      <c r="N678">
        <f t="shared" si="30"/>
        <v>-8.1697056625066825E-3</v>
      </c>
      <c r="O678">
        <f t="shared" si="28"/>
        <v>4.8735239374811772E-3</v>
      </c>
    </row>
    <row r="679" spans="1:15" x14ac:dyDescent="0.35">
      <c r="A679" s="2">
        <v>45922</v>
      </c>
      <c r="B679">
        <v>255.83198547363281</v>
      </c>
      <c r="C679">
        <v>941.92742919921875</v>
      </c>
      <c r="D679">
        <v>173.11088562011719</v>
      </c>
      <c r="E679">
        <v>309.5321044921875</v>
      </c>
      <c r="F679">
        <v>71.863372802734375</v>
      </c>
      <c r="G679">
        <v>152.00703430175781</v>
      </c>
      <c r="H679">
        <v>6693.75</v>
      </c>
      <c r="I679">
        <f t="shared" ref="I679:O742" si="31">LN(B679/B678)</f>
        <v>4.2192926809499605E-2</v>
      </c>
      <c r="J679">
        <f t="shared" si="31"/>
        <v>-8.3402840172520001E-3</v>
      </c>
      <c r="K679">
        <f t="shared" si="31"/>
        <v>-1.1301525135153529E-2</v>
      </c>
      <c r="L679">
        <f t="shared" si="30"/>
        <v>-7.4615820714518137E-3</v>
      </c>
      <c r="M679">
        <f t="shared" si="30"/>
        <v>1.7709361414580998E-2</v>
      </c>
      <c r="N679">
        <f t="shared" si="30"/>
        <v>-1.9216926874180543E-2</v>
      </c>
      <c r="O679">
        <f t="shared" si="28"/>
        <v>4.4003507147622909E-3</v>
      </c>
    </row>
    <row r="680" spans="1:15" x14ac:dyDescent="0.35">
      <c r="A680" s="2">
        <v>45923</v>
      </c>
      <c r="B680">
        <v>254.18359375</v>
      </c>
      <c r="C680">
        <v>942.26690673828125</v>
      </c>
      <c r="D680">
        <v>175.46592712402341</v>
      </c>
      <c r="E680">
        <v>309.82931518554688</v>
      </c>
      <c r="F680">
        <v>71.833580017089844</v>
      </c>
      <c r="G680">
        <v>151.44097900390619</v>
      </c>
      <c r="H680">
        <v>6656.919921875</v>
      </c>
      <c r="I680">
        <f t="shared" si="31"/>
        <v>-6.4641063158507933E-3</v>
      </c>
      <c r="J680">
        <f t="shared" si="31"/>
        <v>3.6034238747131479E-4</v>
      </c>
      <c r="K680">
        <f t="shared" si="31"/>
        <v>1.3512530101332413E-2</v>
      </c>
      <c r="L680">
        <f t="shared" si="30"/>
        <v>9.5973273997955065E-4</v>
      </c>
      <c r="M680">
        <f t="shared" si="30"/>
        <v>-4.1466134788232818E-4</v>
      </c>
      <c r="N680">
        <f t="shared" si="30"/>
        <v>-3.7308265640968561E-3</v>
      </c>
      <c r="O680">
        <f t="shared" si="28"/>
        <v>-5.5173518287397211E-3</v>
      </c>
    </row>
    <row r="681" spans="1:15" x14ac:dyDescent="0.35">
      <c r="A681" s="2">
        <v>45924</v>
      </c>
      <c r="B681">
        <v>252.0656433105469</v>
      </c>
      <c r="C681">
        <v>943.9345703125</v>
      </c>
      <c r="D681">
        <v>175.57524108886719</v>
      </c>
      <c r="E681">
        <v>310.50302124023438</v>
      </c>
      <c r="F681">
        <v>73.333427429199219</v>
      </c>
      <c r="G681">
        <v>151.3615417480469</v>
      </c>
      <c r="H681">
        <v>6637.97021484375</v>
      </c>
      <c r="I681">
        <f t="shared" si="31"/>
        <v>-8.3672730390041989E-3</v>
      </c>
      <c r="J681">
        <f t="shared" si="31"/>
        <v>1.7682777042085237E-3</v>
      </c>
      <c r="K681">
        <f t="shared" si="31"/>
        <v>6.2279856766465967E-4</v>
      </c>
      <c r="L681">
        <f t="shared" si="30"/>
        <v>2.1720818986952391E-3</v>
      </c>
      <c r="M681">
        <f t="shared" si="30"/>
        <v>2.0664485826456771E-2</v>
      </c>
      <c r="N681">
        <f t="shared" si="30"/>
        <v>-5.2468029317834306E-4</v>
      </c>
      <c r="O681">
        <f t="shared" si="28"/>
        <v>-2.8506771652953692E-3</v>
      </c>
    </row>
    <row r="682" spans="1:15" x14ac:dyDescent="0.35">
      <c r="A682" s="2">
        <v>45925</v>
      </c>
      <c r="B682">
        <v>256.6212158203125</v>
      </c>
      <c r="C682">
        <v>941.97735595703125</v>
      </c>
      <c r="D682">
        <v>176.6086730957031</v>
      </c>
      <c r="E682">
        <v>310.53274536132813</v>
      </c>
      <c r="F682">
        <v>74.147911071777344</v>
      </c>
      <c r="G682">
        <v>151.0934143066406</v>
      </c>
      <c r="H682">
        <v>6604.72021484375</v>
      </c>
      <c r="I682">
        <f t="shared" si="31"/>
        <v>1.7911586361791701E-2</v>
      </c>
      <c r="J682">
        <f t="shared" si="31"/>
        <v>-2.0756166084703654E-3</v>
      </c>
      <c r="K682">
        <f t="shared" si="31"/>
        <v>5.8687233080568007E-3</v>
      </c>
      <c r="L682">
        <f t="shared" si="30"/>
        <v>9.5724345407934575E-5</v>
      </c>
      <c r="M682">
        <f t="shared" si="30"/>
        <v>1.1045355723180675E-2</v>
      </c>
      <c r="N682">
        <f t="shared" si="30"/>
        <v>-1.7730078894611062E-3</v>
      </c>
      <c r="O682">
        <f t="shared" si="28"/>
        <v>-5.021648742526333E-3</v>
      </c>
    </row>
    <row r="683" spans="1:15" x14ac:dyDescent="0.35">
      <c r="A683" s="2">
        <v>45926</v>
      </c>
      <c r="B683">
        <v>255.21260070800781</v>
      </c>
      <c r="C683">
        <v>914.656005859375</v>
      </c>
      <c r="D683">
        <v>178.57618713378909</v>
      </c>
      <c r="E683">
        <v>313.118408203125</v>
      </c>
      <c r="F683">
        <v>75.339836120605469</v>
      </c>
      <c r="G683">
        <v>151.44097900390619</v>
      </c>
      <c r="H683">
        <v>6643.7001953125</v>
      </c>
      <c r="I683">
        <f t="shared" si="31"/>
        <v>-5.5042032125608214E-3</v>
      </c>
      <c r="J683">
        <f t="shared" si="31"/>
        <v>-2.9433191317081057E-2</v>
      </c>
      <c r="K683">
        <f t="shared" si="31"/>
        <v>1.1078930344076402E-2</v>
      </c>
      <c r="L683">
        <f t="shared" si="30"/>
        <v>8.2920640569299174E-3</v>
      </c>
      <c r="M683">
        <f t="shared" si="30"/>
        <v>1.5947130531778538E-2</v>
      </c>
      <c r="N683">
        <f t="shared" si="30"/>
        <v>2.2976881826395727E-3</v>
      </c>
      <c r="O683">
        <f t="shared" si="28"/>
        <v>5.8844891304135121E-3</v>
      </c>
    </row>
    <row r="684" spans="1:15" x14ac:dyDescent="0.35">
      <c r="A684" s="2">
        <v>45929</v>
      </c>
      <c r="B684">
        <v>254.18359375</v>
      </c>
      <c r="C684">
        <v>915.57470703125</v>
      </c>
      <c r="D684">
        <v>180.47412109375</v>
      </c>
      <c r="E684">
        <v>312.75189208984381</v>
      </c>
      <c r="F684">
        <v>75.697410583496094</v>
      </c>
      <c r="G684">
        <v>152.4638366699219</v>
      </c>
      <c r="H684">
        <v>6661.2099609375</v>
      </c>
      <c r="I684">
        <f t="shared" si="31"/>
        <v>-4.0401101102266737E-3</v>
      </c>
      <c r="J684">
        <f t="shared" si="31"/>
        <v>1.0039185142769755E-3</v>
      </c>
      <c r="K684">
        <f t="shared" si="31"/>
        <v>1.0572065216950876E-2</v>
      </c>
      <c r="L684">
        <f t="shared" si="30"/>
        <v>-1.1712207944913325E-3</v>
      </c>
      <c r="M684">
        <f t="shared" si="30"/>
        <v>4.7349264998872553E-3</v>
      </c>
      <c r="N684">
        <f t="shared" si="30"/>
        <v>6.7314598230529014E-3</v>
      </c>
      <c r="O684">
        <f t="shared" si="28"/>
        <v>2.6320772599126188E-3</v>
      </c>
    </row>
    <row r="685" spans="1:15" x14ac:dyDescent="0.35">
      <c r="A685" s="2">
        <v>45930</v>
      </c>
      <c r="B685">
        <v>254.38340759277341</v>
      </c>
      <c r="C685">
        <v>924.32232666015625</v>
      </c>
      <c r="D685">
        <v>184.2501525878906</v>
      </c>
      <c r="E685">
        <v>312.49429321289063</v>
      </c>
      <c r="F685">
        <v>74.982254028320313</v>
      </c>
      <c r="G685">
        <v>152.58299255371091</v>
      </c>
      <c r="H685">
        <v>6688.4599609375</v>
      </c>
      <c r="I685">
        <f t="shared" si="31"/>
        <v>7.8579165587785006E-4</v>
      </c>
      <c r="J685">
        <f t="shared" si="31"/>
        <v>9.5088859660558203E-3</v>
      </c>
      <c r="K685">
        <f t="shared" si="31"/>
        <v>2.0706965173751216E-2</v>
      </c>
      <c r="L685">
        <f t="shared" si="30"/>
        <v>-8.2399188538339187E-4</v>
      </c>
      <c r="M685">
        <f t="shared" si="30"/>
        <v>-9.4924809803995681E-3</v>
      </c>
      <c r="N685">
        <f t="shared" si="30"/>
        <v>7.8123014851550529E-4</v>
      </c>
      <c r="O685">
        <f t="shared" si="28"/>
        <v>4.0825036135079193E-3</v>
      </c>
    </row>
    <row r="686" spans="1:15" x14ac:dyDescent="0.35">
      <c r="A686" s="2">
        <v>45931</v>
      </c>
      <c r="B686">
        <v>255.2026062011719</v>
      </c>
      <c r="C686">
        <v>916.0440673828125</v>
      </c>
      <c r="D686">
        <v>184.8761901855469</v>
      </c>
      <c r="E686">
        <v>307.8182373046875</v>
      </c>
      <c r="F686">
        <v>78.140869140625</v>
      </c>
      <c r="G686">
        <v>152.11625671386719</v>
      </c>
      <c r="H686">
        <v>6711.2001953125</v>
      </c>
      <c r="I686">
        <f t="shared" si="31"/>
        <v>3.2151561931077449E-3</v>
      </c>
      <c r="J686">
        <f t="shared" si="31"/>
        <v>-8.9963771750423728E-3</v>
      </c>
      <c r="K686">
        <f t="shared" si="31"/>
        <v>3.3919995695809537E-3</v>
      </c>
      <c r="L686">
        <f t="shared" si="30"/>
        <v>-1.5076737138863313E-2</v>
      </c>
      <c r="M686">
        <f t="shared" si="30"/>
        <v>4.1261739846156539E-2</v>
      </c>
      <c r="N686">
        <f t="shared" si="30"/>
        <v>-3.0635861822022993E-3</v>
      </c>
      <c r="O686">
        <f t="shared" si="28"/>
        <v>3.3941541712235066E-3</v>
      </c>
    </row>
    <row r="687" spans="1:15" x14ac:dyDescent="0.35">
      <c r="A687" s="2">
        <v>45932</v>
      </c>
      <c r="B687">
        <v>256.8809814453125</v>
      </c>
      <c r="C687">
        <v>915.474853515625</v>
      </c>
      <c r="D687">
        <v>184.80662536621091</v>
      </c>
      <c r="E687">
        <v>304.6876220703125</v>
      </c>
      <c r="F687">
        <v>77.654167175292969</v>
      </c>
      <c r="G687">
        <v>150.9941101074219</v>
      </c>
      <c r="H687">
        <v>6715.35009765625</v>
      </c>
      <c r="I687">
        <f t="shared" si="31"/>
        <v>6.5551066057451691E-3</v>
      </c>
      <c r="J687">
        <f t="shared" si="31"/>
        <v>-6.2157576317573102E-4</v>
      </c>
      <c r="K687">
        <f t="shared" si="31"/>
        <v>-3.7634868179225691E-4</v>
      </c>
      <c r="L687">
        <f t="shared" si="30"/>
        <v>-1.0222408318983953E-2</v>
      </c>
      <c r="M687">
        <f t="shared" si="30"/>
        <v>-6.2479981409116038E-3</v>
      </c>
      <c r="N687">
        <f t="shared" si="30"/>
        <v>-7.4042451587155644E-3</v>
      </c>
      <c r="O687">
        <f t="shared" si="28"/>
        <v>6.1816362138424476E-4</v>
      </c>
    </row>
    <row r="688" spans="1:15" x14ac:dyDescent="0.35">
      <c r="A688" s="2">
        <v>45933</v>
      </c>
      <c r="B688">
        <v>257.77011108398438</v>
      </c>
      <c r="C688">
        <v>914.0867919921875</v>
      </c>
      <c r="D688">
        <v>187.44984436035159</v>
      </c>
      <c r="E688">
        <v>307.14456176757813</v>
      </c>
      <c r="F688">
        <v>79.521514892578125</v>
      </c>
      <c r="G688">
        <v>151.21258544921881</v>
      </c>
      <c r="H688">
        <v>6715.7900390625</v>
      </c>
      <c r="I688">
        <f t="shared" si="31"/>
        <v>3.455274986035184E-3</v>
      </c>
      <c r="J688">
        <f t="shared" si="31"/>
        <v>-1.5173708884530616E-3</v>
      </c>
      <c r="K688">
        <f t="shared" si="31"/>
        <v>1.4201302768345558E-2</v>
      </c>
      <c r="L688">
        <f t="shared" si="30"/>
        <v>8.0314601588345903E-3</v>
      </c>
      <c r="M688">
        <f t="shared" si="30"/>
        <v>2.3762398338282878E-2</v>
      </c>
      <c r="N688">
        <f t="shared" si="30"/>
        <v>1.4458672363647531E-3</v>
      </c>
      <c r="O688">
        <f t="shared" si="28"/>
        <v>6.5510656865871701E-5</v>
      </c>
    </row>
    <row r="689" spans="1:15" x14ac:dyDescent="0.35">
      <c r="A689" s="2">
        <v>45936</v>
      </c>
      <c r="B689">
        <v>256.44140625</v>
      </c>
      <c r="C689">
        <v>909.653076171875</v>
      </c>
      <c r="D689">
        <v>186.9728698730469</v>
      </c>
      <c r="E689">
        <v>307.7916259765625</v>
      </c>
      <c r="F689">
        <v>81.557731628417969</v>
      </c>
      <c r="G689">
        <v>149.3655090332031</v>
      </c>
      <c r="H689">
        <v>6740.27978515625</v>
      </c>
      <c r="I689">
        <f t="shared" si="31"/>
        <v>-5.1679425543989634E-3</v>
      </c>
      <c r="J689">
        <f t="shared" si="31"/>
        <v>-4.8622335154392092E-3</v>
      </c>
      <c r="K689">
        <f t="shared" si="31"/>
        <v>-2.5477874454996581E-3</v>
      </c>
      <c r="L689">
        <f t="shared" si="30"/>
        <v>2.1044929886881755E-3</v>
      </c>
      <c r="M689">
        <f t="shared" si="30"/>
        <v>2.5283520387806648E-2</v>
      </c>
      <c r="N689">
        <f t="shared" si="30"/>
        <v>-1.2290314565299009E-2</v>
      </c>
      <c r="O689">
        <f t="shared" si="28"/>
        <v>3.6399592827626292E-3</v>
      </c>
    </row>
    <row r="690" spans="1:15" x14ac:dyDescent="0.35">
      <c r="A690" s="2">
        <v>45937</v>
      </c>
      <c r="B690">
        <v>256.23162841796881</v>
      </c>
      <c r="C690">
        <v>913.50762939453125</v>
      </c>
      <c r="D690">
        <v>187.69825744628909</v>
      </c>
      <c r="E690">
        <v>306.30831909179688</v>
      </c>
      <c r="F690">
        <v>82.65032958984375</v>
      </c>
      <c r="G690">
        <v>151.48069763183591</v>
      </c>
      <c r="H690">
        <v>6714.58984375</v>
      </c>
      <c r="I690">
        <f t="shared" si="31"/>
        <v>-8.1836893908375995E-4</v>
      </c>
      <c r="J690">
        <f t="shared" si="31"/>
        <v>4.2284357643995844E-3</v>
      </c>
      <c r="K690">
        <f t="shared" si="31"/>
        <v>3.8721343956706874E-3</v>
      </c>
      <c r="L690">
        <f t="shared" si="30"/>
        <v>-4.8308415636290989E-3</v>
      </c>
      <c r="M690">
        <f t="shared" si="30"/>
        <v>1.3307679022331906E-2</v>
      </c>
      <c r="N690">
        <f t="shared" si="30"/>
        <v>1.406182564744122E-2</v>
      </c>
      <c r="O690">
        <f t="shared" si="28"/>
        <v>-3.818687706853079E-3</v>
      </c>
    </row>
    <row r="691" spans="1:15" x14ac:dyDescent="0.35">
      <c r="A691" s="2">
        <v>45938</v>
      </c>
      <c r="B691">
        <v>257.81008911132813</v>
      </c>
      <c r="C691">
        <v>913.50762939453125</v>
      </c>
      <c r="D691">
        <v>188.49322509765619</v>
      </c>
      <c r="E691">
        <v>302.66476440429688</v>
      </c>
      <c r="F691">
        <v>83.474754333496094</v>
      </c>
      <c r="G691">
        <v>149.6435546875</v>
      </c>
      <c r="H691">
        <v>6753.72021484375</v>
      </c>
      <c r="I691">
        <f t="shared" si="31"/>
        <v>6.1413912556951061E-3</v>
      </c>
      <c r="J691">
        <f t="shared" si="31"/>
        <v>0</v>
      </c>
      <c r="K691">
        <f t="shared" si="31"/>
        <v>4.2264052834661212E-3</v>
      </c>
      <c r="L691">
        <f t="shared" si="30"/>
        <v>-1.1966368511402248E-2</v>
      </c>
      <c r="M691">
        <f t="shared" si="30"/>
        <v>9.9254307934464239E-3</v>
      </c>
      <c r="N691">
        <f t="shared" si="30"/>
        <v>-1.2202044335271195E-2</v>
      </c>
      <c r="O691">
        <f t="shared" si="28"/>
        <v>5.8107484941873231E-3</v>
      </c>
    </row>
    <row r="692" spans="1:15" x14ac:dyDescent="0.35">
      <c r="A692" s="2">
        <v>45939</v>
      </c>
      <c r="B692">
        <v>253.79396057128909</v>
      </c>
      <c r="C692">
        <v>941.55792236328125</v>
      </c>
      <c r="D692">
        <v>189.87445068359381</v>
      </c>
      <c r="E692">
        <v>304.15802001953119</v>
      </c>
      <c r="F692">
        <v>83.146965026855469</v>
      </c>
      <c r="G692">
        <v>149.53431701660159</v>
      </c>
      <c r="H692">
        <v>6735.10986328125</v>
      </c>
      <c r="I692">
        <f t="shared" si="31"/>
        <v>-1.570046617777043E-2</v>
      </c>
      <c r="J692">
        <f t="shared" si="31"/>
        <v>3.0244139957057881E-2</v>
      </c>
      <c r="K692">
        <f t="shared" si="31"/>
        <v>7.3010027537795284E-3</v>
      </c>
      <c r="L692">
        <f t="shared" si="30"/>
        <v>4.9215641458213149E-3</v>
      </c>
      <c r="M692">
        <f t="shared" si="30"/>
        <v>-3.9345378353211405E-3</v>
      </c>
      <c r="N692">
        <f t="shared" si="30"/>
        <v>-7.302523754889736E-4</v>
      </c>
      <c r="O692">
        <f t="shared" si="28"/>
        <v>-2.7593739802789824E-3</v>
      </c>
    </row>
    <row r="693" spans="1:15" x14ac:dyDescent="0.35">
      <c r="A693" s="2">
        <v>45940</v>
      </c>
      <c r="B693">
        <v>245.032470703125</v>
      </c>
      <c r="C693">
        <v>928.6961669921875</v>
      </c>
      <c r="D693">
        <v>189.5167236328125</v>
      </c>
      <c r="E693">
        <v>299.53887939453119</v>
      </c>
      <c r="F693">
        <v>82.789390563964844</v>
      </c>
      <c r="G693">
        <v>148.65049743652341</v>
      </c>
      <c r="H693">
        <v>6552.509765625</v>
      </c>
      <c r="I693">
        <f t="shared" si="31"/>
        <v>-3.5132023736664408E-2</v>
      </c>
      <c r="J693">
        <f t="shared" si="31"/>
        <v>-1.3754236077515365E-2</v>
      </c>
      <c r="K693">
        <f t="shared" si="31"/>
        <v>-1.8857958804078627E-3</v>
      </c>
      <c r="L693">
        <f t="shared" si="30"/>
        <v>-1.5303145582070327E-2</v>
      </c>
      <c r="M693">
        <f t="shared" si="30"/>
        <v>-4.3097850991165015E-3</v>
      </c>
      <c r="N693">
        <f t="shared" si="30"/>
        <v>-5.9280159515639405E-3</v>
      </c>
      <c r="O693">
        <f t="shared" si="28"/>
        <v>-2.7485975439899807E-2</v>
      </c>
    </row>
    <row r="694" spans="1:15" x14ac:dyDescent="0.35">
      <c r="A694" s="2">
        <v>45943</v>
      </c>
      <c r="B694">
        <v>247.42015075683591</v>
      </c>
      <c r="C694">
        <v>934.23828125</v>
      </c>
      <c r="D694">
        <v>189.69557189941409</v>
      </c>
      <c r="E694">
        <v>306.58706665039063</v>
      </c>
      <c r="F694">
        <v>83.733001708984375</v>
      </c>
      <c r="G694">
        <v>146.46577453613281</v>
      </c>
      <c r="H694">
        <v>6654.72021484375</v>
      </c>
      <c r="I694">
        <f t="shared" si="31"/>
        <v>9.697171504895576E-3</v>
      </c>
      <c r="J694">
        <f t="shared" si="31"/>
        <v>5.9498933124968829E-3</v>
      </c>
      <c r="K694">
        <f t="shared" si="31"/>
        <v>9.4326203010548814E-4</v>
      </c>
      <c r="L694">
        <f t="shared" si="30"/>
        <v>2.3257558942261468E-2</v>
      </c>
      <c r="M694">
        <f t="shared" si="30"/>
        <v>1.1333265540222117E-2</v>
      </c>
      <c r="N694">
        <f t="shared" si="30"/>
        <v>-1.4806115549507544E-2</v>
      </c>
      <c r="O694">
        <f t="shared" si="28"/>
        <v>1.5478263036934031E-2</v>
      </c>
    </row>
    <row r="695" spans="1:15" x14ac:dyDescent="0.35">
      <c r="A695" s="2">
        <v>45944</v>
      </c>
      <c r="B695">
        <v>247.53004455566409</v>
      </c>
      <c r="C695">
        <v>945.1728515625</v>
      </c>
      <c r="D695">
        <v>189.6459045410156</v>
      </c>
      <c r="E695">
        <v>300.7235107421875</v>
      </c>
      <c r="F695">
        <v>84.070716857910156</v>
      </c>
      <c r="G695">
        <v>148.1241760253906</v>
      </c>
      <c r="H695">
        <v>6644.31005859375</v>
      </c>
      <c r="I695">
        <f t="shared" si="31"/>
        <v>4.4406003543302855E-4</v>
      </c>
      <c r="J695">
        <f t="shared" si="31"/>
        <v>1.1636297670940311E-2</v>
      </c>
      <c r="K695">
        <f t="shared" si="31"/>
        <v>-2.6186094464732465E-4</v>
      </c>
      <c r="L695">
        <f t="shared" si="30"/>
        <v>-1.9310508768573289E-2</v>
      </c>
      <c r="M695">
        <f t="shared" si="30"/>
        <v>4.0251265916106203E-3</v>
      </c>
      <c r="N695">
        <f t="shared" si="30"/>
        <v>1.1259168926402713E-2</v>
      </c>
      <c r="O695">
        <f t="shared" si="28"/>
        <v>-1.5655514969425701E-3</v>
      </c>
    </row>
    <row r="696" spans="1:15" x14ac:dyDescent="0.35">
      <c r="A696" s="2">
        <v>45945</v>
      </c>
      <c r="B696">
        <v>249.09852600097659</v>
      </c>
      <c r="C696">
        <v>953.64080810546875</v>
      </c>
      <c r="D696">
        <v>189.96388244628909</v>
      </c>
      <c r="E696">
        <v>304.31729125976563</v>
      </c>
      <c r="F696">
        <v>85.212982177734375</v>
      </c>
      <c r="G696">
        <v>146.39625549316409</v>
      </c>
      <c r="H696">
        <v>6671.06005859375</v>
      </c>
      <c r="I696">
        <f t="shared" si="31"/>
        <v>6.3165381668474005E-3</v>
      </c>
      <c r="J696">
        <f t="shared" si="31"/>
        <v>8.9192666564357828E-3</v>
      </c>
      <c r="K696">
        <f t="shared" si="31"/>
        <v>1.6752886281809647E-3</v>
      </c>
      <c r="L696">
        <f t="shared" si="30"/>
        <v>1.1879604714082873E-2</v>
      </c>
      <c r="M696">
        <f t="shared" si="30"/>
        <v>1.3495483177962474E-2</v>
      </c>
      <c r="N696">
        <f t="shared" si="30"/>
        <v>-1.1733925208516249E-2</v>
      </c>
      <c r="O696">
        <f t="shared" si="28"/>
        <v>4.0179185034279787E-3</v>
      </c>
    </row>
    <row r="697" spans="1:15" x14ac:dyDescent="0.35">
      <c r="A697" s="2">
        <v>45946</v>
      </c>
      <c r="B697">
        <v>247.2103576660156</v>
      </c>
      <c r="C697">
        <v>924.31231689453125</v>
      </c>
      <c r="D697">
        <v>190.90788269042969</v>
      </c>
      <c r="E697">
        <v>297.19940185546881</v>
      </c>
      <c r="F697">
        <v>84.477958679199219</v>
      </c>
      <c r="G697">
        <v>148.5611267089844</v>
      </c>
      <c r="H697">
        <v>6629.06982421875</v>
      </c>
      <c r="I697">
        <f t="shared" si="31"/>
        <v>-7.6088803030732819E-3</v>
      </c>
      <c r="J697">
        <f t="shared" si="31"/>
        <v>-3.1237069302346977E-2</v>
      </c>
      <c r="K697">
        <f t="shared" si="31"/>
        <v>4.957060426015179E-3</v>
      </c>
      <c r="L697">
        <f t="shared" si="30"/>
        <v>-2.36675781149111E-2</v>
      </c>
      <c r="M697">
        <f t="shared" si="30"/>
        <v>-8.6631389015290015E-3</v>
      </c>
      <c r="N697">
        <f t="shared" si="30"/>
        <v>1.4679477249632266E-2</v>
      </c>
      <c r="O697">
        <f t="shared" si="28"/>
        <v>-6.3142802751419754E-3</v>
      </c>
    </row>
    <row r="698" spans="1:15" x14ac:dyDescent="0.35">
      <c r="A698" s="2">
        <v>45947</v>
      </c>
      <c r="B698">
        <v>252.045654296875</v>
      </c>
      <c r="C698">
        <v>935.0072021484375</v>
      </c>
      <c r="D698">
        <v>192.0009460449219</v>
      </c>
      <c r="E698">
        <v>296.22381591796881</v>
      </c>
      <c r="F698">
        <v>83.961456298828125</v>
      </c>
      <c r="G698">
        <v>150.34861755371091</v>
      </c>
      <c r="H698">
        <v>6664.009765625</v>
      </c>
      <c r="I698">
        <f t="shared" si="31"/>
        <v>1.9370614298066767E-2</v>
      </c>
      <c r="J698">
        <f t="shared" si="31"/>
        <v>1.1504212263699546E-2</v>
      </c>
      <c r="K698">
        <f t="shared" si="31"/>
        <v>5.7092772042427655E-3</v>
      </c>
      <c r="L698">
        <f t="shared" si="30"/>
        <v>-3.2879967860902693E-3</v>
      </c>
      <c r="M698">
        <f t="shared" si="30"/>
        <v>-6.1328163518476484E-3</v>
      </c>
      <c r="N698">
        <f t="shared" si="30"/>
        <v>1.1960213321075479E-2</v>
      </c>
      <c r="O698">
        <f t="shared" si="30"/>
        <v>5.2568739445262996E-3</v>
      </c>
    </row>
    <row r="699" spans="1:15" x14ac:dyDescent="0.35">
      <c r="A699" s="2">
        <v>45950</v>
      </c>
      <c r="B699">
        <v>261.98602294921881</v>
      </c>
      <c r="C699">
        <v>934.7874755859375</v>
      </c>
      <c r="D699">
        <v>192.49778747558591</v>
      </c>
      <c r="E699">
        <v>301.00222778320313</v>
      </c>
      <c r="F699">
        <v>84.199836730957031</v>
      </c>
      <c r="G699">
        <v>150.90473937988281</v>
      </c>
      <c r="H699">
        <v>6735.1298828125</v>
      </c>
      <c r="I699">
        <f t="shared" si="31"/>
        <v>3.8680915868748368E-2</v>
      </c>
      <c r="J699">
        <f t="shared" si="31"/>
        <v>-2.3502747775246767E-4</v>
      </c>
      <c r="K699">
        <f t="shared" si="31"/>
        <v>2.58436069552275E-3</v>
      </c>
      <c r="L699">
        <f t="shared" si="30"/>
        <v>1.6002362538462697E-2</v>
      </c>
      <c r="M699">
        <f t="shared" si="30"/>
        <v>2.8351422317197681E-3</v>
      </c>
      <c r="N699">
        <f t="shared" si="30"/>
        <v>3.6920581636273276E-3</v>
      </c>
      <c r="O699">
        <f t="shared" si="30"/>
        <v>1.0615724136144117E-2</v>
      </c>
    </row>
    <row r="700" spans="1:15" x14ac:dyDescent="0.35">
      <c r="A700" s="2">
        <v>45951</v>
      </c>
      <c r="B700">
        <v>262.5155029296875</v>
      </c>
      <c r="C700">
        <v>936.175537109375</v>
      </c>
      <c r="D700">
        <v>190.6694030761719</v>
      </c>
      <c r="E700">
        <v>295.75592041015619</v>
      </c>
      <c r="F700">
        <v>83.425086975097656</v>
      </c>
      <c r="G700">
        <v>150.56709289550781</v>
      </c>
      <c r="H700">
        <v>6735.35009765625</v>
      </c>
      <c r="I700">
        <f t="shared" si="31"/>
        <v>2.01898425153774E-3</v>
      </c>
      <c r="J700">
        <f t="shared" si="31"/>
        <v>1.4837939271777495E-3</v>
      </c>
      <c r="K700">
        <f t="shared" si="31"/>
        <v>-9.5436056216601298E-3</v>
      </c>
      <c r="L700">
        <f t="shared" si="30"/>
        <v>-1.7583145043448857E-2</v>
      </c>
      <c r="M700">
        <f t="shared" si="30"/>
        <v>-9.2439149928767381E-3</v>
      </c>
      <c r="N700">
        <f t="shared" si="30"/>
        <v>-2.2399878821599585E-3</v>
      </c>
      <c r="O700">
        <f t="shared" si="30"/>
        <v>3.2695916416987967E-5</v>
      </c>
    </row>
    <row r="701" spans="1:15" x14ac:dyDescent="0.35">
      <c r="A701" s="2">
        <v>45952</v>
      </c>
      <c r="B701">
        <v>258.19970703125</v>
      </c>
      <c r="C701">
        <v>943.34539794921875</v>
      </c>
      <c r="D701">
        <v>191.72271728515619</v>
      </c>
      <c r="E701">
        <v>292.78927612304688</v>
      </c>
      <c r="F701">
        <v>82.282814025878906</v>
      </c>
      <c r="G701">
        <v>151.14306640625</v>
      </c>
      <c r="H701">
        <v>6699.39990234375</v>
      </c>
      <c r="I701">
        <f t="shared" si="31"/>
        <v>-1.6576795313851589E-2</v>
      </c>
      <c r="J701">
        <f t="shared" si="31"/>
        <v>7.6294926918532083E-3</v>
      </c>
      <c r="K701">
        <f t="shared" si="31"/>
        <v>5.509092980284771E-3</v>
      </c>
      <c r="L701">
        <f t="shared" si="30"/>
        <v>-1.0081364797520575E-2</v>
      </c>
      <c r="M701">
        <f t="shared" si="30"/>
        <v>-1.3786802385117933E-2</v>
      </c>
      <c r="N701">
        <f t="shared" si="30"/>
        <v>3.8180630825816009E-3</v>
      </c>
      <c r="O701">
        <f t="shared" si="30"/>
        <v>-5.351834774743029E-3</v>
      </c>
    </row>
    <row r="702" spans="1:15" x14ac:dyDescent="0.35">
      <c r="A702" s="2">
        <v>45953</v>
      </c>
      <c r="B702">
        <v>259.32858276367188</v>
      </c>
      <c r="C702">
        <v>940.7191162109375</v>
      </c>
      <c r="D702">
        <v>191.25567626953119</v>
      </c>
      <c r="E702">
        <v>293.21737670898438</v>
      </c>
      <c r="F702">
        <v>82.6900634765625</v>
      </c>
      <c r="G702">
        <v>151.15299987792969</v>
      </c>
      <c r="H702">
        <v>6738.43994140625</v>
      </c>
      <c r="I702">
        <f t="shared" si="31"/>
        <v>4.3625731967996571E-3</v>
      </c>
      <c r="J702">
        <f t="shared" si="31"/>
        <v>-2.7878911996606737E-3</v>
      </c>
      <c r="K702">
        <f t="shared" si="31"/>
        <v>-2.4389952801977307E-3</v>
      </c>
      <c r="L702">
        <f t="shared" si="30"/>
        <v>1.4610778223279168E-3</v>
      </c>
      <c r="M702">
        <f t="shared" si="30"/>
        <v>4.9371785726115072E-3</v>
      </c>
      <c r="N702">
        <f t="shared" si="30"/>
        <v>6.5720151805947127E-5</v>
      </c>
      <c r="O702">
        <f t="shared" si="30"/>
        <v>5.8104798620133855E-3</v>
      </c>
    </row>
    <row r="703" spans="1:15" x14ac:dyDescent="0.35">
      <c r="A703" s="2">
        <v>45954</v>
      </c>
      <c r="B703">
        <v>262.56549072265619</v>
      </c>
      <c r="C703">
        <v>930.8231201171875</v>
      </c>
      <c r="D703">
        <v>189.19873046875</v>
      </c>
      <c r="E703">
        <v>299.09088134765619</v>
      </c>
      <c r="F703">
        <v>83.842262268066406</v>
      </c>
      <c r="G703">
        <v>152.49000549316409</v>
      </c>
      <c r="H703">
        <v>6791.68994140625</v>
      </c>
      <c r="I703">
        <f t="shared" si="31"/>
        <v>1.2404622431380557E-2</v>
      </c>
      <c r="J703">
        <f t="shared" si="31"/>
        <v>-1.0575329939334839E-2</v>
      </c>
      <c r="K703">
        <f t="shared" si="31"/>
        <v>-1.0813205507663589E-2</v>
      </c>
      <c r="L703">
        <f t="shared" si="30"/>
        <v>1.9833244226501335E-2</v>
      </c>
      <c r="M703">
        <f t="shared" si="30"/>
        <v>1.3837759989132295E-2</v>
      </c>
      <c r="N703">
        <f t="shared" si="30"/>
        <v>8.8064880958451507E-3</v>
      </c>
      <c r="O703">
        <f t="shared" si="30"/>
        <v>7.8713619752448557E-3</v>
      </c>
    </row>
    <row r="704" spans="1:15" x14ac:dyDescent="0.35">
      <c r="A704" s="2">
        <v>45957</v>
      </c>
      <c r="B704">
        <v>268.54965209960938</v>
      </c>
      <c r="C704">
        <v>928.53631591796875</v>
      </c>
      <c r="D704">
        <v>189.099365234375</v>
      </c>
      <c r="E704">
        <v>302.78421020507813</v>
      </c>
      <c r="F704">
        <v>85.451362609863281</v>
      </c>
      <c r="G704">
        <v>151.74000549316409</v>
      </c>
      <c r="H704">
        <v>6875.16015625</v>
      </c>
      <c r="I704">
        <f t="shared" si="31"/>
        <v>2.2535281491603942E-2</v>
      </c>
      <c r="J704">
        <f t="shared" si="31"/>
        <v>-2.4597776071976223E-3</v>
      </c>
      <c r="K704">
        <f t="shared" si="31"/>
        <v>-5.2532771266246422E-4</v>
      </c>
      <c r="L704">
        <f t="shared" si="30"/>
        <v>1.2272896047032496E-2</v>
      </c>
      <c r="M704">
        <f t="shared" si="30"/>
        <v>1.9010152349353961E-2</v>
      </c>
      <c r="N704">
        <f t="shared" si="30"/>
        <v>-4.930490038941855E-3</v>
      </c>
      <c r="O704">
        <f t="shared" si="30"/>
        <v>1.2215141327379352E-2</v>
      </c>
    </row>
    <row r="705" spans="1:15" x14ac:dyDescent="0.35">
      <c r="A705" s="2">
        <v>45958</v>
      </c>
      <c r="B705">
        <v>268.73947143554688</v>
      </c>
      <c r="C705">
        <v>922.8543701171875</v>
      </c>
      <c r="D705">
        <v>185.75062561035159</v>
      </c>
      <c r="E705">
        <v>303.98876953125</v>
      </c>
      <c r="F705">
        <v>83.007911682128906</v>
      </c>
      <c r="G705">
        <v>151.3699951171875</v>
      </c>
      <c r="H705">
        <v>6890.89013671875</v>
      </c>
      <c r="I705">
        <f t="shared" si="31"/>
        <v>7.0658174722014065E-4</v>
      </c>
      <c r="J705">
        <f t="shared" si="31"/>
        <v>-6.1380492868178659E-3</v>
      </c>
      <c r="K705">
        <f t="shared" si="31"/>
        <v>-1.7867567270943487E-2</v>
      </c>
      <c r="L705">
        <f t="shared" si="30"/>
        <v>3.9703841429435741E-3</v>
      </c>
      <c r="M705">
        <f t="shared" si="30"/>
        <v>-2.9011430992008341E-2</v>
      </c>
      <c r="N705">
        <f t="shared" si="30"/>
        <v>-2.4414275940804306E-3</v>
      </c>
      <c r="O705">
        <f t="shared" si="30"/>
        <v>2.2853305022299255E-3</v>
      </c>
    </row>
    <row r="706" spans="1:15" x14ac:dyDescent="0.35">
      <c r="A706" s="2">
        <v>45959</v>
      </c>
      <c r="B706">
        <v>269.43881225585938</v>
      </c>
      <c r="C706">
        <v>911.1309814453125</v>
      </c>
      <c r="D706">
        <v>185.42271423339841</v>
      </c>
      <c r="E706">
        <v>304.13812255859381</v>
      </c>
      <c r="F706">
        <v>81.210090637207031</v>
      </c>
      <c r="G706">
        <v>148.77000427246091</v>
      </c>
      <c r="H706">
        <v>6890.58984375</v>
      </c>
      <c r="I706">
        <f t="shared" si="31"/>
        <v>2.5989202282576647E-3</v>
      </c>
      <c r="J706">
        <f t="shared" si="31"/>
        <v>-1.2784778618134955E-2</v>
      </c>
      <c r="K706">
        <f t="shared" si="31"/>
        <v>-1.7668912449380987E-3</v>
      </c>
      <c r="L706">
        <f t="shared" si="30"/>
        <v>4.9119034954489863E-4</v>
      </c>
      <c r="M706">
        <f t="shared" si="30"/>
        <v>-2.1896416347218402E-2</v>
      </c>
      <c r="N706">
        <f t="shared" si="30"/>
        <v>-1.7325620629291365E-2</v>
      </c>
      <c r="O706">
        <f t="shared" si="30"/>
        <v>-4.3579204733175357E-5</v>
      </c>
    </row>
    <row r="707" spans="1:15" x14ac:dyDescent="0.35">
      <c r="A707" s="2">
        <v>45960</v>
      </c>
      <c r="B707">
        <v>271.13714599609381</v>
      </c>
      <c r="C707">
        <v>918.8800048828125</v>
      </c>
      <c r="D707">
        <v>187.85725402832031</v>
      </c>
      <c r="E707">
        <v>308.05047607421881</v>
      </c>
      <c r="F707">
        <v>81.090888977050781</v>
      </c>
      <c r="G707">
        <v>149.58000183105469</v>
      </c>
      <c r="H707">
        <v>6822.33984375</v>
      </c>
      <c r="I707">
        <f t="shared" si="31"/>
        <v>6.2834438049241262E-3</v>
      </c>
      <c r="J707">
        <f t="shared" si="31"/>
        <v>8.4688778481542479E-3</v>
      </c>
      <c r="K707">
        <f t="shared" si="31"/>
        <v>1.3044226971426157E-2</v>
      </c>
      <c r="L707">
        <f t="shared" si="30"/>
        <v>1.2781704162049792E-2</v>
      </c>
      <c r="M707">
        <f t="shared" si="30"/>
        <v>-1.4688966372549178E-3</v>
      </c>
      <c r="N707">
        <f t="shared" si="30"/>
        <v>5.429861117111699E-3</v>
      </c>
      <c r="O707">
        <f t="shared" si="30"/>
        <v>-9.9541914245345111E-3</v>
      </c>
    </row>
    <row r="708" spans="1:15" x14ac:dyDescent="0.35">
      <c r="A708" s="2">
        <v>45961</v>
      </c>
      <c r="B708">
        <v>270.108154296875</v>
      </c>
      <c r="C708">
        <v>911.45001220703125</v>
      </c>
      <c r="D708">
        <v>187.67839050292969</v>
      </c>
      <c r="E708">
        <v>309.722900390625</v>
      </c>
      <c r="F708">
        <v>80.852508544921875</v>
      </c>
      <c r="G708">
        <v>150.3699951171875</v>
      </c>
      <c r="H708">
        <v>6840.2001953125</v>
      </c>
      <c r="I708">
        <f t="shared" si="31"/>
        <v>-3.8023163929242227E-3</v>
      </c>
      <c r="J708">
        <f t="shared" si="31"/>
        <v>-8.1187910579503114E-3</v>
      </c>
      <c r="K708">
        <f t="shared" si="31"/>
        <v>-9.5257822537203152E-4</v>
      </c>
      <c r="L708">
        <f t="shared" si="30"/>
        <v>5.4143751277583637E-3</v>
      </c>
      <c r="M708">
        <f t="shared" si="30"/>
        <v>-2.9439990508955283E-3</v>
      </c>
      <c r="N708">
        <f t="shared" si="30"/>
        <v>5.2675120574141397E-3</v>
      </c>
      <c r="O708">
        <f t="shared" si="30"/>
        <v>2.6145009178832708E-3</v>
      </c>
    </row>
    <row r="709" spans="1:15" x14ac:dyDescent="0.35">
      <c r="A709" s="2">
        <v>45964</v>
      </c>
      <c r="B709">
        <v>268.7894287109375</v>
      </c>
      <c r="C709">
        <v>928.03997802734375</v>
      </c>
      <c r="D709">
        <v>185.08485412597659</v>
      </c>
      <c r="E709">
        <v>307.96087646484381</v>
      </c>
      <c r="F709">
        <v>81.229949951171875</v>
      </c>
      <c r="G709">
        <v>148.02000427246091</v>
      </c>
      <c r="H709">
        <v>6851.97021484375</v>
      </c>
      <c r="I709">
        <f t="shared" si="31"/>
        <v>-4.8941700975957455E-3</v>
      </c>
      <c r="J709">
        <f t="shared" si="31"/>
        <v>1.8038060257228528E-2</v>
      </c>
      <c r="K709">
        <f t="shared" si="31"/>
        <v>-1.3915418244557257E-2</v>
      </c>
      <c r="L709">
        <f t="shared" si="30"/>
        <v>-5.7052775912844857E-3</v>
      </c>
      <c r="M709">
        <f t="shared" si="30"/>
        <v>4.6574082355721469E-3</v>
      </c>
      <c r="N709">
        <f t="shared" si="30"/>
        <v>-1.5751462428844013E-2</v>
      </c>
      <c r="O709">
        <f t="shared" si="30"/>
        <v>1.7192339969181521E-3</v>
      </c>
    </row>
    <row r="710" spans="1:15" x14ac:dyDescent="0.35">
      <c r="A710" s="2">
        <v>45965</v>
      </c>
      <c r="B710">
        <v>269.77847290039063</v>
      </c>
      <c r="C710">
        <v>940.739990234375</v>
      </c>
      <c r="D710">
        <v>185.68107604980469</v>
      </c>
      <c r="E710">
        <v>307.861328125</v>
      </c>
      <c r="F710">
        <v>81.140556335449219</v>
      </c>
      <c r="G710">
        <v>147.16999816894531</v>
      </c>
      <c r="H710">
        <v>6771.5498046875</v>
      </c>
      <c r="I710">
        <f t="shared" si="31"/>
        <v>3.6728713253906245E-3</v>
      </c>
      <c r="J710">
        <f t="shared" si="31"/>
        <v>1.3591977590484959E-2</v>
      </c>
      <c r="K710">
        <f t="shared" si="31"/>
        <v>3.216166261419877E-3</v>
      </c>
      <c r="L710">
        <f t="shared" si="30"/>
        <v>-3.2330221277812989E-4</v>
      </c>
      <c r="M710">
        <f t="shared" si="30"/>
        <v>-1.1011066824766693E-3</v>
      </c>
      <c r="N710">
        <f t="shared" si="30"/>
        <v>-5.7590598991429116E-3</v>
      </c>
      <c r="O710">
        <f t="shared" si="30"/>
        <v>-1.1806250392326715E-2</v>
      </c>
    </row>
    <row r="711" spans="1:15" x14ac:dyDescent="0.35">
      <c r="A711" s="2">
        <v>45966</v>
      </c>
      <c r="B711">
        <v>269.87838745117188</v>
      </c>
      <c r="C711">
        <v>935.030029296875</v>
      </c>
      <c r="D711">
        <v>184.82649230957031</v>
      </c>
      <c r="E711">
        <v>310.2803955078125</v>
      </c>
      <c r="F711">
        <v>81.587532043457031</v>
      </c>
      <c r="G711">
        <v>145.78999328613281</v>
      </c>
      <c r="H711">
        <v>6796.2900390625</v>
      </c>
      <c r="I711">
        <f t="shared" si="31"/>
        <v>3.7028919398077734E-4</v>
      </c>
      <c r="J711">
        <f t="shared" si="31"/>
        <v>-6.0881435516193351E-3</v>
      </c>
      <c r="K711">
        <f t="shared" si="31"/>
        <v>-4.6130515470829917E-3</v>
      </c>
      <c r="L711">
        <f t="shared" si="30"/>
        <v>7.8269420744744994E-3</v>
      </c>
      <c r="M711">
        <f t="shared" si="30"/>
        <v>5.4935424678923973E-3</v>
      </c>
      <c r="N711">
        <f t="shared" si="30"/>
        <v>-9.4211846691563891E-3</v>
      </c>
      <c r="O711">
        <f t="shared" si="30"/>
        <v>3.6468976756877185E-3</v>
      </c>
    </row>
    <row r="712" spans="1:15" x14ac:dyDescent="0.35">
      <c r="A712" s="2">
        <v>45967</v>
      </c>
      <c r="B712">
        <v>269.50872802734381</v>
      </c>
      <c r="C712">
        <v>923.58001708984375</v>
      </c>
      <c r="D712">
        <v>185.7903747558594</v>
      </c>
      <c r="E712">
        <v>312.01260375976563</v>
      </c>
      <c r="F712">
        <v>81.448471069335938</v>
      </c>
      <c r="G712">
        <v>146.1300048828125</v>
      </c>
      <c r="H712">
        <v>6720.31982421875</v>
      </c>
      <c r="I712">
        <f t="shared" si="31"/>
        <v>-1.3706648568128294E-3</v>
      </c>
      <c r="J712">
        <f t="shared" si="31"/>
        <v>-1.2321204314053332E-2</v>
      </c>
      <c r="K712">
        <f t="shared" si="31"/>
        <v>5.2015151233375957E-3</v>
      </c>
      <c r="L712">
        <f t="shared" si="30"/>
        <v>5.5671933572871051E-3</v>
      </c>
      <c r="M712">
        <f t="shared" si="30"/>
        <v>-1.7058932406237343E-3</v>
      </c>
      <c r="N712">
        <f t="shared" si="30"/>
        <v>2.3294858356302569E-3</v>
      </c>
      <c r="O712">
        <f t="shared" si="30"/>
        <v>-1.1241134514722728E-2</v>
      </c>
    </row>
    <row r="713" spans="1:15" x14ac:dyDescent="0.35">
      <c r="A713" s="2">
        <v>45968</v>
      </c>
      <c r="B713">
        <v>268.20999145507813</v>
      </c>
      <c r="C713">
        <v>922.739990234375</v>
      </c>
      <c r="D713">
        <v>185.3929138183594</v>
      </c>
      <c r="E713">
        <v>312.79904174804688</v>
      </c>
      <c r="F713">
        <v>83.365486145019531</v>
      </c>
      <c r="G713">
        <v>146.97999572753909</v>
      </c>
      <c r="H713">
        <v>6728.7998046875</v>
      </c>
      <c r="I713">
        <f t="shared" si="31"/>
        <v>-4.8305519247429946E-3</v>
      </c>
      <c r="J713">
        <f t="shared" si="31"/>
        <v>-9.0994725735364917E-4</v>
      </c>
      <c r="K713">
        <f t="shared" si="31"/>
        <v>-2.1415893529929449E-3</v>
      </c>
      <c r="L713">
        <f t="shared" si="30"/>
        <v>2.5173615416658325E-3</v>
      </c>
      <c r="M713">
        <f t="shared" si="30"/>
        <v>2.3263825049450935E-2</v>
      </c>
      <c r="N713">
        <f t="shared" si="30"/>
        <v>5.7998241316807178E-3</v>
      </c>
      <c r="O713">
        <f t="shared" si="30"/>
        <v>1.2610463474931072E-3</v>
      </c>
    </row>
    <row r="714" spans="1:15" x14ac:dyDescent="0.35">
      <c r="A714" s="2">
        <v>45971</v>
      </c>
      <c r="B714">
        <v>269.42999267578119</v>
      </c>
      <c r="C714">
        <v>915.55999755859375</v>
      </c>
      <c r="D714">
        <v>187.22129821777341</v>
      </c>
      <c r="E714">
        <v>315.46701049804688</v>
      </c>
      <c r="F714">
        <v>84.199836730957031</v>
      </c>
      <c r="G714">
        <v>145.5</v>
      </c>
      <c r="H714">
        <v>6832.43017578125</v>
      </c>
      <c r="I714">
        <f t="shared" si="31"/>
        <v>4.538365265673327E-3</v>
      </c>
      <c r="J714">
        <f t="shared" si="31"/>
        <v>-7.8115968387209925E-3</v>
      </c>
      <c r="K714">
        <f t="shared" si="31"/>
        <v>9.8138987458645868E-3</v>
      </c>
      <c r="L714">
        <f t="shared" si="30"/>
        <v>8.4931687078374889E-3</v>
      </c>
      <c r="M714">
        <f t="shared" si="30"/>
        <v>9.9585936644588698E-3</v>
      </c>
      <c r="N714">
        <f t="shared" si="30"/>
        <v>-1.0120407420862693E-2</v>
      </c>
      <c r="O714">
        <f t="shared" si="30"/>
        <v>1.5283626703501816E-2</v>
      </c>
    </row>
    <row r="715" spans="1:15" x14ac:dyDescent="0.35">
      <c r="A715" s="2">
        <v>45972</v>
      </c>
      <c r="B715">
        <v>275.25</v>
      </c>
      <c r="C715">
        <v>913.8599853515625</v>
      </c>
      <c r="D715">
        <v>192.60710144042969</v>
      </c>
      <c r="E715">
        <v>314.20269775390619</v>
      </c>
      <c r="F715">
        <v>85.183181762695313</v>
      </c>
      <c r="G715">
        <v>148.53999328613281</v>
      </c>
      <c r="H715">
        <v>6846.60986328125</v>
      </c>
      <c r="I715">
        <f t="shared" si="31"/>
        <v>2.137118643594664E-2</v>
      </c>
      <c r="J715">
        <f t="shared" si="31"/>
        <v>-1.8585264316006668E-3</v>
      </c>
      <c r="K715">
        <f t="shared" si="31"/>
        <v>2.836104002719804E-2</v>
      </c>
      <c r="L715">
        <f t="shared" si="30"/>
        <v>-4.0158020202239004E-3</v>
      </c>
      <c r="M715">
        <f t="shared" si="30"/>
        <v>1.1611035014291471E-2</v>
      </c>
      <c r="N715">
        <f t="shared" si="30"/>
        <v>2.0678150430550199E-2</v>
      </c>
      <c r="O715">
        <f t="shared" si="30"/>
        <v>2.0731999523923177E-3</v>
      </c>
    </row>
    <row r="716" spans="1:15" x14ac:dyDescent="0.35">
      <c r="A716" s="2">
        <v>45973</v>
      </c>
      <c r="B716">
        <v>273.47000122070313</v>
      </c>
      <c r="C716">
        <v>914</v>
      </c>
      <c r="D716">
        <v>193.16355895996091</v>
      </c>
      <c r="E716">
        <v>318.97119140625</v>
      </c>
      <c r="F716">
        <v>85.312309265136719</v>
      </c>
      <c r="G716">
        <v>148.00999450683591</v>
      </c>
      <c r="H716">
        <v>6850.919921875</v>
      </c>
      <c r="I716">
        <f t="shared" si="31"/>
        <v>-6.4878445071940788E-3</v>
      </c>
      <c r="J716">
        <f t="shared" si="31"/>
        <v>1.5320062787454187E-4</v>
      </c>
      <c r="K716">
        <f t="shared" si="31"/>
        <v>2.8849156381728506E-3</v>
      </c>
      <c r="L716">
        <f t="shared" si="30"/>
        <v>1.5062477746664374E-2</v>
      </c>
      <c r="M716">
        <f t="shared" si="30"/>
        <v>1.5147324583458831E-3</v>
      </c>
      <c r="N716">
        <f t="shared" si="30"/>
        <v>-3.574435106466569E-3</v>
      </c>
      <c r="O716">
        <f t="shared" si="30"/>
        <v>6.2931912594459724E-4</v>
      </c>
    </row>
    <row r="717" spans="1:15" x14ac:dyDescent="0.35">
      <c r="A717" s="2">
        <v>45974</v>
      </c>
      <c r="B717">
        <v>272.95001220703119</v>
      </c>
      <c r="C717">
        <v>925.08001708984375</v>
      </c>
      <c r="D717">
        <v>194.01814270019531</v>
      </c>
      <c r="E717">
        <v>308.09030151367188</v>
      </c>
      <c r="F717">
        <v>83.425086975097656</v>
      </c>
      <c r="G717">
        <v>147.96000671386719</v>
      </c>
      <c r="H717">
        <v>6737.490234375</v>
      </c>
      <c r="I717">
        <f t="shared" si="31"/>
        <v>-1.9032581452387482E-3</v>
      </c>
      <c r="J717">
        <f t="shared" si="31"/>
        <v>1.204966727892999E-2</v>
      </c>
      <c r="K717">
        <f t="shared" si="31"/>
        <v>4.4143879957639492E-3</v>
      </c>
      <c r="L717">
        <f t="shared" si="30"/>
        <v>-3.4707862899974191E-2</v>
      </c>
      <c r="M717">
        <f t="shared" si="30"/>
        <v>-2.2369682465514153E-2</v>
      </c>
      <c r="N717">
        <f t="shared" si="30"/>
        <v>-3.3778959514715179E-4</v>
      </c>
      <c r="O717">
        <f t="shared" si="30"/>
        <v>-1.6695451630927779E-2</v>
      </c>
    </row>
    <row r="718" spans="1:15" x14ac:dyDescent="0.35">
      <c r="A718" s="2">
        <v>45975</v>
      </c>
      <c r="B718">
        <v>272.41000366210938</v>
      </c>
      <c r="C718">
        <v>922.97998046875</v>
      </c>
      <c r="D718">
        <v>194.69384765625</v>
      </c>
      <c r="E718">
        <v>302.24661254882813</v>
      </c>
      <c r="F718">
        <v>83.315826416015625</v>
      </c>
      <c r="G718">
        <v>147.66999816894531</v>
      </c>
      <c r="H718">
        <v>6734.10986328125</v>
      </c>
      <c r="I718">
        <f t="shared" si="31"/>
        <v>-1.9803751859176601E-3</v>
      </c>
      <c r="J718">
        <f t="shared" si="31"/>
        <v>-2.2726940984415535E-3</v>
      </c>
      <c r="K718">
        <f t="shared" si="31"/>
        <v>3.4766390202670499E-3</v>
      </c>
      <c r="L718">
        <f t="shared" si="30"/>
        <v>-1.9149644751391817E-2</v>
      </c>
      <c r="M718">
        <f t="shared" si="30"/>
        <v>-1.3105430754583142E-3</v>
      </c>
      <c r="N718">
        <f t="shared" si="30"/>
        <v>-1.9619702544400332E-3</v>
      </c>
      <c r="O718">
        <f t="shared" si="30"/>
        <v>-5.0185147127177333E-4</v>
      </c>
    </row>
    <row r="719" spans="1:15" x14ac:dyDescent="0.35">
      <c r="A719" s="2">
        <v>45978</v>
      </c>
      <c r="B719">
        <v>267.45999145507813</v>
      </c>
      <c r="C719">
        <v>912.59002685546875</v>
      </c>
      <c r="D719">
        <v>198.32081604003909</v>
      </c>
      <c r="E719">
        <v>299.02117919921881</v>
      </c>
      <c r="F719">
        <v>85.173248291015625</v>
      </c>
      <c r="G719">
        <v>145.82000732421881</v>
      </c>
      <c r="H719">
        <v>6672.41015625</v>
      </c>
      <c r="I719">
        <f t="shared" si="31"/>
        <v>-1.833830726819936E-2</v>
      </c>
      <c r="J719">
        <f t="shared" si="31"/>
        <v>-1.1320804476889906E-2</v>
      </c>
      <c r="K719">
        <f t="shared" si="31"/>
        <v>1.8457689698553298E-2</v>
      </c>
      <c r="L719">
        <f t="shared" si="30"/>
        <v>-1.0728877659732206E-2</v>
      </c>
      <c r="M719">
        <f t="shared" si="30"/>
        <v>2.2048873220519762E-2</v>
      </c>
      <c r="N719">
        <f t="shared" si="30"/>
        <v>-1.2607007479953603E-2</v>
      </c>
      <c r="O719">
        <f t="shared" si="30"/>
        <v>-9.2044978943051584E-3</v>
      </c>
    </row>
    <row r="720" spans="1:15" x14ac:dyDescent="0.35">
      <c r="A720" s="2">
        <v>45979</v>
      </c>
      <c r="B720">
        <v>267.44000244140619</v>
      </c>
      <c r="C720">
        <v>895.08001708984375</v>
      </c>
      <c r="D720">
        <v>198.73817443847659</v>
      </c>
      <c r="E720">
        <v>298.06549072265619</v>
      </c>
      <c r="F720">
        <v>84.070716857910156</v>
      </c>
      <c r="G720">
        <v>146.99000549316409</v>
      </c>
      <c r="H720">
        <v>6617.31982421875</v>
      </c>
      <c r="I720">
        <f t="shared" si="31"/>
        <v>-7.4739255596657382E-5</v>
      </c>
      <c r="J720">
        <f t="shared" si="31"/>
        <v>-1.9373621309585684E-2</v>
      </c>
      <c r="K720">
        <f t="shared" si="31"/>
        <v>2.1022496009598457E-3</v>
      </c>
      <c r="L720">
        <f t="shared" si="30"/>
        <v>-3.2011744385688182E-3</v>
      </c>
      <c r="M720">
        <f t="shared" si="30"/>
        <v>-1.3029085308490281E-2</v>
      </c>
      <c r="N720">
        <f t="shared" si="30"/>
        <v>7.9915600188111367E-3</v>
      </c>
      <c r="O720">
        <f t="shared" si="30"/>
        <v>-8.2907098441693181E-3</v>
      </c>
    </row>
    <row r="721" spans="1:15" x14ac:dyDescent="0.35">
      <c r="A721" s="2">
        <v>45980</v>
      </c>
      <c r="B721">
        <v>268.55999755859381</v>
      </c>
      <c r="C721">
        <v>890.5999755859375</v>
      </c>
      <c r="D721">
        <v>201.2323303222656</v>
      </c>
      <c r="E721">
        <v>301.90814208984381</v>
      </c>
      <c r="F721">
        <v>83.703201293945313</v>
      </c>
      <c r="G721">
        <v>146.99000549316409</v>
      </c>
      <c r="H721">
        <v>6642.16015625</v>
      </c>
      <c r="I721">
        <f t="shared" si="31"/>
        <v>4.1790923404076254E-3</v>
      </c>
      <c r="J721">
        <f t="shared" si="31"/>
        <v>-5.0177533736113951E-3</v>
      </c>
      <c r="K721">
        <f t="shared" si="31"/>
        <v>1.2471860719498323E-2</v>
      </c>
      <c r="L721">
        <f t="shared" si="30"/>
        <v>1.2809575956063992E-2</v>
      </c>
      <c r="M721">
        <f t="shared" si="30"/>
        <v>-4.3810880243147447E-3</v>
      </c>
      <c r="N721">
        <f t="shared" si="30"/>
        <v>0</v>
      </c>
      <c r="O721">
        <f t="shared" si="30"/>
        <v>3.74680773726533E-3</v>
      </c>
    </row>
    <row r="722" spans="1:15" x14ac:dyDescent="0.35">
      <c r="A722" s="2">
        <v>45981</v>
      </c>
      <c r="B722">
        <v>266.25</v>
      </c>
      <c r="C722">
        <v>893.28997802734375</v>
      </c>
      <c r="D722">
        <v>201.78880310058591</v>
      </c>
      <c r="E722">
        <v>297.04013061523438</v>
      </c>
      <c r="F722">
        <v>83.733001708984375</v>
      </c>
      <c r="G722">
        <v>148.19000244140619</v>
      </c>
      <c r="H722">
        <v>6538.759765625</v>
      </c>
      <c r="I722">
        <f t="shared" si="31"/>
        <v>-8.6386265574155754E-3</v>
      </c>
      <c r="J722">
        <f t="shared" si="31"/>
        <v>3.0158861255792564E-3</v>
      </c>
      <c r="K722">
        <f t="shared" si="31"/>
        <v>2.7615084461170354E-3</v>
      </c>
      <c r="L722">
        <f t="shared" si="30"/>
        <v>-1.6255556250375204E-2</v>
      </c>
      <c r="M722">
        <f t="shared" si="30"/>
        <v>3.5596143270402318E-4</v>
      </c>
      <c r="N722">
        <f t="shared" si="30"/>
        <v>8.1306560520235643E-3</v>
      </c>
      <c r="O722">
        <f t="shared" si="30"/>
        <v>-1.5689726116315229E-2</v>
      </c>
    </row>
    <row r="723" spans="1:15" x14ac:dyDescent="0.35">
      <c r="A723" s="2">
        <v>45982</v>
      </c>
      <c r="B723">
        <v>271.489990234375</v>
      </c>
      <c r="C723">
        <v>899.010009765625</v>
      </c>
      <c r="D723">
        <v>202.6135559082031</v>
      </c>
      <c r="E723">
        <v>296.68173217773438</v>
      </c>
      <c r="F723">
        <v>83.480003356933594</v>
      </c>
      <c r="G723">
        <v>150.91999816894531</v>
      </c>
      <c r="H723">
        <v>6602.990234375</v>
      </c>
      <c r="I723">
        <f t="shared" si="31"/>
        <v>1.9489553289023798E-2</v>
      </c>
      <c r="J723">
        <f t="shared" si="31"/>
        <v>6.3829171427904879E-3</v>
      </c>
      <c r="K723">
        <f t="shared" si="31"/>
        <v>4.0788780416926443E-3</v>
      </c>
      <c r="L723">
        <f t="shared" si="30"/>
        <v>-1.2072942011812215E-3</v>
      </c>
      <c r="M723">
        <f t="shared" si="30"/>
        <v>-3.0260630147882668E-3</v>
      </c>
      <c r="N723">
        <f t="shared" si="30"/>
        <v>1.8254632286567065E-2</v>
      </c>
      <c r="O723">
        <f t="shared" si="30"/>
        <v>9.7751030415920686E-3</v>
      </c>
    </row>
    <row r="724" spans="1:15" x14ac:dyDescent="0.35">
      <c r="A724" s="2">
        <v>45985</v>
      </c>
      <c r="B724">
        <v>275.92001342773438</v>
      </c>
      <c r="C724">
        <v>886.1199951171875</v>
      </c>
      <c r="D724">
        <v>204.75</v>
      </c>
      <c r="E724">
        <v>296.66183471679688</v>
      </c>
      <c r="F724">
        <v>84.230003356933594</v>
      </c>
      <c r="G724">
        <v>146.97999572753909</v>
      </c>
      <c r="H724">
        <v>6705.1201171875</v>
      </c>
      <c r="I724">
        <f t="shared" si="31"/>
        <v>1.6185746981243001E-2</v>
      </c>
      <c r="J724">
        <f t="shared" si="31"/>
        <v>-1.444179263877505E-2</v>
      </c>
      <c r="K724">
        <f t="shared" si="31"/>
        <v>1.0489223442226794E-2</v>
      </c>
      <c r="L724">
        <f t="shared" si="30"/>
        <v>-6.7068936296385505E-5</v>
      </c>
      <c r="M724">
        <f t="shared" si="30"/>
        <v>8.9440697602132056E-3</v>
      </c>
      <c r="N724">
        <f t="shared" si="30"/>
        <v>-2.6453388931081873E-2</v>
      </c>
      <c r="O724">
        <f t="shared" si="30"/>
        <v>1.5348818899081837E-2</v>
      </c>
    </row>
    <row r="725" spans="1:15" x14ac:dyDescent="0.35">
      <c r="A725" s="2">
        <v>45986</v>
      </c>
      <c r="B725">
        <v>276.97000122070313</v>
      </c>
      <c r="C725">
        <v>894.33001708984375</v>
      </c>
      <c r="D725">
        <v>206.66999816894531</v>
      </c>
      <c r="E725">
        <v>301.63937377929688</v>
      </c>
      <c r="F725">
        <v>84.830001831054688</v>
      </c>
      <c r="G725">
        <v>148.49000549316409</v>
      </c>
      <c r="H725">
        <v>6765.8798828125</v>
      </c>
      <c r="I725">
        <f t="shared" si="31"/>
        <v>3.7981841864668069E-3</v>
      </c>
      <c r="J725">
        <f t="shared" si="31"/>
        <v>9.2224775844479204E-3</v>
      </c>
      <c r="K725">
        <f t="shared" si="31"/>
        <v>9.3335866802362888E-3</v>
      </c>
      <c r="L725">
        <f t="shared" si="30"/>
        <v>1.6639290825076328E-2</v>
      </c>
      <c r="M725">
        <f t="shared" si="30"/>
        <v>7.0980832229912399E-3</v>
      </c>
      <c r="N725">
        <f t="shared" si="30"/>
        <v>1.0221158869054591E-2</v>
      </c>
      <c r="O725">
        <f t="shared" si="30"/>
        <v>9.0208860008329436E-3</v>
      </c>
    </row>
    <row r="726" spans="1:15" x14ac:dyDescent="0.35">
      <c r="A726" s="2">
        <v>45987</v>
      </c>
      <c r="B726">
        <v>277.54998779296881</v>
      </c>
      <c r="C726">
        <v>908.260009765625</v>
      </c>
      <c r="D726">
        <v>207.55999755859381</v>
      </c>
      <c r="E726">
        <v>306.258544921875</v>
      </c>
      <c r="F726">
        <v>85.540000915527344</v>
      </c>
      <c r="G726">
        <v>148.25</v>
      </c>
      <c r="H726">
        <v>6812.60986328125</v>
      </c>
      <c r="I726">
        <f t="shared" si="31"/>
        <v>2.0918516744238965E-3</v>
      </c>
      <c r="J726">
        <f t="shared" si="31"/>
        <v>1.5455838288541145E-2</v>
      </c>
      <c r="K726">
        <f t="shared" si="31"/>
        <v>4.2971333237119191E-3</v>
      </c>
      <c r="L726">
        <f t="shared" si="30"/>
        <v>1.5197485976364816E-2</v>
      </c>
      <c r="M726">
        <f t="shared" si="30"/>
        <v>8.3348380970444981E-3</v>
      </c>
      <c r="N726">
        <f t="shared" si="30"/>
        <v>-1.6176150236297568E-3</v>
      </c>
      <c r="O726">
        <f t="shared" si="30"/>
        <v>6.882969436149685E-3</v>
      </c>
    </row>
    <row r="727" spans="1:15" x14ac:dyDescent="0.35">
      <c r="A727" s="2">
        <v>45989</v>
      </c>
      <c r="B727">
        <v>278.85000610351563</v>
      </c>
      <c r="C727">
        <v>913.59002685546875</v>
      </c>
      <c r="D727">
        <v>206.91999816894531</v>
      </c>
      <c r="E727">
        <v>311.67410278320313</v>
      </c>
      <c r="F727">
        <v>86.290000915527344</v>
      </c>
      <c r="G727">
        <v>148.1600036621094</v>
      </c>
      <c r="H727">
        <v>6849.08984375</v>
      </c>
      <c r="I727">
        <f t="shared" si="31"/>
        <v>4.6729715689381376E-3</v>
      </c>
      <c r="J727">
        <f t="shared" si="31"/>
        <v>5.8512305509607994E-3</v>
      </c>
      <c r="K727">
        <f t="shared" si="31"/>
        <v>-3.0882064509074286E-3</v>
      </c>
      <c r="L727">
        <f t="shared" si="30"/>
        <v>1.7528436277991024E-2</v>
      </c>
      <c r="M727">
        <f t="shared" si="30"/>
        <v>8.7296136284279631E-3</v>
      </c>
      <c r="N727">
        <f t="shared" si="30"/>
        <v>-6.0724226270480563E-4</v>
      </c>
      <c r="O727">
        <f t="shared" si="30"/>
        <v>5.3404873411373724E-3</v>
      </c>
    </row>
    <row r="728" spans="1:15" x14ac:dyDescent="0.35">
      <c r="A728" s="2">
        <v>45992</v>
      </c>
      <c r="B728">
        <v>283.10000610351563</v>
      </c>
      <c r="C728">
        <v>911.96002197265625</v>
      </c>
      <c r="D728">
        <v>205.3399963378906</v>
      </c>
      <c r="E728">
        <v>307.53280639648438</v>
      </c>
      <c r="F728">
        <v>84.650001525878906</v>
      </c>
      <c r="G728">
        <v>147.44000244140619</v>
      </c>
      <c r="H728">
        <v>6812.6298828125</v>
      </c>
      <c r="I728">
        <f t="shared" si="31"/>
        <v>1.5126188953698135E-2</v>
      </c>
      <c r="J728">
        <f t="shared" si="31"/>
        <v>-1.7857689708684747E-3</v>
      </c>
      <c r="K728">
        <f t="shared" si="31"/>
        <v>-7.6651122497703988E-3</v>
      </c>
      <c r="L728">
        <f t="shared" si="30"/>
        <v>-1.3376330509283146E-2</v>
      </c>
      <c r="M728">
        <f t="shared" si="30"/>
        <v>-1.9188600525221044E-2</v>
      </c>
      <c r="N728">
        <f t="shared" si="30"/>
        <v>-4.8714656949202673E-3</v>
      </c>
      <c r="O728">
        <f t="shared" si="30"/>
        <v>-5.3375487460559663E-3</v>
      </c>
    </row>
    <row r="729" spans="1:15" x14ac:dyDescent="0.35">
      <c r="A729" s="2">
        <v>45993</v>
      </c>
      <c r="B729">
        <v>286.19000244140619</v>
      </c>
      <c r="C729">
        <v>922.030029296875</v>
      </c>
      <c r="D729">
        <v>205.41999816894531</v>
      </c>
      <c r="E729">
        <v>306.49746704101563</v>
      </c>
      <c r="F729">
        <v>84.580001831054688</v>
      </c>
      <c r="G729">
        <v>145.86000061035159</v>
      </c>
      <c r="H729">
        <v>6829.3701171875</v>
      </c>
      <c r="I729">
        <f t="shared" si="31"/>
        <v>1.0855720764224697E-2</v>
      </c>
      <c r="J729">
        <f t="shared" si="31"/>
        <v>1.0981639205291119E-2</v>
      </c>
      <c r="K729">
        <f t="shared" si="31"/>
        <v>3.895307874971683E-4</v>
      </c>
      <c r="L729">
        <f t="shared" si="30"/>
        <v>-3.3722778222359706E-3</v>
      </c>
      <c r="M729">
        <f t="shared" si="30"/>
        <v>-8.2727291175169616E-4</v>
      </c>
      <c r="N729">
        <f t="shared" si="30"/>
        <v>-1.07740681796199E-2</v>
      </c>
      <c r="O729">
        <f t="shared" si="30"/>
        <v>2.4542211959366171E-3</v>
      </c>
    </row>
    <row r="730" spans="1:15" x14ac:dyDescent="0.35">
      <c r="A730" s="2">
        <v>45994</v>
      </c>
      <c r="B730">
        <v>284.14999389648438</v>
      </c>
      <c r="C730">
        <v>922.260009765625</v>
      </c>
      <c r="D730">
        <v>205.33000183105469</v>
      </c>
      <c r="E730">
        <v>310.7283935546875</v>
      </c>
      <c r="F730">
        <v>84.949996948242188</v>
      </c>
      <c r="G730">
        <v>146.71000671386719</v>
      </c>
      <c r="H730">
        <v>6849.72021484375</v>
      </c>
      <c r="I730">
        <f t="shared" si="31"/>
        <v>-7.1536881784300911E-3</v>
      </c>
      <c r="J730">
        <f t="shared" si="31"/>
        <v>2.493972911755103E-4</v>
      </c>
      <c r="K730">
        <f t="shared" si="31"/>
        <v>-4.3820493892020307E-4</v>
      </c>
      <c r="L730">
        <f t="shared" si="30"/>
        <v>1.3709706778662668E-2</v>
      </c>
      <c r="M730">
        <f t="shared" si="30"/>
        <v>4.3649585006427724E-3</v>
      </c>
      <c r="N730">
        <f t="shared" si="30"/>
        <v>5.8106331738080157E-3</v>
      </c>
      <c r="O730">
        <f t="shared" si="30"/>
        <v>2.9753605210852863E-3</v>
      </c>
    </row>
    <row r="731" spans="1:15" x14ac:dyDescent="0.35">
      <c r="A731" s="2">
        <v>45995</v>
      </c>
      <c r="B731">
        <v>280.70001220703119</v>
      </c>
      <c r="C731">
        <v>895.8599853515625</v>
      </c>
      <c r="D731">
        <v>202.47999572753909</v>
      </c>
      <c r="E731">
        <v>314.68057250976563</v>
      </c>
      <c r="F731">
        <v>83.389999389648438</v>
      </c>
      <c r="G731">
        <v>145.36000061035159</v>
      </c>
      <c r="H731">
        <v>6857.1201171875</v>
      </c>
      <c r="I731">
        <f t="shared" si="31"/>
        <v>-1.22157194075668E-2</v>
      </c>
      <c r="J731">
        <f t="shared" si="31"/>
        <v>-2.9043055638323999E-2</v>
      </c>
      <c r="K731">
        <f t="shared" si="31"/>
        <v>-1.3977354748814124E-2</v>
      </c>
      <c r="L731">
        <f t="shared" si="30"/>
        <v>1.263887081838627E-2</v>
      </c>
      <c r="M731">
        <f t="shared" si="30"/>
        <v>-1.8534421414123127E-2</v>
      </c>
      <c r="N731">
        <f t="shared" si="30"/>
        <v>-9.244466627585721E-3</v>
      </c>
      <c r="O731">
        <f t="shared" si="30"/>
        <v>1.0797387119744039E-3</v>
      </c>
    </row>
    <row r="732" spans="1:15" x14ac:dyDescent="0.35">
      <c r="A732" s="2">
        <v>45996</v>
      </c>
      <c r="B732">
        <v>278.77999877929688</v>
      </c>
      <c r="C732">
        <v>894.67999267578125</v>
      </c>
      <c r="D732">
        <v>201.92999267578119</v>
      </c>
      <c r="E732">
        <v>313.62533569335938</v>
      </c>
      <c r="F732">
        <v>83.129997253417969</v>
      </c>
      <c r="G732">
        <v>143.44999694824219</v>
      </c>
      <c r="H732">
        <v>6870.39990234375</v>
      </c>
      <c r="I732">
        <f t="shared" si="31"/>
        <v>-6.8635909326487101E-3</v>
      </c>
      <c r="J732">
        <f t="shared" si="31"/>
        <v>-1.3180301597122057E-3</v>
      </c>
      <c r="K732">
        <f t="shared" si="31"/>
        <v>-2.720028716559306E-3</v>
      </c>
      <c r="L732">
        <f t="shared" si="30"/>
        <v>-3.3589937474761897E-3</v>
      </c>
      <c r="M732">
        <f t="shared" si="30"/>
        <v>-3.1227762762571125E-3</v>
      </c>
      <c r="N732">
        <f t="shared" si="30"/>
        <v>-1.3226907133456164E-2</v>
      </c>
      <c r="O732">
        <f t="shared" si="30"/>
        <v>1.9347688846794776E-3</v>
      </c>
    </row>
    <row r="733" spans="1:15" x14ac:dyDescent="0.35">
      <c r="A733" s="2">
        <v>45999</v>
      </c>
      <c r="B733">
        <v>277.8900146484375</v>
      </c>
      <c r="C733">
        <v>887.52001953125</v>
      </c>
      <c r="D733">
        <v>201.6199951171875</v>
      </c>
      <c r="E733">
        <v>313.7945556640625</v>
      </c>
      <c r="F733">
        <v>80.550003051757813</v>
      </c>
      <c r="G733">
        <v>138.3399963378906</v>
      </c>
      <c r="H733">
        <v>6846.509765625</v>
      </c>
      <c r="I733">
        <f t="shared" si="31"/>
        <v>-3.1975312758841801E-3</v>
      </c>
      <c r="J733">
        <f t="shared" si="31"/>
        <v>-8.0350259421872253E-3</v>
      </c>
      <c r="K733">
        <f t="shared" si="31"/>
        <v>-1.5363530117549424E-3</v>
      </c>
      <c r="L733">
        <f t="shared" si="30"/>
        <v>5.3941539672955731E-4</v>
      </c>
      <c r="M733">
        <f t="shared" si="30"/>
        <v>-3.1527466993909618E-2</v>
      </c>
      <c r="N733">
        <f t="shared" si="30"/>
        <v>-3.6272124452721967E-2</v>
      </c>
      <c r="O733">
        <f t="shared" si="30"/>
        <v>-3.4833153316476935E-3</v>
      </c>
    </row>
    <row r="734" spans="1:15" x14ac:dyDescent="0.35">
      <c r="A734" s="2">
        <v>46000</v>
      </c>
      <c r="B734">
        <v>277.17999267578119</v>
      </c>
      <c r="C734">
        <v>888.44000244140625</v>
      </c>
      <c r="D734">
        <v>199.96000671386719</v>
      </c>
      <c r="E734">
        <v>299.16058349609381</v>
      </c>
      <c r="F734">
        <v>79.639999389648438</v>
      </c>
      <c r="G734">
        <v>139.6300048828125</v>
      </c>
      <c r="H734">
        <v>6840.509765625</v>
      </c>
      <c r="I734">
        <f t="shared" si="31"/>
        <v>-2.5583164305195334E-3</v>
      </c>
      <c r="J734">
        <f t="shared" si="31"/>
        <v>1.0360402048073616E-3</v>
      </c>
      <c r="K734">
        <f t="shared" si="31"/>
        <v>-8.267333286477439E-3</v>
      </c>
      <c r="L734">
        <f t="shared" si="30"/>
        <v>-4.7757992678378332E-2</v>
      </c>
      <c r="M734">
        <f t="shared" si="30"/>
        <v>-1.1361675977372108E-2</v>
      </c>
      <c r="N734">
        <f t="shared" si="30"/>
        <v>9.2817052231206898E-3</v>
      </c>
      <c r="O734">
        <f t="shared" si="30"/>
        <v>-8.7674316101323858E-4</v>
      </c>
    </row>
    <row r="735" spans="1:15" x14ac:dyDescent="0.35">
      <c r="A735" s="2">
        <v>46001</v>
      </c>
      <c r="B735">
        <v>278.77999877929688</v>
      </c>
      <c r="C735">
        <v>874.40997314453125</v>
      </c>
      <c r="D735">
        <v>206.53999328613281</v>
      </c>
      <c r="E735">
        <v>308.71743774414063</v>
      </c>
      <c r="F735">
        <v>81.269996643066406</v>
      </c>
      <c r="G735">
        <v>139.82000732421881</v>
      </c>
      <c r="H735">
        <v>6886.68017578125</v>
      </c>
      <c r="I735">
        <f t="shared" si="31"/>
        <v>5.7558477064036688E-3</v>
      </c>
      <c r="J735">
        <f t="shared" si="31"/>
        <v>-1.5917776020477548E-2</v>
      </c>
      <c r="K735">
        <f t="shared" si="31"/>
        <v>3.237668561545988E-2</v>
      </c>
      <c r="L735">
        <f t="shared" si="30"/>
        <v>3.1445919814279591E-2</v>
      </c>
      <c r="M735">
        <f t="shared" si="30"/>
        <v>2.0260431927060889E-2</v>
      </c>
      <c r="N735">
        <f t="shared" si="30"/>
        <v>1.3598315432814751E-3</v>
      </c>
      <c r="O735">
        <f t="shared" si="30"/>
        <v>6.7268806591399763E-3</v>
      </c>
    </row>
    <row r="736" spans="1:15" x14ac:dyDescent="0.35">
      <c r="A736" s="2">
        <v>46002</v>
      </c>
      <c r="B736">
        <v>278.02999877929688</v>
      </c>
      <c r="C736">
        <v>884.47998046875</v>
      </c>
      <c r="D736">
        <v>210.00999450683591</v>
      </c>
      <c r="E736">
        <v>315.95480346679688</v>
      </c>
      <c r="F736">
        <v>81.209999084472656</v>
      </c>
      <c r="G736">
        <v>140.75999450683591</v>
      </c>
      <c r="H736">
        <v>6901</v>
      </c>
      <c r="I736">
        <f t="shared" si="31"/>
        <v>-2.6939187761114772E-3</v>
      </c>
      <c r="J736">
        <f t="shared" si="31"/>
        <v>1.1450537119211115E-2</v>
      </c>
      <c r="K736">
        <f t="shared" si="31"/>
        <v>1.6661056737777784E-2</v>
      </c>
      <c r="L736">
        <f t="shared" si="30"/>
        <v>2.3172758769688873E-2</v>
      </c>
      <c r="M736">
        <f t="shared" si="30"/>
        <v>-7.3852243843392483E-4</v>
      </c>
      <c r="N736">
        <f t="shared" si="30"/>
        <v>6.7003399613114042E-3</v>
      </c>
      <c r="O736">
        <f t="shared" si="30"/>
        <v>2.0771919837170301E-3</v>
      </c>
    </row>
    <row r="737" spans="1:15" x14ac:dyDescent="0.35">
      <c r="A737" s="2">
        <v>46003</v>
      </c>
      <c r="B737">
        <v>278.27999877929688</v>
      </c>
      <c r="C737">
        <v>884.469970703125</v>
      </c>
      <c r="D737">
        <v>211.58000183105469</v>
      </c>
      <c r="E737">
        <v>317.08969116210938</v>
      </c>
      <c r="F737">
        <v>81.650001525878906</v>
      </c>
      <c r="G737">
        <v>142.8399963378906</v>
      </c>
      <c r="H737">
        <v>6827.41015625</v>
      </c>
      <c r="I737">
        <f t="shared" si="31"/>
        <v>8.9877952194417749E-4</v>
      </c>
      <c r="J737">
        <f t="shared" si="31"/>
        <v>-1.1317183528508968E-5</v>
      </c>
      <c r="K737">
        <f t="shared" si="31"/>
        <v>7.4480637381660296E-3</v>
      </c>
      <c r="L737">
        <f t="shared" si="30"/>
        <v>3.5854949241731376E-3</v>
      </c>
      <c r="M737">
        <f t="shared" si="30"/>
        <v>5.4034570837787838E-3</v>
      </c>
      <c r="N737">
        <f t="shared" si="30"/>
        <v>1.4668823660057541E-2</v>
      </c>
      <c r="O737">
        <f t="shared" si="30"/>
        <v>-1.0720913458554537E-2</v>
      </c>
    </row>
    <row r="738" spans="1:15" x14ac:dyDescent="0.35">
      <c r="A738" s="2">
        <v>46006</v>
      </c>
      <c r="B738">
        <v>274.1099853515625</v>
      </c>
      <c r="C738">
        <v>860.55999755859375</v>
      </c>
      <c r="D738">
        <v>214.16999816894531</v>
      </c>
      <c r="E738">
        <v>318.58294677734381</v>
      </c>
      <c r="F738">
        <v>81.650001525878906</v>
      </c>
      <c r="G738">
        <v>145.1300048828125</v>
      </c>
      <c r="H738">
        <v>6816.509765625</v>
      </c>
      <c r="I738">
        <f t="shared" si="31"/>
        <v>-1.5098364430199547E-2</v>
      </c>
      <c r="J738">
        <f t="shared" si="31"/>
        <v>-2.7405225146730147E-2</v>
      </c>
      <c r="K738">
        <f t="shared" si="31"/>
        <v>1.2166897420116153E-2</v>
      </c>
      <c r="L738">
        <f t="shared" si="30"/>
        <v>4.6981992706265638E-3</v>
      </c>
      <c r="M738">
        <f t="shared" si="30"/>
        <v>0</v>
      </c>
      <c r="N738">
        <f t="shared" si="30"/>
        <v>1.5904829038270851E-2</v>
      </c>
      <c r="O738">
        <f t="shared" si="30"/>
        <v>-1.5978388918367072E-3</v>
      </c>
    </row>
    <row r="739" spans="1:15" x14ac:dyDescent="0.35">
      <c r="A739" s="2">
        <v>46007</v>
      </c>
      <c r="B739">
        <v>274.6099853515625</v>
      </c>
      <c r="C739">
        <v>860.3900146484375</v>
      </c>
      <c r="D739">
        <v>209.30000305175781</v>
      </c>
      <c r="E739">
        <v>314.13302612304688</v>
      </c>
      <c r="F739">
        <v>81.319999694824219</v>
      </c>
      <c r="G739">
        <v>145.21000671386719</v>
      </c>
      <c r="H739">
        <v>6800.259765625</v>
      </c>
      <c r="I739">
        <f t="shared" si="31"/>
        <v>1.8224236954371396E-3</v>
      </c>
      <c r="J739">
        <f t="shared" si="31"/>
        <v>-1.9754543653605655E-4</v>
      </c>
      <c r="K739">
        <f t="shared" si="31"/>
        <v>-2.3001439600203594E-2</v>
      </c>
      <c r="L739">
        <f t="shared" si="30"/>
        <v>-1.4066324281271065E-2</v>
      </c>
      <c r="M739">
        <f t="shared" si="30"/>
        <v>-4.0498530971498983E-3</v>
      </c>
      <c r="N739">
        <f t="shared" si="30"/>
        <v>5.5109065153962158E-4</v>
      </c>
      <c r="O739">
        <f t="shared" si="30"/>
        <v>-2.38676400843967E-3</v>
      </c>
    </row>
    <row r="740" spans="1:15" x14ac:dyDescent="0.35">
      <c r="A740" s="2">
        <v>46008</v>
      </c>
      <c r="B740">
        <v>271.83999633789063</v>
      </c>
      <c r="C740">
        <v>862.6500244140625</v>
      </c>
      <c r="D740">
        <v>210.33000183105469</v>
      </c>
      <c r="E740">
        <v>313.56558227539063</v>
      </c>
      <c r="F740">
        <v>80.290000915527344</v>
      </c>
      <c r="G740">
        <v>147.80999755859381</v>
      </c>
      <c r="H740">
        <v>6721.43017578125</v>
      </c>
      <c r="I740">
        <f t="shared" si="31"/>
        <v>-1.0138211482018081E-2</v>
      </c>
      <c r="J740">
        <f t="shared" si="31"/>
        <v>2.623283278893036E-3</v>
      </c>
      <c r="K740">
        <f t="shared" si="31"/>
        <v>4.9090905598771469E-3</v>
      </c>
      <c r="L740">
        <f t="shared" si="30"/>
        <v>-1.8080142114102399E-3</v>
      </c>
      <c r="M740">
        <f t="shared" si="30"/>
        <v>-1.2746893408020064E-2</v>
      </c>
      <c r="N740">
        <f t="shared" si="30"/>
        <v>1.7746631928573571E-2</v>
      </c>
      <c r="O740">
        <f t="shared" si="30"/>
        <v>-1.165985661137129E-2</v>
      </c>
    </row>
    <row r="741" spans="1:15" x14ac:dyDescent="0.35">
      <c r="A741" s="2">
        <v>46009</v>
      </c>
      <c r="B741">
        <v>272.19000244140619</v>
      </c>
      <c r="C741">
        <v>857.59002685546875</v>
      </c>
      <c r="D741">
        <v>208.30999755859381</v>
      </c>
      <c r="E741">
        <v>311.594482421875</v>
      </c>
      <c r="F741">
        <v>80.849998474121094</v>
      </c>
      <c r="G741">
        <v>145.52000427246091</v>
      </c>
      <c r="H741">
        <v>6774.759765625</v>
      </c>
      <c r="I741">
        <f t="shared" si="31"/>
        <v>1.2867163670798581E-3</v>
      </c>
      <c r="J741">
        <f t="shared" si="31"/>
        <v>-5.8829140132734261E-3</v>
      </c>
      <c r="K741">
        <f t="shared" si="31"/>
        <v>-9.6503915168527268E-3</v>
      </c>
      <c r="L741">
        <f t="shared" si="30"/>
        <v>-6.3059254629388578E-3</v>
      </c>
      <c r="M741">
        <f t="shared" si="30"/>
        <v>6.9504755508052948E-3</v>
      </c>
      <c r="N741">
        <f t="shared" si="30"/>
        <v>-1.5614085136965824E-2</v>
      </c>
      <c r="O741">
        <f t="shared" si="30"/>
        <v>7.9029515204791564E-3</v>
      </c>
    </row>
    <row r="742" spans="1:15" x14ac:dyDescent="0.35">
      <c r="A742" s="2">
        <v>46010</v>
      </c>
      <c r="B742">
        <v>273.67001342773438</v>
      </c>
      <c r="C742">
        <v>855.6199951171875</v>
      </c>
      <c r="D742">
        <v>206.3699951171875</v>
      </c>
      <c r="E742">
        <v>315.78555297851563</v>
      </c>
      <c r="F742">
        <v>79.540000915527344</v>
      </c>
      <c r="G742">
        <v>144.46000671386719</v>
      </c>
      <c r="H742">
        <v>6834.5</v>
      </c>
      <c r="I742">
        <f t="shared" si="31"/>
        <v>5.4226892243878742E-3</v>
      </c>
      <c r="J742">
        <f t="shared" si="31"/>
        <v>-2.2998144784705035E-3</v>
      </c>
      <c r="K742">
        <f t="shared" si="31"/>
        <v>-9.3566925302051625E-3</v>
      </c>
      <c r="L742">
        <f t="shared" si="31"/>
        <v>1.336074680569683E-2</v>
      </c>
      <c r="M742">
        <f t="shared" si="31"/>
        <v>-1.633551586033416E-2</v>
      </c>
      <c r="N742">
        <f t="shared" si="31"/>
        <v>-7.3108644715095599E-3</v>
      </c>
      <c r="O742">
        <f t="shared" si="31"/>
        <v>8.7794074218288717E-3</v>
      </c>
    </row>
    <row r="743" spans="1:15" x14ac:dyDescent="0.35">
      <c r="A743" s="2">
        <v>46013</v>
      </c>
      <c r="B743">
        <v>270.97000122070313</v>
      </c>
      <c r="C743">
        <v>850</v>
      </c>
      <c r="D743">
        <v>207.32000732421881</v>
      </c>
      <c r="E743">
        <v>321.63916015625</v>
      </c>
      <c r="F743">
        <v>80.040000915527344</v>
      </c>
      <c r="G743">
        <v>142.69000244140619</v>
      </c>
      <c r="H743">
        <v>6878.490234375</v>
      </c>
      <c r="I743">
        <f t="shared" ref="I743:O755" si="32">LN(B743/B742)</f>
        <v>-9.9149318937192376E-3</v>
      </c>
      <c r="J743">
        <f t="shared" si="32"/>
        <v>-6.589997153003911E-3</v>
      </c>
      <c r="K743">
        <f t="shared" si="32"/>
        <v>4.5928781040353618E-3</v>
      </c>
      <c r="L743">
        <f t="shared" si="32"/>
        <v>1.8366943148216172E-2</v>
      </c>
      <c r="M743">
        <f t="shared" si="32"/>
        <v>6.2664698640848646E-3</v>
      </c>
      <c r="N743">
        <f t="shared" si="32"/>
        <v>-1.2328237045968011E-2</v>
      </c>
      <c r="O743">
        <f t="shared" si="32"/>
        <v>6.4158705755619364E-3</v>
      </c>
    </row>
    <row r="744" spans="1:15" x14ac:dyDescent="0.35">
      <c r="A744" s="2">
        <v>46014</v>
      </c>
      <c r="B744">
        <v>272.3599853515625</v>
      </c>
      <c r="C744">
        <v>854.78997802734375</v>
      </c>
      <c r="D744">
        <v>205.7799987792969</v>
      </c>
      <c r="E744">
        <v>324.46640014648438</v>
      </c>
      <c r="F744">
        <v>79.790000915527344</v>
      </c>
      <c r="G744">
        <v>143.17999267578119</v>
      </c>
      <c r="H744">
        <v>6909.7900390625</v>
      </c>
      <c r="I744">
        <f t="shared" si="32"/>
        <v>5.1165486815904363E-3</v>
      </c>
      <c r="J744">
        <f t="shared" si="32"/>
        <v>5.6194495439162188E-3</v>
      </c>
      <c r="K744">
        <f t="shared" si="32"/>
        <v>-7.4558976340054943E-3</v>
      </c>
      <c r="L744">
        <f t="shared" si="32"/>
        <v>8.7516907739925154E-3</v>
      </c>
      <c r="M744">
        <f t="shared" si="32"/>
        <v>-3.1283263595040757E-3</v>
      </c>
      <c r="N744">
        <f t="shared" si="32"/>
        <v>3.4280667617682908E-3</v>
      </c>
      <c r="O744">
        <f t="shared" si="32"/>
        <v>4.5400670467882079E-3</v>
      </c>
    </row>
    <row r="745" spans="1:15" x14ac:dyDescent="0.35">
      <c r="A745" s="2">
        <v>46015</v>
      </c>
      <c r="B745">
        <v>273.80999755859381</v>
      </c>
      <c r="C745">
        <v>871.8599853515625</v>
      </c>
      <c r="D745">
        <v>207.7799987792969</v>
      </c>
      <c r="E745">
        <v>327.69186401367188</v>
      </c>
      <c r="F745">
        <v>80.449996948242188</v>
      </c>
      <c r="G745">
        <v>144.49000549316409</v>
      </c>
      <c r="H745">
        <v>6932.0498046875</v>
      </c>
      <c r="I745">
        <f t="shared" si="32"/>
        <v>5.3097594490723017E-3</v>
      </c>
      <c r="J745">
        <f t="shared" si="32"/>
        <v>1.9773044731016678E-2</v>
      </c>
      <c r="K745">
        <f t="shared" si="32"/>
        <v>9.6721907518210661E-3</v>
      </c>
      <c r="L745">
        <f t="shared" si="32"/>
        <v>9.8917405312216322E-3</v>
      </c>
      <c r="M745">
        <f t="shared" si="32"/>
        <v>8.2376407103941021E-3</v>
      </c>
      <c r="N745">
        <f t="shared" si="32"/>
        <v>9.1078102090126224E-3</v>
      </c>
      <c r="O745">
        <f t="shared" si="32"/>
        <v>3.2163043447007082E-3</v>
      </c>
    </row>
    <row r="746" spans="1:15" x14ac:dyDescent="0.35">
      <c r="A746" s="2">
        <v>46017</v>
      </c>
      <c r="B746">
        <v>273.39999389648438</v>
      </c>
      <c r="C746">
        <v>873.3499755859375</v>
      </c>
      <c r="D746">
        <v>207.6300048828125</v>
      </c>
      <c r="E746">
        <v>326.43753051757813</v>
      </c>
      <c r="F746">
        <v>80.410003662109375</v>
      </c>
      <c r="G746">
        <v>144.74000549316409</v>
      </c>
      <c r="H746">
        <v>6929.93994140625</v>
      </c>
      <c r="I746">
        <f t="shared" si="32"/>
        <v>-1.4985243151123258E-3</v>
      </c>
      <c r="J746">
        <f t="shared" si="32"/>
        <v>1.7075201606066182E-3</v>
      </c>
      <c r="K746">
        <f t="shared" si="32"/>
        <v>-7.2214872863231576E-4</v>
      </c>
      <c r="L746">
        <f t="shared" si="32"/>
        <v>-3.8351281688196954E-3</v>
      </c>
      <c r="M746">
        <f t="shared" si="32"/>
        <v>-4.9724340177911917E-4</v>
      </c>
      <c r="N746">
        <f t="shared" si="32"/>
        <v>1.7287283667963712E-3</v>
      </c>
      <c r="O746">
        <f t="shared" si="32"/>
        <v>-3.0440987710828846E-4</v>
      </c>
    </row>
    <row r="747" spans="1:15" x14ac:dyDescent="0.35">
      <c r="A747" s="2">
        <v>46020</v>
      </c>
      <c r="B747">
        <v>273.760009765625</v>
      </c>
      <c r="C747">
        <v>867.84002685546875</v>
      </c>
      <c r="D747">
        <v>207.55999755859381</v>
      </c>
      <c r="E747">
        <v>322.29620361328119</v>
      </c>
      <c r="F747">
        <v>80.269996643066406</v>
      </c>
      <c r="G747">
        <v>144.57000732421881</v>
      </c>
      <c r="H747">
        <v>6905.740234375</v>
      </c>
      <c r="I747">
        <f t="shared" si="32"/>
        <v>1.3159438507369832E-3</v>
      </c>
      <c r="J747">
        <f t="shared" si="32"/>
        <v>-6.3289671027963491E-3</v>
      </c>
      <c r="K747">
        <f t="shared" si="32"/>
        <v>-3.3723030164739743E-4</v>
      </c>
      <c r="L747">
        <f t="shared" si="32"/>
        <v>-1.2767589977834627E-2</v>
      </c>
      <c r="M747">
        <f t="shared" si="32"/>
        <v>-1.7426817800571552E-3</v>
      </c>
      <c r="N747">
        <f t="shared" si="32"/>
        <v>-1.1751974074800703E-3</v>
      </c>
      <c r="O747">
        <f t="shared" si="32"/>
        <v>-3.498162923937312E-3</v>
      </c>
    </row>
    <row r="748" spans="1:15" x14ac:dyDescent="0.35">
      <c r="A748" s="2">
        <v>46021</v>
      </c>
      <c r="B748">
        <v>273.07998657226563</v>
      </c>
      <c r="C748">
        <v>865.6500244140625</v>
      </c>
      <c r="D748">
        <v>206.9100036621094</v>
      </c>
      <c r="E748">
        <v>321.96771240234381</v>
      </c>
      <c r="F748">
        <v>80.529998779296875</v>
      </c>
      <c r="G748">
        <v>144.05000305175781</v>
      </c>
      <c r="H748">
        <v>6896.240234375</v>
      </c>
      <c r="I748">
        <f t="shared" si="32"/>
        <v>-2.4871024374482713E-3</v>
      </c>
      <c r="J748">
        <f t="shared" si="32"/>
        <v>-2.5266987888639342E-3</v>
      </c>
      <c r="K748">
        <f t="shared" si="32"/>
        <v>-3.1365089267725924E-3</v>
      </c>
      <c r="L748">
        <f t="shared" si="32"/>
        <v>-1.0197412309993321E-3</v>
      </c>
      <c r="M748">
        <f t="shared" si="32"/>
        <v>3.2338603261295638E-3</v>
      </c>
      <c r="N748">
        <f t="shared" si="32"/>
        <v>-3.6033872664990741E-3</v>
      </c>
      <c r="O748">
        <f t="shared" si="32"/>
        <v>-1.3766142506534472E-3</v>
      </c>
    </row>
    <row r="749" spans="1:15" x14ac:dyDescent="0.35">
      <c r="A749" s="2">
        <v>46022</v>
      </c>
      <c r="B749">
        <v>271.8599853515625</v>
      </c>
      <c r="C749">
        <v>862.34002685546875</v>
      </c>
      <c r="D749">
        <v>206.94999694824219</v>
      </c>
      <c r="E749">
        <v>320.7730712890625</v>
      </c>
      <c r="F749">
        <v>80.279998779296875</v>
      </c>
      <c r="G749">
        <v>143.30999755859381</v>
      </c>
      <c r="H749">
        <v>6845.5</v>
      </c>
      <c r="I749">
        <f t="shared" si="32"/>
        <v>-4.477569353830084E-3</v>
      </c>
      <c r="J749">
        <f t="shared" si="32"/>
        <v>-3.8310424351487263E-3</v>
      </c>
      <c r="K749">
        <f t="shared" si="32"/>
        <v>1.9326963803357759E-4</v>
      </c>
      <c r="L749">
        <f t="shared" si="32"/>
        <v>-3.7173383711838382E-3</v>
      </c>
      <c r="M749">
        <f t="shared" si="32"/>
        <v>-3.1092619265207905E-3</v>
      </c>
      <c r="N749">
        <f t="shared" si="32"/>
        <v>-5.150383681803478E-3</v>
      </c>
      <c r="O749">
        <f t="shared" si="32"/>
        <v>-7.3848674342488147E-3</v>
      </c>
    </row>
    <row r="750" spans="1:15" x14ac:dyDescent="0.35">
      <c r="A750" s="2">
        <v>46024</v>
      </c>
      <c r="B750">
        <v>271.010009765625</v>
      </c>
      <c r="C750">
        <v>854.5</v>
      </c>
      <c r="D750">
        <v>207.3500061035156</v>
      </c>
      <c r="E750">
        <v>324.0184326171875</v>
      </c>
      <c r="F750">
        <v>80.930000305175781</v>
      </c>
      <c r="G750">
        <v>141.78999328613281</v>
      </c>
      <c r="H750">
        <v>6858.47021484375</v>
      </c>
      <c r="I750">
        <f t="shared" si="32"/>
        <v>-3.1314174227282093E-3</v>
      </c>
      <c r="J750">
        <f t="shared" si="32"/>
        <v>-9.1331530374469568E-3</v>
      </c>
      <c r="K750">
        <f t="shared" si="32"/>
        <v>1.9310126798137276E-3</v>
      </c>
      <c r="L750">
        <f t="shared" si="32"/>
        <v>1.0066474864661555E-2</v>
      </c>
      <c r="M750">
        <f t="shared" si="32"/>
        <v>8.0640785559038183E-3</v>
      </c>
      <c r="N750">
        <f t="shared" si="32"/>
        <v>-1.066305663545552E-2</v>
      </c>
      <c r="O750">
        <f t="shared" si="32"/>
        <v>1.8929140261155547E-3</v>
      </c>
    </row>
    <row r="751" spans="1:15" x14ac:dyDescent="0.35">
      <c r="A751" s="2">
        <v>46027</v>
      </c>
      <c r="B751">
        <v>267.260009765625</v>
      </c>
      <c r="C751">
        <v>875.739990234375</v>
      </c>
      <c r="D751">
        <v>204.30999755859381</v>
      </c>
      <c r="E751">
        <v>332.54000854492188</v>
      </c>
      <c r="F751">
        <v>81.319999694824219</v>
      </c>
      <c r="G751">
        <v>140.3699951171875</v>
      </c>
      <c r="H751">
        <v>6902.0498046875</v>
      </c>
      <c r="I751">
        <f t="shared" si="32"/>
        <v>-1.3933752709382118E-2</v>
      </c>
      <c r="J751">
        <f t="shared" si="32"/>
        <v>2.455272952157269E-2</v>
      </c>
      <c r="K751">
        <f t="shared" si="32"/>
        <v>-1.4769779826000091E-2</v>
      </c>
      <c r="L751">
        <f t="shared" si="32"/>
        <v>2.5959774340256911E-2</v>
      </c>
      <c r="M751">
        <f t="shared" si="32"/>
        <v>4.8073977288979408E-3</v>
      </c>
      <c r="N751">
        <f t="shared" si="32"/>
        <v>-1.0065283637750411E-2</v>
      </c>
      <c r="O751">
        <f t="shared" si="32"/>
        <v>6.3340245110515819E-3</v>
      </c>
    </row>
    <row r="752" spans="1:15" x14ac:dyDescent="0.35">
      <c r="A752" s="2">
        <v>46028</v>
      </c>
      <c r="B752">
        <v>262.3599853515625</v>
      </c>
      <c r="C752">
        <v>889.0999755859375</v>
      </c>
      <c r="D752">
        <v>204.78999328613281</v>
      </c>
      <c r="E752">
        <v>334.6099853515625</v>
      </c>
      <c r="F752">
        <v>81.050003051757813</v>
      </c>
      <c r="G752">
        <v>139.9100036621094</v>
      </c>
      <c r="H752">
        <v>6944.81982421875</v>
      </c>
      <c r="I752">
        <f t="shared" si="32"/>
        <v>-1.8504453300522909E-2</v>
      </c>
      <c r="J752">
        <f t="shared" si="32"/>
        <v>1.5140455590575847E-2</v>
      </c>
      <c r="K752">
        <f t="shared" si="32"/>
        <v>2.3465947618633875E-3</v>
      </c>
      <c r="L752">
        <f t="shared" si="32"/>
        <v>6.2054514518930454E-3</v>
      </c>
      <c r="M752">
        <f t="shared" si="32"/>
        <v>-3.3256991729050472E-3</v>
      </c>
      <c r="N752">
        <f t="shared" si="32"/>
        <v>-3.2823738409893739E-3</v>
      </c>
      <c r="O752">
        <f t="shared" si="32"/>
        <v>6.1775920038938375E-3</v>
      </c>
    </row>
    <row r="753" spans="1:15" x14ac:dyDescent="0.35">
      <c r="A753" s="2">
        <v>46029</v>
      </c>
      <c r="B753">
        <v>260.32998657226563</v>
      </c>
      <c r="C753">
        <v>882.58001708984375</v>
      </c>
      <c r="D753">
        <v>207.49000549316409</v>
      </c>
      <c r="E753">
        <v>326.989990234375</v>
      </c>
      <c r="F753">
        <v>78.370002746582031</v>
      </c>
      <c r="G753">
        <v>138.03999328613281</v>
      </c>
      <c r="H753">
        <v>6920.93017578125</v>
      </c>
      <c r="I753">
        <f t="shared" si="32"/>
        <v>-7.7675451795589856E-3</v>
      </c>
      <c r="J753">
        <f t="shared" si="32"/>
        <v>-7.3602320473664194E-3</v>
      </c>
      <c r="K753">
        <f t="shared" si="32"/>
        <v>1.309814114865014E-2</v>
      </c>
      <c r="L753">
        <f t="shared" si="32"/>
        <v>-2.3036071235369937E-2</v>
      </c>
      <c r="M753">
        <f t="shared" si="32"/>
        <v>-3.3625049723347025E-2</v>
      </c>
      <c r="N753">
        <f t="shared" si="32"/>
        <v>-1.3455935327257449E-2</v>
      </c>
      <c r="O753">
        <f t="shared" si="32"/>
        <v>-3.4458535710101927E-3</v>
      </c>
    </row>
    <row r="754" spans="1:15" x14ac:dyDescent="0.35">
      <c r="A754" s="2">
        <v>46030</v>
      </c>
      <c r="B754">
        <v>259.04000854492188</v>
      </c>
      <c r="C754">
        <v>915.30999755859375</v>
      </c>
      <c r="D754">
        <v>205.75</v>
      </c>
      <c r="E754">
        <v>329.79000854492188</v>
      </c>
      <c r="F754">
        <v>79.489997863769531</v>
      </c>
      <c r="G754">
        <v>141.5299987792969</v>
      </c>
      <c r="H754">
        <v>6921.4599609375</v>
      </c>
      <c r="I754">
        <f t="shared" si="32"/>
        <v>-4.9674824964186315E-3</v>
      </c>
      <c r="J754">
        <f t="shared" si="32"/>
        <v>3.6413347422981301E-2</v>
      </c>
      <c r="K754">
        <f t="shared" si="32"/>
        <v>-8.4213326555360665E-3</v>
      </c>
      <c r="L754">
        <f t="shared" si="32"/>
        <v>8.5265546443945971E-3</v>
      </c>
      <c r="M754">
        <f t="shared" si="32"/>
        <v>1.4189964599699741E-2</v>
      </c>
      <c r="N754">
        <f t="shared" si="32"/>
        <v>2.4968250528011535E-2</v>
      </c>
      <c r="O754">
        <f t="shared" si="32"/>
        <v>7.6545329422946027E-5</v>
      </c>
    </row>
    <row r="755" spans="1:15" x14ac:dyDescent="0.35">
      <c r="A755" s="2">
        <v>46031</v>
      </c>
      <c r="B755">
        <v>259.3699951171875</v>
      </c>
      <c r="C755">
        <v>924.8800048828125</v>
      </c>
      <c r="D755">
        <v>204.38999938964841</v>
      </c>
      <c r="E755">
        <v>329.19000244140619</v>
      </c>
      <c r="F755">
        <v>79.889999389648438</v>
      </c>
      <c r="G755">
        <v>141.8699951171875</v>
      </c>
      <c r="H755">
        <v>6966.27978515625</v>
      </c>
      <c r="I755">
        <f t="shared" si="32"/>
        <v>1.2730719488525312E-3</v>
      </c>
      <c r="J755">
        <f t="shared" si="32"/>
        <v>1.0401201603058104E-2</v>
      </c>
      <c r="K755">
        <f t="shared" si="32"/>
        <v>-6.63190908970331E-3</v>
      </c>
      <c r="L755">
        <f t="shared" si="32"/>
        <v>-1.8210150818508334E-3</v>
      </c>
      <c r="M755">
        <f t="shared" si="32"/>
        <v>5.0194801432340876E-3</v>
      </c>
      <c r="N755">
        <f t="shared" si="32"/>
        <v>2.3994107856818627E-3</v>
      </c>
      <c r="O755">
        <f t="shared" si="32"/>
        <v>6.4546111383210376E-3</v>
      </c>
    </row>
  </sheetData>
  <mergeCells count="11">
    <mergeCell ref="AB75:AE75"/>
    <mergeCell ref="B1:H1"/>
    <mergeCell ref="I1:O1"/>
    <mergeCell ref="AB1:AI1"/>
    <mergeCell ref="AL1:AS1"/>
    <mergeCell ref="AB11:AI11"/>
    <mergeCell ref="Z23:Z37"/>
    <mergeCell ref="Z45:Z59"/>
    <mergeCell ref="AB64:AH64"/>
    <mergeCell ref="V22:W24"/>
    <mergeCell ref="X22:X24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DB563-2431-4788-BA94-C1A0322BCA6D}">
  <dimension ref="A1:BB755"/>
  <sheetViews>
    <sheetView topLeftCell="Y14" zoomScale="67" zoomScaleNormal="80" workbookViewId="0">
      <selection activeCell="AL35" sqref="AL35:AP36"/>
    </sheetView>
  </sheetViews>
  <sheetFormatPr defaultRowHeight="14.5" x14ac:dyDescent="0.35"/>
  <cols>
    <col min="1" max="1" width="17.90625" bestFit="1" customWidth="1"/>
    <col min="2" max="9" width="8.81640625" bestFit="1" customWidth="1"/>
    <col min="10" max="10" width="12.453125" bestFit="1" customWidth="1"/>
    <col min="11" max="14" width="8.81640625" bestFit="1" customWidth="1"/>
    <col min="15" max="15" width="8.90625" bestFit="1" customWidth="1"/>
    <col min="16" max="16" width="8.81640625" bestFit="1" customWidth="1"/>
    <col min="18" max="18" width="13" bestFit="1" customWidth="1"/>
    <col min="19" max="19" width="11.81640625" bestFit="1" customWidth="1"/>
    <col min="20" max="22" width="11.90625" bestFit="1" customWidth="1"/>
    <col min="23" max="24" width="12" bestFit="1" customWidth="1"/>
    <col min="25" max="25" width="8.90625" bestFit="1" customWidth="1"/>
    <col min="28" max="28" width="15.453125" bestFit="1" customWidth="1"/>
    <col min="29" max="29" width="12.36328125" bestFit="1" customWidth="1"/>
    <col min="30" max="35" width="12.1796875" bestFit="1" customWidth="1"/>
    <col min="38" max="38" width="15.1796875" bestFit="1" customWidth="1"/>
    <col min="39" max="44" width="11.81640625" bestFit="1" customWidth="1"/>
    <col min="45" max="45" width="8.81640625" bestFit="1" customWidth="1"/>
    <col min="47" max="47" width="11.6328125" customWidth="1"/>
    <col min="50" max="50" width="9.6328125" bestFit="1" customWidth="1"/>
    <col min="51" max="51" width="13.08984375" bestFit="1" customWidth="1"/>
    <col min="52" max="52" width="13.7265625" bestFit="1" customWidth="1"/>
    <col min="53" max="53" width="15.1796875" bestFit="1" customWidth="1"/>
  </cols>
  <sheetData>
    <row r="1" spans="1:45" ht="15" thickBot="1" x14ac:dyDescent="0.4">
      <c r="B1" s="54" t="s">
        <v>8</v>
      </c>
      <c r="C1" s="54"/>
      <c r="D1" s="54"/>
      <c r="E1" s="54"/>
      <c r="F1" s="54"/>
      <c r="G1" s="54"/>
      <c r="H1" s="54"/>
      <c r="I1" s="54" t="s">
        <v>9</v>
      </c>
      <c r="J1" s="54"/>
      <c r="K1" s="54"/>
      <c r="L1" s="54"/>
      <c r="M1" s="54"/>
      <c r="N1" s="54"/>
      <c r="O1" s="54"/>
      <c r="AB1" s="53" t="s">
        <v>14</v>
      </c>
      <c r="AC1" s="53"/>
      <c r="AD1" s="53"/>
      <c r="AE1" s="53"/>
      <c r="AF1" s="53"/>
      <c r="AG1" s="53"/>
      <c r="AH1" s="53"/>
      <c r="AI1" s="53"/>
      <c r="AL1" s="53" t="s">
        <v>16</v>
      </c>
      <c r="AM1" s="53"/>
      <c r="AN1" s="53"/>
      <c r="AO1" s="53"/>
      <c r="AP1" s="53"/>
      <c r="AQ1" s="53"/>
      <c r="AR1" s="53"/>
      <c r="AS1" s="53"/>
    </row>
    <row r="2" spans="1:4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</v>
      </c>
      <c r="J2" s="1" t="s">
        <v>2</v>
      </c>
      <c r="K2" s="1" t="s">
        <v>3</v>
      </c>
      <c r="L2" s="1" t="s">
        <v>4</v>
      </c>
      <c r="M2" s="1" t="s">
        <v>5</v>
      </c>
      <c r="N2" s="1" t="s">
        <v>6</v>
      </c>
      <c r="O2" s="1" t="s">
        <v>7</v>
      </c>
      <c r="S2" s="1" t="s">
        <v>1</v>
      </c>
      <c r="T2" s="1" t="s">
        <v>2</v>
      </c>
      <c r="U2" s="1" t="s">
        <v>3</v>
      </c>
      <c r="V2" s="1" t="s">
        <v>4</v>
      </c>
      <c r="W2" s="1" t="s">
        <v>5</v>
      </c>
      <c r="X2" s="1" t="s">
        <v>6</v>
      </c>
      <c r="Y2" s="1" t="s">
        <v>7</v>
      </c>
      <c r="AB2" s="4"/>
      <c r="AC2" s="4" t="s">
        <v>1</v>
      </c>
      <c r="AD2" s="4" t="s">
        <v>2</v>
      </c>
      <c r="AE2" s="4" t="s">
        <v>3</v>
      </c>
      <c r="AF2" s="4" t="s">
        <v>4</v>
      </c>
      <c r="AG2" s="4" t="s">
        <v>5</v>
      </c>
      <c r="AH2" s="4" t="s">
        <v>6</v>
      </c>
      <c r="AI2" s="4" t="s">
        <v>7</v>
      </c>
      <c r="AL2" s="4"/>
      <c r="AM2" s="4" t="s">
        <v>1</v>
      </c>
      <c r="AN2" s="4" t="s">
        <v>2</v>
      </c>
      <c r="AO2" s="4" t="s">
        <v>3</v>
      </c>
      <c r="AP2" s="4" t="s">
        <v>4</v>
      </c>
      <c r="AQ2" s="4" t="s">
        <v>5</v>
      </c>
      <c r="AR2" s="4" t="s">
        <v>6</v>
      </c>
      <c r="AS2" s="4" t="s">
        <v>7</v>
      </c>
    </row>
    <row r="3" spans="1:45" x14ac:dyDescent="0.35">
      <c r="A3" s="2">
        <v>44936</v>
      </c>
      <c r="B3">
        <v>128.78706359863281</v>
      </c>
      <c r="C3">
        <v>462.03518676757813</v>
      </c>
      <c r="D3">
        <v>159.89002990722659</v>
      </c>
      <c r="E3">
        <v>129.09278869628909</v>
      </c>
      <c r="F3">
        <v>77.475364685058594</v>
      </c>
      <c r="G3">
        <v>140.81109619140619</v>
      </c>
      <c r="H3">
        <v>3919.25</v>
      </c>
      <c r="R3" t="s">
        <v>10</v>
      </c>
      <c r="S3" s="5">
        <f>AVERAGE(I4:I755)</f>
        <v>9.3097769167266222E-4</v>
      </c>
      <c r="T3" s="5">
        <f t="shared" ref="T3:Y3" si="0">AVERAGE(J4:J755)</f>
        <v>9.2290286519987666E-4</v>
      </c>
      <c r="U3" s="5">
        <f t="shared" si="0"/>
        <v>3.2652083061356763E-4</v>
      </c>
      <c r="V3" s="5">
        <f t="shared" si="0"/>
        <v>1.244818698235269E-3</v>
      </c>
      <c r="W3" s="5">
        <f t="shared" si="0"/>
        <v>4.0812061248975613E-5</v>
      </c>
      <c r="X3" s="5">
        <f t="shared" si="0"/>
        <v>9.9625825931375852E-6</v>
      </c>
      <c r="Y3" s="5">
        <f t="shared" si="0"/>
        <v>7.6486838638692033E-4</v>
      </c>
      <c r="AB3" t="s">
        <v>1</v>
      </c>
      <c r="AC3">
        <f>VARP('Part D'!$I$3:$I$755)</f>
        <v>2.5524943626919946E-4</v>
      </c>
      <c r="AD3">
        <f t="array" ref="AD3:AI3">TRANSPOSE(AC4:AC9)</f>
        <v>6.6514617764580668E-5</v>
      </c>
      <c r="AE3">
        <v>1.0257314477029185E-5</v>
      </c>
      <c r="AF3">
        <v>6.9517755994443538E-5</v>
      </c>
      <c r="AG3">
        <v>3.7287102234279945E-5</v>
      </c>
      <c r="AH3">
        <v>2.3668654145329817E-5</v>
      </c>
      <c r="AI3">
        <v>1.0253729160186975E-4</v>
      </c>
      <c r="AL3" t="s">
        <v>1</v>
      </c>
      <c r="AM3">
        <v>1</v>
      </c>
      <c r="AN3">
        <f t="array" ref="AN3:AS3">TRANSPOSE(AM4:AM9)</f>
        <v>0.33617743672358469</v>
      </c>
      <c r="AO3">
        <v>5.9452545658417746E-2</v>
      </c>
      <c r="AP3">
        <v>0.29918964788189706</v>
      </c>
      <c r="AQ3">
        <v>0.13522439643568529</v>
      </c>
      <c r="AR3">
        <v>0.14328659721734774</v>
      </c>
      <c r="AS3">
        <v>0.68182721371837507</v>
      </c>
    </row>
    <row r="4" spans="1:45" x14ac:dyDescent="0.35">
      <c r="A4" s="2">
        <v>44937</v>
      </c>
      <c r="B4">
        <v>131.50605773925781</v>
      </c>
      <c r="C4">
        <v>464.82806396484381</v>
      </c>
      <c r="D4">
        <v>159.6344299316406</v>
      </c>
      <c r="E4">
        <v>130.05216979980469</v>
      </c>
      <c r="F4">
        <v>77.896926879882813</v>
      </c>
      <c r="G4">
        <v>139.67083740234381</v>
      </c>
      <c r="H4">
        <v>3969.610107421875</v>
      </c>
      <c r="I4">
        <f>LN(B4/B3)</f>
        <v>2.0892546287810652E-2</v>
      </c>
      <c r="J4">
        <f t="shared" ref="J4:O19" si="1">LN(C4/C3)</f>
        <v>6.0265322806798121E-3</v>
      </c>
      <c r="K4">
        <f t="shared" si="1"/>
        <v>-1.5998777072312512E-3</v>
      </c>
      <c r="L4">
        <f t="shared" si="1"/>
        <v>7.4042380918471953E-3</v>
      </c>
      <c r="M4">
        <f t="shared" si="1"/>
        <v>5.4264917515157024E-3</v>
      </c>
      <c r="N4">
        <f t="shared" si="1"/>
        <v>-8.1307559188888053E-3</v>
      </c>
      <c r="O4">
        <f t="shared" si="1"/>
        <v>1.2767571192293676E-2</v>
      </c>
      <c r="R4" t="s">
        <v>11</v>
      </c>
      <c r="S4" s="5">
        <f>S3*252</f>
        <v>0.23460637830151088</v>
      </c>
      <c r="T4" s="5">
        <f t="shared" ref="T4:Y4" si="2">T3*252</f>
        <v>0.23257152203036893</v>
      </c>
      <c r="U4" s="5">
        <f t="shared" si="2"/>
        <v>8.2283249314619042E-2</v>
      </c>
      <c r="V4" s="5">
        <f t="shared" si="2"/>
        <v>0.3136943119552878</v>
      </c>
      <c r="W4" s="5">
        <f t="shared" si="2"/>
        <v>1.0284639434741854E-2</v>
      </c>
      <c r="X4" s="5">
        <f t="shared" si="2"/>
        <v>2.5105708134706716E-3</v>
      </c>
      <c r="Y4" s="5">
        <f t="shared" si="2"/>
        <v>0.19274683336950393</v>
      </c>
      <c r="AB4" t="s">
        <v>2</v>
      </c>
      <c r="AC4">
        <v>6.6514617764580668E-5</v>
      </c>
      <c r="AD4">
        <f>VARP('Part D'!$J$3:$J$755)</f>
        <v>1.5336712797550686E-4</v>
      </c>
      <c r="AE4">
        <f t="array" ref="AE4:AI4">TRANSPOSE(AD5:AD9)</f>
        <v>1.1619868038172224E-5</v>
      </c>
      <c r="AF4">
        <v>4.3485997992769345E-5</v>
      </c>
      <c r="AG4">
        <v>2.061573705271034E-5</v>
      </c>
      <c r="AH4">
        <v>3.5350911758263607E-5</v>
      </c>
      <c r="AI4">
        <v>5.5491219420835764E-5</v>
      </c>
      <c r="AL4" t="s">
        <v>2</v>
      </c>
      <c r="AM4">
        <v>0.33617743672358469</v>
      </c>
      <c r="AN4">
        <v>1</v>
      </c>
      <c r="AO4">
        <f t="array" ref="AO4:AS4">TRANSPOSE(AN5:AN9)</f>
        <v>8.6886886257778767E-2</v>
      </c>
      <c r="AP4">
        <v>0.24144405294253313</v>
      </c>
      <c r="AQ4">
        <v>9.645206670902895E-2</v>
      </c>
      <c r="AR4">
        <v>0.27608885670593625</v>
      </c>
      <c r="AS4">
        <v>0.47602856178141129</v>
      </c>
    </row>
    <row r="5" spans="1:45" x14ac:dyDescent="0.35">
      <c r="A5" s="2">
        <v>44938</v>
      </c>
      <c r="B5">
        <v>131.42723083496091</v>
      </c>
      <c r="C5">
        <v>463.02371215820313</v>
      </c>
      <c r="D5">
        <v>158.8311462402344</v>
      </c>
      <c r="E5">
        <v>129.92176818847659</v>
      </c>
      <c r="F5">
        <v>77.961074829101563</v>
      </c>
      <c r="G5">
        <v>138.8828430175781</v>
      </c>
      <c r="H5">
        <v>3983.169921875</v>
      </c>
      <c r="I5">
        <f t="shared" ref="I5:O54" si="3">LN(B5/B4)</f>
        <v>-5.9959624805194268E-4</v>
      </c>
      <c r="J5">
        <f t="shared" si="1"/>
        <v>-3.8893153574189663E-3</v>
      </c>
      <c r="K5">
        <f t="shared" si="1"/>
        <v>-5.0447235436937906E-3</v>
      </c>
      <c r="L5">
        <f t="shared" si="1"/>
        <v>-1.0031899602968349E-3</v>
      </c>
      <c r="M5">
        <f t="shared" si="1"/>
        <v>8.2315892848023816E-4</v>
      </c>
      <c r="N5">
        <f t="shared" si="1"/>
        <v>-5.6577711382328521E-3</v>
      </c>
      <c r="O5">
        <f t="shared" si="1"/>
        <v>3.4100849120427303E-3</v>
      </c>
      <c r="R5" t="s">
        <v>12</v>
      </c>
      <c r="S5" s="5">
        <f>_xlfn.STDEV.S(I4:I755)</f>
        <v>1.5987160963671639E-2</v>
      </c>
      <c r="T5" s="5">
        <f t="shared" ref="T5:Y5" si="4">_xlfn.STDEV.S(J4:J755)</f>
        <v>1.2392390616416796E-2</v>
      </c>
      <c r="U5" s="5">
        <f t="shared" si="4"/>
        <v>1.0806119640675267E-2</v>
      </c>
      <c r="V5" s="5">
        <f t="shared" si="4"/>
        <v>1.4553107526594297E-2</v>
      </c>
      <c r="W5" s="5">
        <f t="shared" si="4"/>
        <v>1.7270707852675243E-2</v>
      </c>
      <c r="X5" s="5">
        <f t="shared" si="4"/>
        <v>1.0346049465796406E-2</v>
      </c>
      <c r="Y5" s="5">
        <f t="shared" si="4"/>
        <v>9.4192010457807406E-3</v>
      </c>
      <c r="AB5" t="s">
        <v>3</v>
      </c>
      <c r="AC5">
        <v>1.0257314477029185E-5</v>
      </c>
      <c r="AD5">
        <v>1.1619868038172224E-5</v>
      </c>
      <c r="AE5">
        <f>VARP('Part D'!$K$3:$K$755)</f>
        <v>1.1661693947889549E-4</v>
      </c>
      <c r="AF5">
        <f t="array" ref="AF5:AI5">TRANSPOSE(AE6:AE9)</f>
        <v>2.378991089828469E-5</v>
      </c>
      <c r="AG5">
        <v>5.0082259271744427E-5</v>
      </c>
      <c r="AH5">
        <v>4.0289905059346837E-5</v>
      </c>
      <c r="AI5">
        <v>8.2572266416399129E-6</v>
      </c>
      <c r="AL5" t="s">
        <v>3</v>
      </c>
      <c r="AM5">
        <v>5.9452545658417746E-2</v>
      </c>
      <c r="AN5">
        <v>8.6886886257778767E-2</v>
      </c>
      <c r="AO5">
        <v>1</v>
      </c>
      <c r="AP5">
        <f t="array" ref="AP5:AS5">TRANSPOSE(AO6:AO9)</f>
        <v>0.1514764816943539</v>
      </c>
      <c r="AQ5">
        <v>0.26870881049224049</v>
      </c>
      <c r="AR5">
        <v>0.36085258898037353</v>
      </c>
      <c r="AS5">
        <v>8.123221031621225E-2</v>
      </c>
    </row>
    <row r="6" spans="1:45" x14ac:dyDescent="0.35">
      <c r="A6" s="2">
        <v>44939</v>
      </c>
      <c r="B6">
        <v>132.75718688964841</v>
      </c>
      <c r="C6">
        <v>465.73028564453119</v>
      </c>
      <c r="D6">
        <v>158.3108215332031</v>
      </c>
      <c r="E6">
        <v>133.20027160644531</v>
      </c>
      <c r="F6">
        <v>77.603652954101563</v>
      </c>
      <c r="G6">
        <v>139.87480163574219</v>
      </c>
      <c r="H6">
        <v>3999.090087890625</v>
      </c>
      <c r="I6">
        <f t="shared" si="3"/>
        <v>1.00684764180609E-2</v>
      </c>
      <c r="J6">
        <f t="shared" si="1"/>
        <v>5.8284134543193774E-3</v>
      </c>
      <c r="K6">
        <f t="shared" si="1"/>
        <v>-3.2813391274179133E-3</v>
      </c>
      <c r="L6">
        <f t="shared" si="1"/>
        <v>2.4921311045785117E-2</v>
      </c>
      <c r="M6">
        <f t="shared" si="1"/>
        <v>-4.5951612428051167E-3</v>
      </c>
      <c r="N6">
        <f t="shared" si="1"/>
        <v>7.1170267380992374E-3</v>
      </c>
      <c r="O6">
        <f t="shared" si="1"/>
        <v>3.988892144656051E-3</v>
      </c>
      <c r="R6" t="s">
        <v>13</v>
      </c>
      <c r="S6" s="5">
        <f>S5*SQRT(252)</f>
        <v>0.25378831247900929</v>
      </c>
      <c r="T6" s="5">
        <f t="shared" ref="T6:Y6" si="5">T5*SQRT(252)</f>
        <v>0.19672310232365561</v>
      </c>
      <c r="U6" s="5">
        <f t="shared" si="5"/>
        <v>0.17154183124102448</v>
      </c>
      <c r="V6" s="5">
        <f t="shared" si="5"/>
        <v>0.23102341991130496</v>
      </c>
      <c r="W6" s="5">
        <f t="shared" si="5"/>
        <v>0.27416398766537425</v>
      </c>
      <c r="X6" s="5">
        <f t="shared" si="5"/>
        <v>0.16423844363081971</v>
      </c>
      <c r="Y6" s="5">
        <f t="shared" si="5"/>
        <v>0.14952518109633214</v>
      </c>
      <c r="AB6" t="s">
        <v>4</v>
      </c>
      <c r="AC6">
        <v>6.9517755994443538E-5</v>
      </c>
      <c r="AD6">
        <v>4.3485997992769345E-5</v>
      </c>
      <c r="AE6">
        <v>2.378991089828469E-5</v>
      </c>
      <c r="AF6">
        <f>VARP('Part D'!$L$3:$L$755)</f>
        <v>2.1151129913449769E-4</v>
      </c>
      <c r="AG6">
        <f t="array" ref="AG6:AI6">TRANSPOSE(AF7:AF9)</f>
        <v>2.8469214211518195E-5</v>
      </c>
      <c r="AH6">
        <v>1.1642315910831335E-5</v>
      </c>
      <c r="AI6">
        <v>8.213031954203262E-5</v>
      </c>
      <c r="AL6" t="s">
        <v>4</v>
      </c>
      <c r="AM6">
        <v>0.29918964788189706</v>
      </c>
      <c r="AN6">
        <v>0.24144405294253313</v>
      </c>
      <c r="AO6">
        <v>0.1514764816943539</v>
      </c>
      <c r="AP6">
        <v>1</v>
      </c>
      <c r="AQ6">
        <f t="array" ref="AQ6:AS6">TRANSPOSE(AP7:AP9)</f>
        <v>0.11341944238929402</v>
      </c>
      <c r="AR6">
        <v>7.7426030532617859E-2</v>
      </c>
      <c r="AS6">
        <v>0.59994523902274621</v>
      </c>
    </row>
    <row r="7" spans="1:45" x14ac:dyDescent="0.35">
      <c r="A7" s="2">
        <v>44943</v>
      </c>
      <c r="B7">
        <v>133.91966247558591</v>
      </c>
      <c r="C7">
        <v>467.18914794921881</v>
      </c>
      <c r="D7">
        <v>157.33412170410159</v>
      </c>
      <c r="E7">
        <v>131.14189147949219</v>
      </c>
      <c r="F7">
        <v>78.575065612792969</v>
      </c>
      <c r="G7">
        <v>139.46687316894531</v>
      </c>
      <c r="H7">
        <v>3990.969970703125</v>
      </c>
      <c r="I7">
        <f t="shared" si="3"/>
        <v>8.7182892093593586E-3</v>
      </c>
      <c r="J7">
        <f t="shared" si="1"/>
        <v>3.1275230020896467E-3</v>
      </c>
      <c r="K7">
        <f t="shared" si="1"/>
        <v>-6.1886177316850298E-3</v>
      </c>
      <c r="L7">
        <f t="shared" si="1"/>
        <v>-1.5573919099708206E-2</v>
      </c>
      <c r="M7">
        <f t="shared" si="1"/>
        <v>1.2439917485223667E-2</v>
      </c>
      <c r="N7">
        <f t="shared" si="1"/>
        <v>-2.9206437389383113E-3</v>
      </c>
      <c r="O7">
        <f t="shared" si="1"/>
        <v>-2.0325554309963139E-3</v>
      </c>
      <c r="AB7" t="s">
        <v>5</v>
      </c>
      <c r="AC7">
        <v>3.7287102234279945E-5</v>
      </c>
      <c r="AD7">
        <v>2.061573705271034E-5</v>
      </c>
      <c r="AE7">
        <v>5.0082259271744427E-5</v>
      </c>
      <c r="AF7">
        <v>2.8469214211518195E-5</v>
      </c>
      <c r="AG7">
        <f>VARP('Part D'!$M$3:$M$755)</f>
        <v>2.9788070432058004E-4</v>
      </c>
      <c r="AH7">
        <f t="array" ref="AH7:AI7">TRANSPOSE(AG8:AG9)</f>
        <v>5.9700694273702935E-5</v>
      </c>
      <c r="AI7">
        <v>3.8027350961801722E-5</v>
      </c>
      <c r="AL7" t="s">
        <v>5</v>
      </c>
      <c r="AM7">
        <v>0.13522439643568529</v>
      </c>
      <c r="AN7">
        <v>9.645206670902895E-2</v>
      </c>
      <c r="AO7">
        <v>0.26870881049224049</v>
      </c>
      <c r="AP7">
        <v>0.11341944238929402</v>
      </c>
      <c r="AQ7">
        <v>1</v>
      </c>
      <c r="AR7">
        <f t="array" ref="AR7:AS7">TRANSPOSE(AQ8:AQ9)</f>
        <v>0.33455890724095261</v>
      </c>
      <c r="AS7">
        <v>0.23407216496265199</v>
      </c>
    </row>
    <row r="8" spans="1:45" x14ac:dyDescent="0.35">
      <c r="A8" s="2">
        <v>44944</v>
      </c>
      <c r="B8">
        <v>133.20051574707031</v>
      </c>
      <c r="C8">
        <v>460.18276977539063</v>
      </c>
      <c r="D8">
        <v>154.9607849121094</v>
      </c>
      <c r="E8">
        <v>127.20204925537109</v>
      </c>
      <c r="F8">
        <v>76.797203063964844</v>
      </c>
      <c r="G8">
        <v>135.73081970214841</v>
      </c>
      <c r="H8">
        <v>3928.860107421875</v>
      </c>
      <c r="I8">
        <f t="shared" si="3"/>
        <v>-5.3844563206002253E-3</v>
      </c>
      <c r="J8">
        <f t="shared" si="1"/>
        <v>-1.5110467226925665E-2</v>
      </c>
      <c r="K8">
        <f t="shared" si="1"/>
        <v>-1.5199623393877811E-2</v>
      </c>
      <c r="L8">
        <f t="shared" si="1"/>
        <v>-3.050311681747931E-2</v>
      </c>
      <c r="M8">
        <f t="shared" si="1"/>
        <v>-2.2886196664735719E-2</v>
      </c>
      <c r="N8">
        <f t="shared" si="1"/>
        <v>-2.7153447235452977E-2</v>
      </c>
      <c r="O8">
        <f t="shared" si="1"/>
        <v>-1.5684966977744675E-2</v>
      </c>
      <c r="AB8" t="s">
        <v>6</v>
      </c>
      <c r="AC8">
        <v>2.3668654145329817E-5</v>
      </c>
      <c r="AD8">
        <v>3.5350911758263607E-5</v>
      </c>
      <c r="AE8">
        <v>4.0289905059346837E-5</v>
      </c>
      <c r="AF8">
        <v>1.1642315910831335E-5</v>
      </c>
      <c r="AG8">
        <v>5.9700694273702935E-5</v>
      </c>
      <c r="AH8">
        <f>VARP('Part D'!$N$3:$N$755)</f>
        <v>1.0689839813973175E-4</v>
      </c>
      <c r="AI8">
        <f>AH9</f>
        <v>1.4427467080141978E-5</v>
      </c>
      <c r="AL8" t="s">
        <v>6</v>
      </c>
      <c r="AM8">
        <v>0.14328659721734774</v>
      </c>
      <c r="AN8">
        <v>0.27608885670593625</v>
      </c>
      <c r="AO8">
        <v>0.36085258898037353</v>
      </c>
      <c r="AP8">
        <v>7.7426030532617859E-2</v>
      </c>
      <c r="AQ8">
        <v>0.33455890724095261</v>
      </c>
      <c r="AR8">
        <v>1</v>
      </c>
      <c r="AS8">
        <f>AR9</f>
        <v>0.14824476925508523</v>
      </c>
    </row>
    <row r="9" spans="1:45" ht="15" thickBot="1" x14ac:dyDescent="0.4">
      <c r="A9" s="2">
        <v>44945</v>
      </c>
      <c r="B9">
        <v>133.25962829589841</v>
      </c>
      <c r="C9">
        <v>450.60421752929688</v>
      </c>
      <c r="D9">
        <v>154.7508544921875</v>
      </c>
      <c r="E9">
        <v>125.5068664550781</v>
      </c>
      <c r="F9">
        <v>75.688316345214844</v>
      </c>
      <c r="G9">
        <v>132.86036682128909</v>
      </c>
      <c r="H9">
        <v>3898.85009765625</v>
      </c>
      <c r="I9">
        <f t="shared" si="3"/>
        <v>4.4368774182073441E-4</v>
      </c>
      <c r="J9">
        <f t="shared" si="1"/>
        <v>-2.1034348406978046E-2</v>
      </c>
      <c r="K9">
        <f t="shared" si="1"/>
        <v>-1.3556510338220136E-3</v>
      </c>
      <c r="L9">
        <f t="shared" si="1"/>
        <v>-1.3416291409834072E-2</v>
      </c>
      <c r="M9">
        <f t="shared" si="1"/>
        <v>-1.4544414063716336E-2</v>
      </c>
      <c r="N9">
        <f t="shared" si="1"/>
        <v>-2.1374954308564266E-2</v>
      </c>
      <c r="O9">
        <f t="shared" si="1"/>
        <v>-7.6676719018124277E-3</v>
      </c>
      <c r="AB9" s="3" t="s">
        <v>7</v>
      </c>
      <c r="AC9" s="3">
        <v>1.0253729160186975E-4</v>
      </c>
      <c r="AD9" s="3">
        <v>5.5491219420835764E-5</v>
      </c>
      <c r="AE9" s="3">
        <v>8.2572266416399129E-6</v>
      </c>
      <c r="AF9" s="3">
        <v>8.213031954203262E-5</v>
      </c>
      <c r="AG9" s="3">
        <v>3.8027350961801722E-5</v>
      </c>
      <c r="AH9" s="3">
        <v>1.4427467080141978E-5</v>
      </c>
      <c r="AI9" s="3">
        <f>VARP('Part D'!$O$3:$O$755)</f>
        <v>8.8603367824426318E-5</v>
      </c>
      <c r="AL9" s="3" t="s">
        <v>7</v>
      </c>
      <c r="AM9" s="3">
        <v>0.68182721371837507</v>
      </c>
      <c r="AN9" s="3">
        <v>0.47602856178141129</v>
      </c>
      <c r="AO9" s="3">
        <v>8.123221031621225E-2</v>
      </c>
      <c r="AP9" s="3">
        <v>0.59994523902274621</v>
      </c>
      <c r="AQ9" s="3">
        <v>0.23407216496265199</v>
      </c>
      <c r="AR9" s="3">
        <v>0.14824476925508523</v>
      </c>
      <c r="AS9" s="3">
        <v>1</v>
      </c>
    </row>
    <row r="10" spans="1:45" x14ac:dyDescent="0.35">
      <c r="A10" s="2">
        <v>44946</v>
      </c>
      <c r="B10">
        <v>135.82098388671881</v>
      </c>
      <c r="C10">
        <v>460.79696655273438</v>
      </c>
      <c r="D10">
        <v>154.02973937988281</v>
      </c>
      <c r="E10">
        <v>125.8142547607422</v>
      </c>
      <c r="F10">
        <v>74.982658386230469</v>
      </c>
      <c r="G10">
        <v>133.37345886230469</v>
      </c>
      <c r="H10">
        <v>3972.610107421875</v>
      </c>
      <c r="I10">
        <f t="shared" si="3"/>
        <v>1.9038405892670963E-2</v>
      </c>
      <c r="J10">
        <f t="shared" si="1"/>
        <v>2.2368138596210636E-2</v>
      </c>
      <c r="K10">
        <f t="shared" si="1"/>
        <v>-4.6707366822222717E-3</v>
      </c>
      <c r="L10">
        <f t="shared" si="1"/>
        <v>2.4461808657882723E-3</v>
      </c>
      <c r="M10">
        <f t="shared" si="1"/>
        <v>-9.3669417052178582E-3</v>
      </c>
      <c r="N10">
        <f t="shared" si="1"/>
        <v>3.8544514389934298E-3</v>
      </c>
      <c r="O10">
        <f t="shared" si="1"/>
        <v>1.874167355235196E-2</v>
      </c>
    </row>
    <row r="11" spans="1:45" ht="15" thickBot="1" x14ac:dyDescent="0.4">
      <c r="A11" s="2">
        <v>44949</v>
      </c>
      <c r="B11">
        <v>139.0128173828125</v>
      </c>
      <c r="C11">
        <v>472.79421997070313</v>
      </c>
      <c r="D11">
        <v>153.63719177246091</v>
      </c>
      <c r="E11">
        <v>127.85400390625</v>
      </c>
      <c r="F11">
        <v>75.761627197265625</v>
      </c>
      <c r="G11">
        <v>131.58232116699219</v>
      </c>
      <c r="H11">
        <v>4019.81005859375</v>
      </c>
      <c r="I11">
        <f t="shared" si="3"/>
        <v>2.3228416558336663E-2</v>
      </c>
      <c r="J11">
        <f t="shared" si="1"/>
        <v>2.570271455476051E-2</v>
      </c>
      <c r="K11">
        <f t="shared" si="1"/>
        <v>-2.5517712869495852E-3</v>
      </c>
      <c r="L11">
        <f t="shared" si="1"/>
        <v>1.6082367733860532E-2</v>
      </c>
      <c r="M11">
        <f t="shared" si="1"/>
        <v>1.0335061680200101E-2</v>
      </c>
      <c r="N11">
        <f t="shared" si="1"/>
        <v>-1.3520482403086231E-2</v>
      </c>
      <c r="O11">
        <f t="shared" si="1"/>
        <v>1.1811315951328555E-2</v>
      </c>
      <c r="AB11" s="50" t="s">
        <v>15</v>
      </c>
      <c r="AC11" s="50"/>
      <c r="AD11" s="50"/>
      <c r="AE11" s="50"/>
      <c r="AF11" s="50"/>
      <c r="AG11" s="50"/>
      <c r="AH11" s="50"/>
      <c r="AI11" s="50"/>
    </row>
    <row r="12" spans="1:45" x14ac:dyDescent="0.35">
      <c r="A12" s="2">
        <v>44950</v>
      </c>
      <c r="B12">
        <v>140.4117431640625</v>
      </c>
      <c r="C12">
        <v>472.3143310546875</v>
      </c>
      <c r="D12">
        <v>153.63719177246091</v>
      </c>
      <c r="E12">
        <v>128.95307922363281</v>
      </c>
      <c r="F12">
        <v>76.888839721679688</v>
      </c>
      <c r="G12">
        <v>132.30061340332031</v>
      </c>
      <c r="H12">
        <v>4016.949951171875</v>
      </c>
      <c r="I12">
        <f t="shared" si="3"/>
        <v>1.0012988597069032E-2</v>
      </c>
      <c r="J12">
        <f t="shared" si="1"/>
        <v>-1.0155213530483457E-3</v>
      </c>
      <c r="K12">
        <f t="shared" si="1"/>
        <v>0</v>
      </c>
      <c r="L12">
        <f t="shared" si="1"/>
        <v>8.5595927841340992E-3</v>
      </c>
      <c r="M12">
        <f t="shared" si="1"/>
        <v>1.4768811859555324E-2</v>
      </c>
      <c r="N12">
        <f t="shared" si="1"/>
        <v>5.4440353373384322E-3</v>
      </c>
      <c r="O12">
        <f t="shared" si="1"/>
        <v>-7.1175636429181928E-4</v>
      </c>
      <c r="AB12" s="4"/>
      <c r="AC12" s="4" t="s">
        <v>1</v>
      </c>
      <c r="AD12" s="4" t="s">
        <v>2</v>
      </c>
      <c r="AE12" s="4" t="s">
        <v>3</v>
      </c>
      <c r="AF12" s="4" t="s">
        <v>4</v>
      </c>
      <c r="AG12" s="4" t="s">
        <v>5</v>
      </c>
      <c r="AH12" s="4" t="s">
        <v>6</v>
      </c>
      <c r="AI12" s="4" t="s">
        <v>7</v>
      </c>
    </row>
    <row r="13" spans="1:45" x14ac:dyDescent="0.35">
      <c r="A13" s="2">
        <v>44951</v>
      </c>
      <c r="B13">
        <v>139.75166320800781</v>
      </c>
      <c r="C13">
        <v>471.1337890625</v>
      </c>
      <c r="D13">
        <v>154.73260498046881</v>
      </c>
      <c r="E13">
        <v>129.5771179199219</v>
      </c>
      <c r="F13">
        <v>70.189704895019531</v>
      </c>
      <c r="G13">
        <v>132.2073669433594</v>
      </c>
      <c r="H13">
        <v>4016.219970703125</v>
      </c>
      <c r="I13">
        <f t="shared" si="3"/>
        <v>-4.7121155897669065E-3</v>
      </c>
      <c r="J13">
        <f t="shared" si="1"/>
        <v>-2.5026126676519793E-3</v>
      </c>
      <c r="K13">
        <f t="shared" si="1"/>
        <v>7.1045726729144099E-3</v>
      </c>
      <c r="L13">
        <f t="shared" si="1"/>
        <v>4.8275978214932609E-3</v>
      </c>
      <c r="M13">
        <f t="shared" si="1"/>
        <v>-9.1159092463395097E-2</v>
      </c>
      <c r="N13">
        <f t="shared" si="1"/>
        <v>-7.0505595862518618E-4</v>
      </c>
      <c r="O13">
        <f t="shared" si="1"/>
        <v>-1.8174157346566321E-4</v>
      </c>
      <c r="Q13" s="8"/>
      <c r="R13" s="8"/>
      <c r="S13" s="8"/>
      <c r="T13" s="8"/>
      <c r="U13" s="8"/>
      <c r="V13" s="8"/>
      <c r="W13" s="8"/>
      <c r="X13" s="8"/>
      <c r="AB13" t="s">
        <v>1</v>
      </c>
      <c r="AC13">
        <f>AC3*252</f>
        <v>6.432285793983826E-2</v>
      </c>
      <c r="AD13">
        <f t="shared" ref="AD13:AI13" si="6">AD3*252</f>
        <v>1.6761683676674327E-2</v>
      </c>
      <c r="AE13">
        <f t="shared" si="6"/>
        <v>2.5848432482113545E-3</v>
      </c>
      <c r="AF13">
        <f t="shared" si="6"/>
        <v>1.751847451059977E-2</v>
      </c>
      <c r="AG13">
        <f t="shared" si="6"/>
        <v>9.3963497630385456E-3</v>
      </c>
      <c r="AH13">
        <f t="shared" si="6"/>
        <v>5.9645008446231138E-3</v>
      </c>
      <c r="AI13">
        <f t="shared" si="6"/>
        <v>2.5839397483671176E-2</v>
      </c>
    </row>
    <row r="14" spans="1:45" x14ac:dyDescent="0.35">
      <c r="A14" s="2">
        <v>44952</v>
      </c>
      <c r="B14">
        <v>141.8204650878906</v>
      </c>
      <c r="C14">
        <v>478.2552490234375</v>
      </c>
      <c r="D14">
        <v>154.16664123535159</v>
      </c>
      <c r="E14">
        <v>130.37812805175781</v>
      </c>
      <c r="F14">
        <v>70.015586853027344</v>
      </c>
      <c r="G14">
        <v>131.67558288574219</v>
      </c>
      <c r="H14">
        <v>4060.429931640625</v>
      </c>
      <c r="I14">
        <f t="shared" si="3"/>
        <v>1.4694914020399049E-2</v>
      </c>
      <c r="J14">
        <f t="shared" si="1"/>
        <v>1.5002476848203524E-2</v>
      </c>
      <c r="K14">
        <f t="shared" si="1"/>
        <v>-3.6643946876134996E-3</v>
      </c>
      <c r="L14">
        <f t="shared" si="1"/>
        <v>6.1626966900338812E-3</v>
      </c>
      <c r="M14">
        <f t="shared" si="1"/>
        <v>-2.4837597687420222E-3</v>
      </c>
      <c r="N14">
        <f t="shared" si="1"/>
        <v>-4.030459549179263E-3</v>
      </c>
      <c r="O14">
        <f t="shared" si="1"/>
        <v>1.0947708029114303E-2</v>
      </c>
      <c r="AB14" t="s">
        <v>2</v>
      </c>
      <c r="AC14">
        <f t="shared" ref="AC14:AI19" si="7">AC4*252</f>
        <v>1.6761683676674327E-2</v>
      </c>
      <c r="AD14">
        <f t="shared" si="7"/>
        <v>3.8648516249827729E-2</v>
      </c>
      <c r="AE14">
        <f t="shared" si="7"/>
        <v>2.9282067456194005E-3</v>
      </c>
      <c r="AF14">
        <f t="shared" si="7"/>
        <v>1.0958471494177875E-2</v>
      </c>
      <c r="AG14">
        <f t="shared" si="7"/>
        <v>5.1951657372830053E-3</v>
      </c>
      <c r="AH14">
        <f t="shared" si="7"/>
        <v>8.9084297630824295E-3</v>
      </c>
      <c r="AI14">
        <f t="shared" si="7"/>
        <v>1.3983787294050613E-2</v>
      </c>
    </row>
    <row r="15" spans="1:45" x14ac:dyDescent="0.35">
      <c r="A15" s="2">
        <v>44953</v>
      </c>
      <c r="B15">
        <v>143.76116943359381</v>
      </c>
      <c r="C15">
        <v>483.04464721679688</v>
      </c>
      <c r="D15">
        <v>153.56416320800781</v>
      </c>
      <c r="E15">
        <v>130.69480895996091</v>
      </c>
      <c r="F15">
        <v>69.264106750488281</v>
      </c>
      <c r="G15">
        <v>131.1345520019531</v>
      </c>
      <c r="H15">
        <v>4070.56005859375</v>
      </c>
      <c r="I15">
        <f t="shared" si="3"/>
        <v>1.3591449772223976E-2</v>
      </c>
      <c r="J15">
        <f t="shared" si="1"/>
        <v>9.9645029419668379E-3</v>
      </c>
      <c r="K15">
        <f t="shared" si="1"/>
        <v>-3.9156222803523235E-3</v>
      </c>
      <c r="L15">
        <f t="shared" si="1"/>
        <v>2.4259968662062731E-3</v>
      </c>
      <c r="M15">
        <f t="shared" si="1"/>
        <v>-1.0791054681032699E-2</v>
      </c>
      <c r="N15">
        <f t="shared" si="1"/>
        <v>-4.1172814611328389E-3</v>
      </c>
      <c r="O15">
        <f t="shared" si="1"/>
        <v>2.4917340217038551E-3</v>
      </c>
      <c r="AB15" t="s">
        <v>3</v>
      </c>
      <c r="AC15">
        <f t="shared" si="7"/>
        <v>2.5848432482113545E-3</v>
      </c>
      <c r="AD15">
        <f t="shared" si="7"/>
        <v>2.9282067456194005E-3</v>
      </c>
      <c r="AE15">
        <f t="shared" si="7"/>
        <v>2.9387468748681662E-2</v>
      </c>
      <c r="AF15">
        <f t="shared" si="7"/>
        <v>5.9950575463677417E-3</v>
      </c>
      <c r="AG15">
        <f t="shared" si="7"/>
        <v>1.2620729336479595E-2</v>
      </c>
      <c r="AH15">
        <f t="shared" si="7"/>
        <v>1.0153056074955404E-2</v>
      </c>
      <c r="AI15">
        <f t="shared" si="7"/>
        <v>2.080821113693258E-3</v>
      </c>
    </row>
    <row r="16" spans="1:45" x14ac:dyDescent="0.35">
      <c r="A16" s="2">
        <v>44956</v>
      </c>
      <c r="B16">
        <v>140.8747253417969</v>
      </c>
      <c r="C16">
        <v>483.03497314453119</v>
      </c>
      <c r="D16">
        <v>147.87727355957031</v>
      </c>
      <c r="E16">
        <v>129.5864562988281</v>
      </c>
      <c r="F16">
        <v>68.778396606445313</v>
      </c>
      <c r="G16">
        <v>131.54499816894531</v>
      </c>
      <c r="H16">
        <v>4017.77001953125</v>
      </c>
      <c r="I16">
        <f t="shared" si="3"/>
        <v>-2.0282354367448244E-2</v>
      </c>
      <c r="J16">
        <f t="shared" si="1"/>
        <v>-2.0027484406253604E-5</v>
      </c>
      <c r="K16">
        <f t="shared" si="1"/>
        <v>-3.7735783989239449E-2</v>
      </c>
      <c r="L16">
        <f t="shared" si="1"/>
        <v>-8.5166280359339451E-3</v>
      </c>
      <c r="M16">
        <f t="shared" si="1"/>
        <v>-7.0371390933555268E-3</v>
      </c>
      <c r="N16">
        <f t="shared" si="1"/>
        <v>3.1250738838472826E-3</v>
      </c>
      <c r="O16">
        <f t="shared" si="1"/>
        <v>-1.3053569315292663E-2</v>
      </c>
      <c r="AB16" t="s">
        <v>4</v>
      </c>
      <c r="AC16">
        <f t="shared" si="7"/>
        <v>1.751847451059977E-2</v>
      </c>
      <c r="AD16">
        <f t="shared" si="7"/>
        <v>1.0958471494177875E-2</v>
      </c>
      <c r="AE16">
        <f t="shared" si="7"/>
        <v>5.9950575463677417E-3</v>
      </c>
      <c r="AF16">
        <f t="shared" si="7"/>
        <v>5.3300847381893418E-2</v>
      </c>
      <c r="AG16">
        <f t="shared" si="7"/>
        <v>7.1742419813025848E-3</v>
      </c>
      <c r="AH16">
        <f t="shared" si="7"/>
        <v>2.9338636095294964E-3</v>
      </c>
      <c r="AI16">
        <f t="shared" si="7"/>
        <v>2.0696840524592221E-2</v>
      </c>
    </row>
    <row r="17" spans="1:54" x14ac:dyDescent="0.35">
      <c r="A17" s="2">
        <v>44957</v>
      </c>
      <c r="B17">
        <v>142.14555358886719</v>
      </c>
      <c r="C17">
        <v>490.57879638671881</v>
      </c>
      <c r="D17">
        <v>149.1734924316406</v>
      </c>
      <c r="E17">
        <v>130.35948181152341</v>
      </c>
      <c r="F17">
        <v>68.393501281738281</v>
      </c>
      <c r="G17">
        <v>132.8230285644531</v>
      </c>
      <c r="H17">
        <v>4076.60009765625</v>
      </c>
      <c r="I17">
        <f t="shared" si="3"/>
        <v>8.9805351961815029E-3</v>
      </c>
      <c r="J17">
        <f t="shared" si="1"/>
        <v>1.5496851934416005E-2</v>
      </c>
      <c r="K17">
        <f t="shared" si="1"/>
        <v>8.7273102632525659E-3</v>
      </c>
      <c r="L17">
        <f t="shared" si="1"/>
        <v>5.947604313909156E-3</v>
      </c>
      <c r="M17">
        <f t="shared" si="1"/>
        <v>-5.6118832029783345E-3</v>
      </c>
      <c r="N17">
        <f t="shared" si="1"/>
        <v>9.6686453912661653E-3</v>
      </c>
      <c r="O17">
        <f t="shared" si="1"/>
        <v>1.4536304416419527E-2</v>
      </c>
      <c r="AB17" t="s">
        <v>5</v>
      </c>
      <c r="AC17">
        <f t="shared" si="7"/>
        <v>9.3963497630385456E-3</v>
      </c>
      <c r="AD17">
        <f t="shared" si="7"/>
        <v>5.1951657372830053E-3</v>
      </c>
      <c r="AE17">
        <f t="shared" si="7"/>
        <v>1.2620729336479595E-2</v>
      </c>
      <c r="AF17">
        <f t="shared" si="7"/>
        <v>7.1742419813025848E-3</v>
      </c>
      <c r="AG17">
        <f t="shared" si="7"/>
        <v>7.5065937488786164E-2</v>
      </c>
      <c r="AH17">
        <f t="shared" si="7"/>
        <v>1.5044574956973139E-2</v>
      </c>
      <c r="AI17">
        <f t="shared" si="7"/>
        <v>9.5828924423740341E-3</v>
      </c>
      <c r="AP17" s="61" t="s">
        <v>50</v>
      </c>
      <c r="AQ17" s="61"/>
      <c r="AR17" s="61"/>
      <c r="AS17" s="61"/>
      <c r="AT17" s="61"/>
    </row>
    <row r="18" spans="1:54" ht="15" thickBot="1" x14ac:dyDescent="0.4">
      <c r="A18" s="2">
        <v>44958</v>
      </c>
      <c r="B18">
        <v>143.26861572265619</v>
      </c>
      <c r="C18">
        <v>497.07656860351563</v>
      </c>
      <c r="D18">
        <v>150.542724609375</v>
      </c>
      <c r="E18">
        <v>130.014892578125</v>
      </c>
      <c r="F18">
        <v>68.036079406738281</v>
      </c>
      <c r="G18">
        <v>133.57867431640619</v>
      </c>
      <c r="H18">
        <v>4119.2099609375</v>
      </c>
      <c r="I18">
        <f t="shared" si="3"/>
        <v>7.8697419451473263E-3</v>
      </c>
      <c r="J18">
        <f t="shared" si="1"/>
        <v>1.3158164674477635E-2</v>
      </c>
      <c r="K18">
        <f t="shared" si="1"/>
        <v>9.1369210309038915E-3</v>
      </c>
      <c r="L18">
        <f t="shared" si="1"/>
        <v>-2.6468767165553795E-3</v>
      </c>
      <c r="M18">
        <f t="shared" si="1"/>
        <v>-5.2396656343949239E-3</v>
      </c>
      <c r="N18">
        <f t="shared" si="1"/>
        <v>5.6729951073993213E-3</v>
      </c>
      <c r="O18">
        <f t="shared" si="1"/>
        <v>1.039805629688473E-2</v>
      </c>
      <c r="AB18" t="s">
        <v>6</v>
      </c>
      <c r="AC18">
        <f t="shared" si="7"/>
        <v>5.9645008446231138E-3</v>
      </c>
      <c r="AD18">
        <f t="shared" si="7"/>
        <v>8.9084297630824295E-3</v>
      </c>
      <c r="AE18">
        <f t="shared" si="7"/>
        <v>1.0153056074955404E-2</v>
      </c>
      <c r="AF18">
        <f t="shared" si="7"/>
        <v>2.9338636095294964E-3</v>
      </c>
      <c r="AG18">
        <f t="shared" si="7"/>
        <v>1.5044574956973139E-2</v>
      </c>
      <c r="AH18">
        <f t="shared" si="7"/>
        <v>2.6938396331212401E-2</v>
      </c>
      <c r="AI18">
        <f t="shared" si="7"/>
        <v>3.6357217041957787E-3</v>
      </c>
      <c r="AP18" s="62"/>
      <c r="AQ18" s="62"/>
      <c r="AR18" s="62"/>
      <c r="AS18" s="62"/>
      <c r="AT18" s="62"/>
    </row>
    <row r="19" spans="1:54" ht="15" thickBot="1" x14ac:dyDescent="0.4">
      <c r="A19" s="2">
        <v>44959</v>
      </c>
      <c r="B19">
        <v>148.57853698730469</v>
      </c>
      <c r="C19">
        <v>503.24899291992188</v>
      </c>
      <c r="D19">
        <v>151.1086730957031</v>
      </c>
      <c r="E19">
        <v>129.40946960449219</v>
      </c>
      <c r="F19">
        <v>69.282432556152344</v>
      </c>
      <c r="G19">
        <v>132.62713623046881</v>
      </c>
      <c r="H19">
        <v>4179.759765625</v>
      </c>
      <c r="I19">
        <f t="shared" si="3"/>
        <v>3.6392387201993816E-2</v>
      </c>
      <c r="J19">
        <f t="shared" si="1"/>
        <v>1.2340987558381736E-2</v>
      </c>
      <c r="K19">
        <f t="shared" si="1"/>
        <v>3.7523389891913278E-3</v>
      </c>
      <c r="L19">
        <f t="shared" si="1"/>
        <v>-4.6674419290035716E-3</v>
      </c>
      <c r="M19">
        <f t="shared" si="1"/>
        <v>1.8153231612045771E-2</v>
      </c>
      <c r="N19">
        <f t="shared" si="1"/>
        <v>-7.1489208782189711E-3</v>
      </c>
      <c r="O19">
        <f t="shared" si="1"/>
        <v>1.4592384626854379E-2</v>
      </c>
      <c r="AB19" s="3" t="s">
        <v>7</v>
      </c>
      <c r="AC19" s="3">
        <f t="shared" si="7"/>
        <v>2.5839397483671176E-2</v>
      </c>
      <c r="AD19" s="3">
        <f t="shared" si="7"/>
        <v>1.3983787294050613E-2</v>
      </c>
      <c r="AE19" s="3">
        <f t="shared" si="7"/>
        <v>2.080821113693258E-3</v>
      </c>
      <c r="AF19" s="3">
        <f t="shared" si="7"/>
        <v>2.0696840524592221E-2</v>
      </c>
      <c r="AG19" s="3">
        <f t="shared" si="7"/>
        <v>9.5828924423740341E-3</v>
      </c>
      <c r="AH19" s="3">
        <f t="shared" si="7"/>
        <v>3.6357217041957787E-3</v>
      </c>
      <c r="AI19" s="3">
        <f t="shared" si="7"/>
        <v>2.2328048691755434E-2</v>
      </c>
      <c r="AK19" s="35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7"/>
    </row>
    <row r="20" spans="1:54" x14ac:dyDescent="0.35">
      <c r="A20" s="2">
        <v>44960</v>
      </c>
      <c r="B20">
        <v>152.2038269042969</v>
      </c>
      <c r="C20">
        <v>494.95175170898438</v>
      </c>
      <c r="D20">
        <v>150.25975036621091</v>
      </c>
      <c r="E20">
        <v>131.41200256347659</v>
      </c>
      <c r="F20">
        <v>68.430152893066406</v>
      </c>
      <c r="G20">
        <v>133.03759765625</v>
      </c>
      <c r="H20">
        <v>4136.47998046875</v>
      </c>
      <c r="I20">
        <f t="shared" si="3"/>
        <v>2.410690198691046E-2</v>
      </c>
      <c r="J20">
        <f t="shared" si="3"/>
        <v>-1.6624776842160752E-2</v>
      </c>
      <c r="K20">
        <f t="shared" si="3"/>
        <v>-5.6338017441913534E-3</v>
      </c>
      <c r="L20">
        <f t="shared" si="3"/>
        <v>1.535588533024713E-2</v>
      </c>
      <c r="M20">
        <f t="shared" si="3"/>
        <v>-1.2377816330766303E-2</v>
      </c>
      <c r="N20">
        <f t="shared" si="3"/>
        <v>3.0900733144773283E-3</v>
      </c>
      <c r="O20">
        <f t="shared" si="3"/>
        <v>-1.0408592637285455E-2</v>
      </c>
      <c r="AK20" s="38"/>
      <c r="AV20" s="60" t="s">
        <v>49</v>
      </c>
      <c r="AW20" s="60"/>
      <c r="AX20" s="60"/>
      <c r="AY20" s="60"/>
      <c r="AZ20" s="60"/>
      <c r="BB20" s="39"/>
    </row>
    <row r="21" spans="1:54" x14ac:dyDescent="0.35">
      <c r="A21" s="2">
        <v>44963</v>
      </c>
      <c r="B21">
        <v>149.4749755859375</v>
      </c>
      <c r="C21">
        <v>495.7113037109375</v>
      </c>
      <c r="D21">
        <v>149.11871337890619</v>
      </c>
      <c r="E21">
        <v>132.1850280761719</v>
      </c>
      <c r="F21">
        <v>69.199974060058594</v>
      </c>
      <c r="G21">
        <v>131.90882873535159</v>
      </c>
      <c r="H21">
        <v>4111.080078125</v>
      </c>
      <c r="I21">
        <f t="shared" si="3"/>
        <v>-1.8091597594457491E-2</v>
      </c>
      <c r="J21">
        <f t="shared" si="3"/>
        <v>1.5334217757101884E-3</v>
      </c>
      <c r="K21">
        <f t="shared" si="3"/>
        <v>-7.6227427860797482E-3</v>
      </c>
      <c r="L21">
        <f t="shared" si="3"/>
        <v>5.865223343973977E-3</v>
      </c>
      <c r="M21">
        <f t="shared" si="3"/>
        <v>1.1186928508205785E-2</v>
      </c>
      <c r="N21">
        <f t="shared" si="3"/>
        <v>-8.5207848671173016E-3</v>
      </c>
      <c r="O21">
        <f t="shared" si="3"/>
        <v>-6.1593931939392622E-3</v>
      </c>
      <c r="AK21" s="38"/>
      <c r="AM21" s="60" t="s">
        <v>48</v>
      </c>
      <c r="AN21" s="60"/>
      <c r="AO21" s="60"/>
      <c r="AP21" s="60"/>
      <c r="AV21" s="60"/>
      <c r="AW21" s="60"/>
      <c r="AX21" s="60"/>
      <c r="AY21" s="60"/>
      <c r="AZ21" s="60"/>
      <c r="BB21" s="39"/>
    </row>
    <row r="22" spans="1:54" ht="14.5" customHeight="1" x14ac:dyDescent="0.35">
      <c r="A22" s="2">
        <v>44964</v>
      </c>
      <c r="B22">
        <v>152.3515625</v>
      </c>
      <c r="C22">
        <v>496.61505126953119</v>
      </c>
      <c r="D22">
        <v>149.1552429199219</v>
      </c>
      <c r="E22">
        <v>133.7963562011719</v>
      </c>
      <c r="F22">
        <v>69.722320556640625</v>
      </c>
      <c r="G22">
        <v>130.62144470214841</v>
      </c>
      <c r="H22">
        <v>4164</v>
      </c>
      <c r="I22">
        <f t="shared" si="3"/>
        <v>1.9061769933747693E-2</v>
      </c>
      <c r="J22">
        <f t="shared" si="3"/>
        <v>1.8214729537841721E-3</v>
      </c>
      <c r="K22">
        <f t="shared" si="3"/>
        <v>2.4493952909344268E-4</v>
      </c>
      <c r="L22">
        <f t="shared" si="3"/>
        <v>1.2116245215431578E-2</v>
      </c>
      <c r="M22">
        <f t="shared" si="3"/>
        <v>7.5200162739445459E-3</v>
      </c>
      <c r="N22">
        <f t="shared" si="3"/>
        <v>-9.8075877928638956E-3</v>
      </c>
      <c r="O22">
        <f t="shared" si="3"/>
        <v>1.2790364037397075E-2</v>
      </c>
      <c r="Z22" s="9"/>
      <c r="AB22" t="s">
        <v>24</v>
      </c>
      <c r="AC22" s="5">
        <v>4.1700000000000001E-2</v>
      </c>
      <c r="AK22" s="38"/>
      <c r="AM22" s="60"/>
      <c r="AN22" s="60"/>
      <c r="AO22" s="60"/>
      <c r="AP22" s="60"/>
      <c r="BB22" s="39"/>
    </row>
    <row r="23" spans="1:54" x14ac:dyDescent="0.35">
      <c r="A23" s="2">
        <v>44965</v>
      </c>
      <c r="B23">
        <v>149.66217041015619</v>
      </c>
      <c r="C23">
        <v>484.38540649414063</v>
      </c>
      <c r="D23">
        <v>149.346923828125</v>
      </c>
      <c r="E23">
        <v>132.85566711425781</v>
      </c>
      <c r="F23">
        <v>68.76007080078125</v>
      </c>
      <c r="G23">
        <v>129.2687683105469</v>
      </c>
      <c r="H23">
        <v>4117.85986328125</v>
      </c>
      <c r="I23">
        <f t="shared" si="3"/>
        <v>-1.7810204548708273E-2</v>
      </c>
      <c r="J23">
        <f t="shared" si="3"/>
        <v>-2.493429700074257E-2</v>
      </c>
      <c r="K23">
        <f t="shared" si="3"/>
        <v>1.2842850464883716E-3</v>
      </c>
      <c r="L23">
        <f t="shared" si="3"/>
        <v>-7.0555848600491562E-3</v>
      </c>
      <c r="M23">
        <f t="shared" si="3"/>
        <v>-1.389729384896128E-2</v>
      </c>
      <c r="N23">
        <f t="shared" si="3"/>
        <v>-1.040969254484923E-2</v>
      </c>
      <c r="O23">
        <f t="shared" si="3"/>
        <v>-1.1142573012411353E-2</v>
      </c>
      <c r="Z23" s="55" t="s">
        <v>35</v>
      </c>
      <c r="AK23" s="38"/>
      <c r="BB23" s="39"/>
    </row>
    <row r="24" spans="1:54" x14ac:dyDescent="0.35">
      <c r="A24" s="2">
        <v>44966</v>
      </c>
      <c r="B24">
        <v>148.62776184082031</v>
      </c>
      <c r="C24">
        <v>481.32806396484381</v>
      </c>
      <c r="D24">
        <v>147.3296203613281</v>
      </c>
      <c r="E24">
        <v>130.78794860839841</v>
      </c>
      <c r="F24">
        <v>67.147132873535156</v>
      </c>
      <c r="G24">
        <v>127.85085296630859</v>
      </c>
      <c r="H24">
        <v>4081.5</v>
      </c>
      <c r="I24">
        <f t="shared" si="3"/>
        <v>-6.9356193688716655E-3</v>
      </c>
      <c r="J24">
        <f t="shared" si="3"/>
        <v>-6.3318009685475853E-3</v>
      </c>
      <c r="K24">
        <f t="shared" si="3"/>
        <v>-1.3599555458964364E-2</v>
      </c>
      <c r="L24">
        <f t="shared" si="3"/>
        <v>-1.5686030531255939E-2</v>
      </c>
      <c r="M24">
        <f t="shared" si="3"/>
        <v>-2.3736985477451702E-2</v>
      </c>
      <c r="N24">
        <f t="shared" si="3"/>
        <v>-1.1029338880084267E-2</v>
      </c>
      <c r="O24">
        <f t="shared" si="3"/>
        <v>-8.8690098310373854E-3</v>
      </c>
      <c r="Z24" s="55"/>
      <c r="AB24" s="18"/>
      <c r="AC24" s="19" t="s">
        <v>1</v>
      </c>
      <c r="AD24" s="19" t="s">
        <v>2</v>
      </c>
      <c r="AE24" s="19" t="s">
        <v>3</v>
      </c>
      <c r="AF24" s="19" t="s">
        <v>4</v>
      </c>
      <c r="AG24" s="19" t="s">
        <v>5</v>
      </c>
      <c r="AH24" s="19" t="s">
        <v>6</v>
      </c>
      <c r="AI24" s="20" t="s">
        <v>21</v>
      </c>
      <c r="AK24" s="38"/>
      <c r="AL24" s="26"/>
      <c r="AM24" s="1" t="s">
        <v>1</v>
      </c>
      <c r="AN24" s="1" t="s">
        <v>2</v>
      </c>
      <c r="AO24" s="1" t="s">
        <v>3</v>
      </c>
      <c r="AP24" s="1" t="s">
        <v>4</v>
      </c>
      <c r="AQ24" s="1" t="s">
        <v>5</v>
      </c>
      <c r="AR24" s="1" t="s">
        <v>6</v>
      </c>
      <c r="AW24" s="43" t="s">
        <v>37</v>
      </c>
      <c r="AX24" s="43" t="s">
        <v>43</v>
      </c>
      <c r="AY24" s="43" t="s">
        <v>44</v>
      </c>
      <c r="AZ24" s="43" t="s">
        <v>45</v>
      </c>
      <c r="BA24" s="43" t="s">
        <v>46</v>
      </c>
      <c r="BB24" s="39"/>
    </row>
    <row r="25" spans="1:54" x14ac:dyDescent="0.35">
      <c r="A25" s="2">
        <v>44967</v>
      </c>
      <c r="B25">
        <v>148.9928283691406</v>
      </c>
      <c r="C25">
        <v>480.71267700195313</v>
      </c>
      <c r="D25">
        <v>148.0141906738281</v>
      </c>
      <c r="E25">
        <v>131.36541748046881</v>
      </c>
      <c r="F25">
        <v>68.494300842285156</v>
      </c>
      <c r="G25">
        <v>128.97959899902341</v>
      </c>
      <c r="H25">
        <v>4090.4599609375</v>
      </c>
      <c r="I25">
        <f t="shared" si="3"/>
        <v>2.453235585311356E-3</v>
      </c>
      <c r="J25">
        <f t="shared" si="3"/>
        <v>-1.2793367694720211E-3</v>
      </c>
      <c r="K25">
        <f t="shared" si="3"/>
        <v>4.6357601743341791E-3</v>
      </c>
      <c r="L25">
        <f t="shared" si="3"/>
        <v>4.4055875741975609E-3</v>
      </c>
      <c r="M25">
        <f t="shared" si="3"/>
        <v>1.9864317707780039E-2</v>
      </c>
      <c r="N25">
        <f t="shared" si="3"/>
        <v>8.7898712281497104E-3</v>
      </c>
      <c r="O25">
        <f t="shared" si="3"/>
        <v>2.1928557092171274E-3</v>
      </c>
      <c r="Z25" s="55"/>
      <c r="AB25" s="24" t="s">
        <v>17</v>
      </c>
      <c r="AC25" s="21">
        <v>8.1255948484543414E-2</v>
      </c>
      <c r="AD25" s="21">
        <v>0.18290363132861737</v>
      </c>
      <c r="AE25" s="21">
        <v>0.29175639461855424</v>
      </c>
      <c r="AF25" s="21">
        <v>0.13351579272026992</v>
      </c>
      <c r="AG25" s="21">
        <v>3.9044501341720807E-2</v>
      </c>
      <c r="AH25" s="21">
        <v>0.27152373150629416</v>
      </c>
      <c r="AI25" s="21">
        <f>SUM(AC25:AH25)</f>
        <v>0.99999999999999989</v>
      </c>
      <c r="AK25" s="38"/>
      <c r="AL25" s="26" t="s">
        <v>37</v>
      </c>
      <c r="AM25" s="42">
        <f>AI13/AI19</f>
        <v>1.157261784958947</v>
      </c>
      <c r="AN25" s="42">
        <f>AI14/AI19</f>
        <v>0.62628792542960032</v>
      </c>
      <c r="AO25" s="42">
        <f>AI15/AI19</f>
        <v>9.3193146540458557E-2</v>
      </c>
      <c r="AP25" s="42">
        <f>AI16/AI19</f>
        <v>0.92694354129720569</v>
      </c>
      <c r="AQ25" s="42">
        <f>AI17/AI19</f>
        <v>0.42918629275080761</v>
      </c>
      <c r="AR25" s="42">
        <f>AI18/AI19</f>
        <v>0.16283203939528573</v>
      </c>
      <c r="AU25" s="63" t="s">
        <v>38</v>
      </c>
      <c r="AV25" s="24" t="s">
        <v>39</v>
      </c>
      <c r="AW25" s="42">
        <f>SUMPRODUCT(AM25:AR25,AC25:AH25)</f>
        <v>0.42050616568967364</v>
      </c>
      <c r="AX25" s="16">
        <f>SUMPRODUCT($AM$26:$AR$26,AC25:AH25)</f>
        <v>0.10521612473977714</v>
      </c>
      <c r="AY25" s="16">
        <f>SUMPRODUCT($AM$27:$AR$27,AC25:AH25)</f>
        <v>2.3358262036389771E-2</v>
      </c>
      <c r="AZ25" s="16">
        <f>SUMPRODUCT($AM$28:$AR$28,AC25:AH25)</f>
        <v>6.2876260576872692E-2</v>
      </c>
      <c r="BA25" s="16">
        <f>SUMPRODUCT($AM$29:$AR$29,AC25:AH25)</f>
        <v>0.17579783998048515</v>
      </c>
      <c r="BB25" s="39"/>
    </row>
    <row r="26" spans="1:54" x14ac:dyDescent="0.35">
      <c r="A26" s="2">
        <v>44970</v>
      </c>
      <c r="B26">
        <v>151.79487609863281</v>
      </c>
      <c r="C26">
        <v>486.92367553710938</v>
      </c>
      <c r="D26">
        <v>148.5619201660156</v>
      </c>
      <c r="E26">
        <v>132.79048156738281</v>
      </c>
      <c r="F26">
        <v>69.300773620605469</v>
      </c>
      <c r="G26">
        <v>130.66813659667969</v>
      </c>
      <c r="H26">
        <v>4137.2900390625</v>
      </c>
      <c r="I26">
        <f t="shared" si="3"/>
        <v>1.8631937064529109E-2</v>
      </c>
      <c r="J26">
        <f t="shared" si="3"/>
        <v>1.2837640543232796E-2</v>
      </c>
      <c r="K26">
        <f t="shared" si="3"/>
        <v>3.6936900505904007E-3</v>
      </c>
      <c r="L26">
        <f t="shared" si="3"/>
        <v>1.0789673198062432E-2</v>
      </c>
      <c r="M26">
        <f t="shared" si="3"/>
        <v>1.1705527065827436E-2</v>
      </c>
      <c r="N26">
        <f t="shared" si="3"/>
        <v>1.3006555962785537E-2</v>
      </c>
      <c r="O26">
        <f t="shared" si="3"/>
        <v>1.1383569951155146E-2</v>
      </c>
      <c r="Z26" s="55"/>
      <c r="AB26" s="25"/>
      <c r="AC26" s="18"/>
      <c r="AD26" s="18"/>
      <c r="AE26" s="18"/>
      <c r="AF26" s="18"/>
      <c r="AG26" s="18"/>
      <c r="AH26" s="18"/>
      <c r="AI26" s="18"/>
      <c r="AK26" s="38"/>
      <c r="AL26" s="26" t="s">
        <v>43</v>
      </c>
      <c r="AM26" s="16">
        <f>$AC$22+(AM25*($Y$4-$AC$22))</f>
        <v>0.21650072799758874</v>
      </c>
      <c r="AN26" s="16">
        <f t="shared" ref="AN26:AR26" si="8">$AC$22+(AN25*($Y$4-$AC$22))</f>
        <v>0.13629880791369714</v>
      </c>
      <c r="AO26" s="16">
        <f t="shared" si="8"/>
        <v>5.5776529676676408E-2</v>
      </c>
      <c r="AP26" s="16">
        <f t="shared" si="8"/>
        <v>0.18171188662525689</v>
      </c>
      <c r="AQ26" s="16">
        <f t="shared" si="8"/>
        <v>0.10652723044560637</v>
      </c>
      <c r="AR26" s="16">
        <f t="shared" si="8"/>
        <v>6.629526392175622E-2</v>
      </c>
      <c r="AU26" s="63"/>
      <c r="AV26" s="29" t="s">
        <v>40</v>
      </c>
      <c r="AW26" s="42">
        <f>SUMPRODUCT(AM25:AR25,AC33:AH33)</f>
        <v>0.82446990968167022</v>
      </c>
      <c r="AX26" s="16">
        <f>SUMPRODUCT($AM$26:$AR$26,AC33:AH33)</f>
        <v>0.16623356906585718</v>
      </c>
      <c r="AY26" s="16">
        <f>SUMPRODUCT($AM$27:$AR$27,AC33:AH33)</f>
        <v>0.10291309013908512</v>
      </c>
      <c r="AZ26" s="16">
        <f>SUMPRODUCT($AM$28:$AR$28,AC33:AH33)</f>
        <v>0.12327901255362833</v>
      </c>
      <c r="BA26" s="16">
        <f>SUMPRODUCT(AM29:AR29,AC33:AH33)</f>
        <v>0.18010503175088788</v>
      </c>
      <c r="BB26" s="39"/>
    </row>
    <row r="27" spans="1:54" x14ac:dyDescent="0.35">
      <c r="A27" s="2">
        <v>44971</v>
      </c>
      <c r="B27">
        <v>151.15357971191409</v>
      </c>
      <c r="C27">
        <v>483.81820678710938</v>
      </c>
      <c r="D27">
        <v>147.9137878417969</v>
      </c>
      <c r="E27">
        <v>133.37725830078119</v>
      </c>
      <c r="F27">
        <v>69.676490783691406</v>
      </c>
      <c r="G27">
        <v>129.93113708496091</v>
      </c>
      <c r="H27">
        <v>4136.1298828125</v>
      </c>
      <c r="I27">
        <f t="shared" si="3"/>
        <v>-4.2337059807742118E-3</v>
      </c>
      <c r="J27">
        <f t="shared" si="3"/>
        <v>-6.39815670969593E-3</v>
      </c>
      <c r="K27">
        <f t="shared" si="3"/>
        <v>-4.3722526953752462E-3</v>
      </c>
      <c r="L27">
        <f t="shared" si="3"/>
        <v>4.4090819140380601E-3</v>
      </c>
      <c r="M27">
        <f t="shared" si="3"/>
        <v>5.406899898674977E-3</v>
      </c>
      <c r="N27">
        <f t="shared" si="3"/>
        <v>-5.6562051473644393E-3</v>
      </c>
      <c r="O27">
        <f t="shared" si="3"/>
        <v>-2.8045385549376243E-4</v>
      </c>
      <c r="Z27" s="55"/>
      <c r="AB27" s="25" t="s">
        <v>19</v>
      </c>
      <c r="AC27" s="22">
        <f t="array" ref="AC27">MMULT(AC25:AH25,MMULT(AC13:AH18,TRANSPOSE(AC25:AH25)))</f>
        <v>1.3370003219135878E-2</v>
      </c>
      <c r="AD27" s="18"/>
      <c r="AE27" s="18"/>
      <c r="AF27" s="18"/>
      <c r="AG27" s="18"/>
      <c r="AH27" s="18"/>
      <c r="AI27" s="18"/>
      <c r="AK27" s="38"/>
      <c r="AL27" s="26" t="s">
        <v>44</v>
      </c>
      <c r="AM27" s="16">
        <f>S4-AM26</f>
        <v>1.8105650303922138E-2</v>
      </c>
      <c r="AN27" s="16">
        <f t="shared" ref="AN27:AR27" si="9">T4-AN26</f>
        <v>9.6272714116671793E-2</v>
      </c>
      <c r="AO27" s="16">
        <f t="shared" si="9"/>
        <v>2.6506719637942634E-2</v>
      </c>
      <c r="AP27" s="16">
        <f t="shared" si="9"/>
        <v>0.13198242533003091</v>
      </c>
      <c r="AQ27" s="16">
        <f t="shared" si="9"/>
        <v>-9.624259101086452E-2</v>
      </c>
      <c r="AR27" s="16">
        <f t="shared" si="9"/>
        <v>-6.3784693108285551E-2</v>
      </c>
      <c r="AU27" s="27"/>
      <c r="AV27" s="27"/>
      <c r="AW27" s="7"/>
      <c r="AX27" s="5"/>
      <c r="AY27" s="5"/>
      <c r="AZ27" s="5"/>
      <c r="BA27" s="5"/>
      <c r="BB27" s="39"/>
    </row>
    <row r="28" spans="1:54" x14ac:dyDescent="0.35">
      <c r="A28" s="2">
        <v>44972</v>
      </c>
      <c r="B28">
        <v>153.255126953125</v>
      </c>
      <c r="C28">
        <v>491.56744384765619</v>
      </c>
      <c r="D28">
        <v>145.47654724121091</v>
      </c>
      <c r="E28">
        <v>133.9361267089844</v>
      </c>
      <c r="F28">
        <v>70.510467529296875</v>
      </c>
      <c r="G28">
        <v>129.63261413574219</v>
      </c>
      <c r="H28">
        <v>4147.60009765625</v>
      </c>
      <c r="I28">
        <f t="shared" si="3"/>
        <v>1.3807624969399865E-2</v>
      </c>
      <c r="J28">
        <f t="shared" si="3"/>
        <v>1.5889920268855148E-2</v>
      </c>
      <c r="K28">
        <f t="shared" si="3"/>
        <v>-1.6614703180285226E-2</v>
      </c>
      <c r="L28">
        <f t="shared" si="3"/>
        <v>4.181378515336137E-3</v>
      </c>
      <c r="M28">
        <f t="shared" si="3"/>
        <v>1.1898205000953541E-2</v>
      </c>
      <c r="N28">
        <f t="shared" si="3"/>
        <v>-2.3001908350876316E-3</v>
      </c>
      <c r="O28">
        <f t="shared" si="3"/>
        <v>2.7693375330766889E-3</v>
      </c>
      <c r="Z28" s="55"/>
      <c r="AB28" s="25" t="s">
        <v>22</v>
      </c>
      <c r="AC28" s="22">
        <f>SQRT(AC27)</f>
        <v>0.11562873007663743</v>
      </c>
      <c r="AD28" s="18"/>
      <c r="AE28" s="18"/>
      <c r="AF28" s="18"/>
      <c r="AG28" s="18"/>
      <c r="AH28" s="18"/>
      <c r="AI28" s="18"/>
      <c r="AK28" s="38"/>
      <c r="AL28" s="26" t="s">
        <v>45</v>
      </c>
      <c r="AM28" s="16">
        <f>(AM25)*$Y$6</f>
        <v>0.17303977797185113</v>
      </c>
      <c r="AN28" s="16">
        <f t="shared" ref="AN28:AR28" si="10">(AN25)*$Y$6</f>
        <v>9.364581546830715E-2</v>
      </c>
      <c r="AO28" s="16">
        <f t="shared" si="10"/>
        <v>1.3934722113399085E-2</v>
      </c>
      <c r="AP28" s="16">
        <f t="shared" si="10"/>
        <v>0.13860140087854012</v>
      </c>
      <c r="AQ28" s="16">
        <f t="shared" si="10"/>
        <v>6.4174158147627933E-2</v>
      </c>
      <c r="AR28" s="16">
        <f t="shared" si="10"/>
        <v>2.4347490178865189E-2</v>
      </c>
      <c r="AU28" s="64" t="s">
        <v>41</v>
      </c>
      <c r="AV28" s="24" t="s">
        <v>39</v>
      </c>
      <c r="AW28" s="42">
        <f>SUMPRODUCT(AM25:AR25,AC47:AH47)</f>
        <v>0.42047937378705341</v>
      </c>
      <c r="AX28" s="16">
        <f>SUMPRODUCT($AM$26:$AR$26,AC47:AH47)</f>
        <v>0.10521203620772641</v>
      </c>
      <c r="AY28" s="16">
        <f>SUMPRODUCT($AM$27:$AR$27,AC47:AH47)</f>
        <v>2.3358558774389925E-2</v>
      </c>
      <c r="AZ28" s="16">
        <f>SUMPRODUCT($AM$28:$AR$28,AC47:AH47)</f>
        <v>6.2872254512781486E-2</v>
      </c>
      <c r="BA28" s="16">
        <f>SUMPRODUCT($AM$29:$AR$29,AC47:AH47)</f>
        <v>0.17579768490401826</v>
      </c>
      <c r="BB28" s="39"/>
    </row>
    <row r="29" spans="1:54" x14ac:dyDescent="0.35">
      <c r="A29" s="2">
        <v>44973</v>
      </c>
      <c r="B29">
        <v>151.6567687988281</v>
      </c>
      <c r="C29">
        <v>484.66433715820313</v>
      </c>
      <c r="D29">
        <v>144.445068359375</v>
      </c>
      <c r="E29">
        <v>132.0919189453125</v>
      </c>
      <c r="F29">
        <v>69.36492919921875</v>
      </c>
      <c r="G29">
        <v>127.9347686767578</v>
      </c>
      <c r="H29">
        <v>4090.409912109375</v>
      </c>
      <c r="I29">
        <f t="shared" si="3"/>
        <v>-1.0484161603306636E-2</v>
      </c>
      <c r="J29">
        <f t="shared" si="3"/>
        <v>-1.4142587616005193E-2</v>
      </c>
      <c r="K29">
        <f t="shared" si="3"/>
        <v>-7.1156007587036144E-3</v>
      </c>
      <c r="L29">
        <f t="shared" si="3"/>
        <v>-1.3864984068946748E-2</v>
      </c>
      <c r="M29">
        <f t="shared" si="3"/>
        <v>-1.6379777556438199E-2</v>
      </c>
      <c r="N29">
        <f t="shared" si="3"/>
        <v>-1.318389023448481E-2</v>
      </c>
      <c r="O29">
        <f t="shared" si="3"/>
        <v>-1.3884689204881605E-2</v>
      </c>
      <c r="Z29" s="55"/>
      <c r="AB29" s="25" t="s">
        <v>23</v>
      </c>
      <c r="AC29" s="22">
        <f>SUMPRODUCT(AC25:AH25,S4:X4)</f>
        <v>0.12857438677616689</v>
      </c>
      <c r="AD29" s="18"/>
      <c r="AE29" s="18"/>
      <c r="AF29" s="18"/>
      <c r="AG29" s="18"/>
      <c r="AH29" s="18"/>
      <c r="AI29" s="18"/>
      <c r="AK29" s="38"/>
      <c r="AL29" s="26" t="s">
        <v>46</v>
      </c>
      <c r="AM29" s="16">
        <f>SQRT((S6^2)-(AM28^2))</f>
        <v>0.18564951599828028</v>
      </c>
      <c r="AN29" s="16">
        <f t="shared" ref="AN29:AR29" si="11">SQRT((T6^2)-(AN28^2))</f>
        <v>0.17300416247339034</v>
      </c>
      <c r="AO29" s="16">
        <f t="shared" si="11"/>
        <v>0.17097492033964065</v>
      </c>
      <c r="AP29" s="16">
        <f t="shared" si="11"/>
        <v>0.18482822355371314</v>
      </c>
      <c r="AQ29" s="16">
        <f t="shared" si="11"/>
        <v>0.2665474996292832</v>
      </c>
      <c r="AR29" s="16">
        <f t="shared" si="11"/>
        <v>0.16242372390837495</v>
      </c>
      <c r="AU29" s="64"/>
      <c r="AV29" s="29" t="s">
        <v>40</v>
      </c>
      <c r="AW29" s="42">
        <f>SUMPRODUCT(AM25:AR25,AC55:AH55)</f>
        <v>1.0628512479448384</v>
      </c>
      <c r="AX29" s="16">
        <f>SUMPRODUCT($AM$26:$AR$26,AC55:AH55)</f>
        <v>0.20224031534489331</v>
      </c>
      <c r="AY29" s="16">
        <f>SUMPRODUCT($AM$27:$AR$27,AC55:AH55)</f>
        <v>0.19978676172263937</v>
      </c>
      <c r="AZ29" s="16">
        <f>SUMPRODUCT($AM$28:$AR$28,AC55:AH55)</f>
        <v>0.15892302532741462</v>
      </c>
      <c r="BA29" s="16">
        <f>SUMPRODUCT($AM$29:$AR$29,AC55:AH55)</f>
        <v>0.1770469804252483</v>
      </c>
      <c r="BB29" s="39"/>
    </row>
    <row r="30" spans="1:54" x14ac:dyDescent="0.35">
      <c r="A30" s="2">
        <v>44974</v>
      </c>
      <c r="B30">
        <v>150.51226806640619</v>
      </c>
      <c r="C30">
        <v>487.9139404296875</v>
      </c>
      <c r="D30">
        <v>147.46064758300781</v>
      </c>
      <c r="E30">
        <v>132.48309326171881</v>
      </c>
      <c r="F30">
        <v>69.713172912597656</v>
      </c>
      <c r="G30">
        <v>130.61213684082031</v>
      </c>
      <c r="H30">
        <v>4079.090087890625</v>
      </c>
      <c r="I30">
        <f t="shared" si="3"/>
        <v>-7.5752712280685048E-3</v>
      </c>
      <c r="J30">
        <f t="shared" si="3"/>
        <v>6.6824757226768786E-3</v>
      </c>
      <c r="K30">
        <f t="shared" si="3"/>
        <v>2.0662058620935137E-2</v>
      </c>
      <c r="L30">
        <f t="shared" si="3"/>
        <v>2.9570033706099903E-3</v>
      </c>
      <c r="M30">
        <f t="shared" si="3"/>
        <v>5.0078975179004516E-3</v>
      </c>
      <c r="N30">
        <f t="shared" si="3"/>
        <v>2.0711629617798297E-2</v>
      </c>
      <c r="O30">
        <f t="shared" si="3"/>
        <v>-2.7712421722827342E-3</v>
      </c>
      <c r="Z30" s="55"/>
      <c r="AB30" s="25" t="s">
        <v>25</v>
      </c>
      <c r="AC30" s="23">
        <f>(AC29-AC22)/AC28</f>
        <v>0.75132181006041943</v>
      </c>
      <c r="AD30" s="18"/>
      <c r="AE30" s="18"/>
      <c r="AF30" s="18"/>
      <c r="AG30" s="18"/>
      <c r="AH30" s="18"/>
      <c r="AI30" s="18"/>
      <c r="AK30" s="38"/>
      <c r="AU30" s="27"/>
      <c r="AV30" s="27"/>
      <c r="AW30" s="7"/>
      <c r="AX30" s="5"/>
      <c r="AY30" s="5"/>
      <c r="AZ30" s="5"/>
      <c r="BA30" s="5"/>
      <c r="BB30" s="39"/>
    </row>
    <row r="31" spans="1:54" x14ac:dyDescent="0.35">
      <c r="A31" s="2">
        <v>44978</v>
      </c>
      <c r="B31">
        <v>146.4966125488281</v>
      </c>
      <c r="C31">
        <v>482.395263671875</v>
      </c>
      <c r="D31">
        <v>145.2633361816406</v>
      </c>
      <c r="E31">
        <v>130.05216979980469</v>
      </c>
      <c r="F31">
        <v>67.504562377929688</v>
      </c>
      <c r="G31">
        <v>130.5188293457031</v>
      </c>
      <c r="H31">
        <v>3997.340087890625</v>
      </c>
      <c r="I31">
        <f t="shared" si="3"/>
        <v>-2.7042290601939224E-2</v>
      </c>
      <c r="J31">
        <f t="shared" si="3"/>
        <v>-1.1375211617059271E-2</v>
      </c>
      <c r="K31">
        <f t="shared" si="3"/>
        <v>-1.5013137254689951E-2</v>
      </c>
      <c r="L31">
        <f t="shared" si="3"/>
        <v>-1.8519363154043879E-2</v>
      </c>
      <c r="M31">
        <f t="shared" si="3"/>
        <v>-3.2194107972665205E-2</v>
      </c>
      <c r="N31">
        <f t="shared" si="3"/>
        <v>-7.1464139585550584E-4</v>
      </c>
      <c r="O31">
        <f t="shared" si="3"/>
        <v>-2.0244783973471698E-2</v>
      </c>
      <c r="Z31" s="55"/>
      <c r="AB31" s="27"/>
      <c r="AK31" s="38"/>
      <c r="AU31" s="27"/>
      <c r="AV31" s="26" t="s">
        <v>42</v>
      </c>
      <c r="AW31" s="42">
        <f>SUMPRODUCT(AM25:AR25,AC67:AH67)</f>
        <v>0.56595078839538404</v>
      </c>
      <c r="AX31" s="16">
        <f>SUMPRODUCT($AM$26:$AR$26,AC67:AH67)</f>
        <v>0.12718507443009697</v>
      </c>
      <c r="AY31" s="16">
        <f>SUMPRODUCT($AM$27:$AR$27,AC67:AH67)</f>
        <v>1.8806704211569568E-2</v>
      </c>
      <c r="AZ31" s="16">
        <f>SUMPRODUCT($AM$28:$AR$28,AC67:AH67)</f>
        <v>8.4623894126431759E-2</v>
      </c>
      <c r="BA31" s="16">
        <f>SUMPRODUCT($AM$29:$AR$29,AC67:AH67)</f>
        <v>0.1905713409837804</v>
      </c>
      <c r="BB31" s="39"/>
    </row>
    <row r="32" spans="1:54" x14ac:dyDescent="0.35">
      <c r="A32" s="2">
        <v>44979</v>
      </c>
      <c r="B32">
        <v>146.9208984375</v>
      </c>
      <c r="C32">
        <v>478.21295166015619</v>
      </c>
      <c r="D32">
        <v>145.0610656738281</v>
      </c>
      <c r="E32">
        <v>129.0555114746094</v>
      </c>
      <c r="F32">
        <v>67.522880554199219</v>
      </c>
      <c r="G32">
        <v>131.06925964355469</v>
      </c>
      <c r="H32">
        <v>3991.050048828125</v>
      </c>
      <c r="I32">
        <f t="shared" si="3"/>
        <v>2.8920304242729981E-3</v>
      </c>
      <c r="J32">
        <f t="shared" si="3"/>
        <v>-8.7076882573146174E-3</v>
      </c>
      <c r="K32">
        <f t="shared" si="3"/>
        <v>-1.3934105383290498E-3</v>
      </c>
      <c r="L32">
        <f t="shared" si="3"/>
        <v>-7.6930427976237507E-3</v>
      </c>
      <c r="M32">
        <f t="shared" si="3"/>
        <v>2.7132523558369475E-4</v>
      </c>
      <c r="N32">
        <f t="shared" si="3"/>
        <v>4.2083805294265194E-3</v>
      </c>
      <c r="O32">
        <f t="shared" si="3"/>
        <v>-1.5747954856433837E-3</v>
      </c>
      <c r="Z32" s="55"/>
      <c r="AB32" s="31"/>
      <c r="AC32" s="28" t="s">
        <v>1</v>
      </c>
      <c r="AD32" s="28" t="s">
        <v>2</v>
      </c>
      <c r="AE32" s="28" t="s">
        <v>3</v>
      </c>
      <c r="AF32" s="28" t="s">
        <v>4</v>
      </c>
      <c r="AG32" s="28" t="s">
        <v>5</v>
      </c>
      <c r="AH32" s="28" t="s">
        <v>6</v>
      </c>
      <c r="AI32" s="10" t="s">
        <v>21</v>
      </c>
      <c r="AK32" s="38"/>
      <c r="BB32" s="39"/>
    </row>
    <row r="33" spans="1:54" ht="15" thickBot="1" x14ac:dyDescent="0.4">
      <c r="A33" s="2">
        <v>44980</v>
      </c>
      <c r="B33">
        <v>147.4043273925781</v>
      </c>
      <c r="C33">
        <v>474.12677001953119</v>
      </c>
      <c r="D33">
        <v>145.01509094238281</v>
      </c>
      <c r="E33">
        <v>130.0893859863281</v>
      </c>
      <c r="F33">
        <v>66.78057861328125</v>
      </c>
      <c r="G33">
        <v>130.6494445800781</v>
      </c>
      <c r="H33">
        <v>4012.320068359375</v>
      </c>
      <c r="I33">
        <f t="shared" si="3"/>
        <v>3.2850014024284357E-3</v>
      </c>
      <c r="J33">
        <f t="shared" si="3"/>
        <v>-8.5814056124839024E-3</v>
      </c>
      <c r="K33">
        <f t="shared" si="3"/>
        <v>-3.1698387324586165E-4</v>
      </c>
      <c r="L33">
        <f t="shared" si="3"/>
        <v>7.9791653793453397E-3</v>
      </c>
      <c r="M33">
        <f t="shared" si="3"/>
        <v>-1.1054212666464601E-2</v>
      </c>
      <c r="N33">
        <f t="shared" si="3"/>
        <v>-3.2081423052239327E-3</v>
      </c>
      <c r="O33">
        <f t="shared" si="3"/>
        <v>5.3152782632377282E-3</v>
      </c>
      <c r="Z33" s="55"/>
      <c r="AB33" s="29" t="s">
        <v>18</v>
      </c>
      <c r="AC33" s="30">
        <v>0.11895742782282537</v>
      </c>
      <c r="AD33" s="30">
        <v>0.3899829654636684</v>
      </c>
      <c r="AE33" s="30">
        <v>1.5137778503283298E-2</v>
      </c>
      <c r="AF33" s="30">
        <v>0.47592182821022289</v>
      </c>
      <c r="AG33" s="30">
        <v>0</v>
      </c>
      <c r="AH33" s="30">
        <v>0</v>
      </c>
      <c r="AI33" s="30">
        <f>SUM(AC33:AH33)</f>
        <v>1</v>
      </c>
      <c r="AK33" s="40"/>
      <c r="AL33" s="53" t="s">
        <v>54</v>
      </c>
      <c r="AM33" s="53"/>
      <c r="AN33" s="53"/>
      <c r="AO33" s="53"/>
      <c r="AP33" s="53"/>
      <c r="AQ33" s="53"/>
      <c r="AR33" s="53"/>
      <c r="AS33" s="53"/>
      <c r="AT33" s="3"/>
      <c r="AU33" s="3"/>
      <c r="AV33" s="3"/>
      <c r="AW33" s="3"/>
      <c r="AX33" s="3"/>
      <c r="AY33" s="3"/>
      <c r="AZ33" s="3"/>
      <c r="BA33" s="3"/>
      <c r="BB33" s="41"/>
    </row>
    <row r="34" spans="1:54" x14ac:dyDescent="0.35">
      <c r="A34" s="2">
        <v>44981</v>
      </c>
      <c r="B34">
        <v>144.7502746582031</v>
      </c>
      <c r="C34">
        <v>469.77145385742188</v>
      </c>
      <c r="D34">
        <v>143.39695739746091</v>
      </c>
      <c r="E34">
        <v>131.2629699707031</v>
      </c>
      <c r="F34">
        <v>66.826393127441406</v>
      </c>
      <c r="G34">
        <v>129.91246032714841</v>
      </c>
      <c r="H34">
        <v>3970.0400390625</v>
      </c>
      <c r="I34">
        <f t="shared" si="3"/>
        <v>-1.8169323565595377E-2</v>
      </c>
      <c r="J34">
        <f t="shared" si="3"/>
        <v>-9.2284251871859613E-3</v>
      </c>
      <c r="K34">
        <f t="shared" si="3"/>
        <v>-1.1221102120312363E-2</v>
      </c>
      <c r="L34">
        <f t="shared" si="3"/>
        <v>8.9809167260089841E-3</v>
      </c>
      <c r="M34">
        <f t="shared" si="3"/>
        <v>6.8581025913440569E-4</v>
      </c>
      <c r="N34">
        <f t="shared" si="3"/>
        <v>-5.6568992195050755E-3</v>
      </c>
      <c r="O34">
        <f t="shared" si="3"/>
        <v>-1.0593464619774184E-2</v>
      </c>
      <c r="Z34" s="55"/>
      <c r="AB34" s="31"/>
      <c r="AC34" s="11"/>
      <c r="AD34" s="11"/>
      <c r="AE34" s="11"/>
      <c r="AF34" s="11"/>
      <c r="AG34" s="11"/>
      <c r="AH34" s="11"/>
      <c r="AI34" s="11"/>
    </row>
    <row r="35" spans="1:54" x14ac:dyDescent="0.35">
      <c r="A35" s="2">
        <v>44984</v>
      </c>
      <c r="B35">
        <v>145.944091796875</v>
      </c>
      <c r="C35">
        <v>468.25244140625</v>
      </c>
      <c r="D35">
        <v>143.0843811035156</v>
      </c>
      <c r="E35">
        <v>132.4085998535156</v>
      </c>
      <c r="F35">
        <v>66.280357360839844</v>
      </c>
      <c r="G35">
        <v>129.80052185058591</v>
      </c>
      <c r="H35">
        <v>3982.239990234375</v>
      </c>
      <c r="I35">
        <f t="shared" si="3"/>
        <v>8.2136015553933052E-3</v>
      </c>
      <c r="J35">
        <f t="shared" si="3"/>
        <v>-3.238752843399501E-3</v>
      </c>
      <c r="K35">
        <f t="shared" si="3"/>
        <v>-2.1821764699844594E-3</v>
      </c>
      <c r="L35">
        <f t="shared" si="3"/>
        <v>8.6898795560380777E-3</v>
      </c>
      <c r="M35">
        <f t="shared" si="3"/>
        <v>-8.2045249785330111E-3</v>
      </c>
      <c r="N35">
        <f t="shared" si="3"/>
        <v>-8.6201685072047525E-4</v>
      </c>
      <c r="O35">
        <f t="shared" si="3"/>
        <v>3.0682925395522777E-3</v>
      </c>
      <c r="Z35" s="55"/>
      <c r="AB35" s="31" t="s">
        <v>20</v>
      </c>
      <c r="AC35" s="32">
        <f t="array" ref="AC35">MMULT(AC33:AH33,MMULT(AC13:AH18,TRANSPOSE(AC33:AH33)))</f>
        <v>2.6604482496320948E-2</v>
      </c>
      <c r="AD35" s="11"/>
      <c r="AE35" s="11"/>
      <c r="AF35" s="11"/>
      <c r="AG35" s="11"/>
      <c r="AH35" s="11"/>
      <c r="AI35" s="11"/>
      <c r="AL35" s="65" t="s">
        <v>55</v>
      </c>
      <c r="AM35" s="65"/>
      <c r="AN35" s="65"/>
      <c r="AO35" s="65"/>
      <c r="AP35" s="65"/>
    </row>
    <row r="36" spans="1:54" x14ac:dyDescent="0.35">
      <c r="A36" s="2">
        <v>44985</v>
      </c>
      <c r="B36">
        <v>145.44091796875</v>
      </c>
      <c r="C36">
        <v>465.51226806640619</v>
      </c>
      <c r="D36">
        <v>140.90541076660159</v>
      </c>
      <c r="E36">
        <v>133.51695251464841</v>
      </c>
      <c r="F36">
        <v>65.514801025390625</v>
      </c>
      <c r="G36">
        <v>128.32655334472659</v>
      </c>
      <c r="H36">
        <v>3970.14990234375</v>
      </c>
      <c r="I36">
        <f t="shared" si="3"/>
        <v>-3.4536733971218736E-3</v>
      </c>
      <c r="J36">
        <f t="shared" si="3"/>
        <v>-5.8691042353532646E-3</v>
      </c>
      <c r="K36">
        <f t="shared" si="3"/>
        <v>-1.5345714245894641E-2</v>
      </c>
      <c r="L36">
        <f t="shared" si="3"/>
        <v>8.3358599369103992E-3</v>
      </c>
      <c r="M36">
        <f t="shared" si="3"/>
        <v>-1.1617497261037665E-2</v>
      </c>
      <c r="N36">
        <f t="shared" si="3"/>
        <v>-1.1420611538434969E-2</v>
      </c>
      <c r="O36">
        <f t="shared" si="3"/>
        <v>-3.0406198309477117E-3</v>
      </c>
      <c r="Z36" s="55"/>
      <c r="AB36" s="31" t="s">
        <v>26</v>
      </c>
      <c r="AC36" s="32">
        <f>SQRT(AC35)</f>
        <v>0.16310880569828518</v>
      </c>
      <c r="AD36" s="11"/>
      <c r="AE36" s="11"/>
      <c r="AF36" s="11"/>
      <c r="AG36" s="11"/>
      <c r="AH36" s="11"/>
      <c r="AI36" s="11"/>
      <c r="AL36" s="65"/>
      <c r="AM36" s="65"/>
      <c r="AN36" s="65"/>
      <c r="AO36" s="65"/>
      <c r="AP36" s="65"/>
    </row>
    <row r="37" spans="1:54" x14ac:dyDescent="0.35">
      <c r="A37" s="2">
        <v>44986</v>
      </c>
      <c r="B37">
        <v>143.36894226074219</v>
      </c>
      <c r="C37">
        <v>460.2147216796875</v>
      </c>
      <c r="D37">
        <v>140.27107238769531</v>
      </c>
      <c r="E37">
        <v>132.77183532714841</v>
      </c>
      <c r="F37">
        <v>64.444869995117188</v>
      </c>
      <c r="G37">
        <v>128.4198913574219</v>
      </c>
      <c r="H37">
        <v>3951.389892578125</v>
      </c>
      <c r="I37">
        <f t="shared" si="3"/>
        <v>-1.4348618533513382E-2</v>
      </c>
      <c r="J37">
        <f t="shared" si="3"/>
        <v>-1.1445284137558232E-2</v>
      </c>
      <c r="K37">
        <f t="shared" si="3"/>
        <v>-4.5120377634035409E-3</v>
      </c>
      <c r="L37">
        <f t="shared" si="3"/>
        <v>-5.5963237372611795E-3</v>
      </c>
      <c r="M37">
        <f t="shared" si="3"/>
        <v>-1.6465957412204892E-2</v>
      </c>
      <c r="N37">
        <f t="shared" si="3"/>
        <v>7.2708322731035609E-4</v>
      </c>
      <c r="O37">
        <f t="shared" si="3"/>
        <v>-4.7364642034928321E-3</v>
      </c>
      <c r="Z37" s="55"/>
      <c r="AB37" s="31" t="s">
        <v>27</v>
      </c>
      <c r="AC37" s="32">
        <f>SUMPRODUCT(AC33:AH33,S4:X4)</f>
        <v>0.2691466592049423</v>
      </c>
      <c r="AD37" s="11"/>
      <c r="AE37" s="11"/>
      <c r="AF37" s="11"/>
      <c r="AG37" s="11"/>
      <c r="AH37" s="11"/>
      <c r="AI37" s="11"/>
    </row>
    <row r="38" spans="1:54" x14ac:dyDescent="0.35">
      <c r="A38" s="2">
        <v>44987</v>
      </c>
      <c r="B38">
        <v>143.9609680175781</v>
      </c>
      <c r="C38">
        <v>466.96405029296881</v>
      </c>
      <c r="D38">
        <v>140.16072082519531</v>
      </c>
      <c r="E38">
        <v>131.39337158203119</v>
      </c>
      <c r="F38">
        <v>66.603179931640625</v>
      </c>
      <c r="G38">
        <v>130.53749084472659</v>
      </c>
      <c r="H38">
        <v>3981.35009765625</v>
      </c>
      <c r="I38">
        <f t="shared" si="3"/>
        <v>4.1208838582919519E-3</v>
      </c>
      <c r="J38">
        <f t="shared" si="3"/>
        <v>1.4559107772552763E-2</v>
      </c>
      <c r="K38">
        <f t="shared" si="3"/>
        <v>-7.8701182153119442E-4</v>
      </c>
      <c r="L38">
        <f t="shared" si="3"/>
        <v>-1.04364709726205E-2</v>
      </c>
      <c r="M38">
        <f t="shared" si="3"/>
        <v>3.2942193572884186E-2</v>
      </c>
      <c r="N38">
        <f t="shared" si="3"/>
        <v>1.6355175299144934E-2</v>
      </c>
      <c r="O38">
        <f t="shared" si="3"/>
        <v>7.5535937311959735E-3</v>
      </c>
      <c r="Z38" s="9"/>
      <c r="AB38" s="31" t="s">
        <v>28</v>
      </c>
      <c r="AC38" s="33">
        <f>(AC37-AC22)/AC36</f>
        <v>1.3944474562928733</v>
      </c>
      <c r="AD38" s="11"/>
      <c r="AE38" s="11"/>
      <c r="AF38" s="11"/>
      <c r="AG38" s="11"/>
      <c r="AH38" s="11"/>
      <c r="AI38" s="11"/>
    </row>
    <row r="39" spans="1:54" x14ac:dyDescent="0.35">
      <c r="A39" s="2">
        <v>44988</v>
      </c>
      <c r="B39">
        <v>149.01255798339841</v>
      </c>
      <c r="C39">
        <v>456.93621826171881</v>
      </c>
      <c r="D39">
        <v>141.60417175292969</v>
      </c>
      <c r="E39">
        <v>133.80570983886719</v>
      </c>
      <c r="F39">
        <v>68.097396850585938</v>
      </c>
      <c r="G39">
        <v>131.48902893066409</v>
      </c>
      <c r="H39">
        <v>4045.639892578125</v>
      </c>
      <c r="I39">
        <f t="shared" si="3"/>
        <v>3.4488376761373472E-2</v>
      </c>
      <c r="J39">
        <f t="shared" si="3"/>
        <v>-2.1708459618044428E-2</v>
      </c>
      <c r="K39">
        <f t="shared" si="3"/>
        <v>1.0245872308944531E-2</v>
      </c>
      <c r="L39">
        <f t="shared" si="3"/>
        <v>1.8193161017649832E-2</v>
      </c>
      <c r="M39">
        <f t="shared" si="3"/>
        <v>2.2186663901808047E-2</v>
      </c>
      <c r="N39">
        <f t="shared" si="3"/>
        <v>7.2629462817973113E-3</v>
      </c>
      <c r="O39">
        <f t="shared" si="3"/>
        <v>1.601874917648306E-2</v>
      </c>
      <c r="Z39" s="9"/>
      <c r="AB39" s="27"/>
    </row>
    <row r="40" spans="1:54" x14ac:dyDescent="0.35">
      <c r="A40" s="2">
        <v>44991</v>
      </c>
      <c r="B40">
        <v>151.7751770019531</v>
      </c>
      <c r="C40">
        <v>464.45468139648438</v>
      </c>
      <c r="D40">
        <v>143.0199890136719</v>
      </c>
      <c r="E40">
        <v>133.0233459472656</v>
      </c>
      <c r="F40">
        <v>68.623130798339844</v>
      </c>
      <c r="G40">
        <v>130.92933654785159</v>
      </c>
      <c r="H40">
        <v>4048.419921875</v>
      </c>
      <c r="I40">
        <f t="shared" si="3"/>
        <v>1.8369743066928037E-2</v>
      </c>
      <c r="J40">
        <f t="shared" si="3"/>
        <v>1.632017423694989E-2</v>
      </c>
      <c r="K40">
        <f t="shared" si="3"/>
        <v>9.9487614458951459E-3</v>
      </c>
      <c r="L40">
        <f t="shared" si="3"/>
        <v>-5.8641749589462763E-3</v>
      </c>
      <c r="M40">
        <f t="shared" si="3"/>
        <v>7.6906745178332205E-3</v>
      </c>
      <c r="N40">
        <f t="shared" si="3"/>
        <v>-4.2656559533362053E-3</v>
      </c>
      <c r="O40">
        <f t="shared" si="3"/>
        <v>6.8693077884830116E-4</v>
      </c>
      <c r="AB40" s="27"/>
    </row>
    <row r="41" spans="1:54" x14ac:dyDescent="0.35">
      <c r="A41" s="2">
        <v>44992</v>
      </c>
      <c r="B41">
        <v>149.57496643066409</v>
      </c>
      <c r="C41">
        <v>466.4449462890625</v>
      </c>
      <c r="D41">
        <v>141.66851806640619</v>
      </c>
      <c r="E41">
        <v>129.11140441894531</v>
      </c>
      <c r="F41">
        <v>68.023605346679688</v>
      </c>
      <c r="G41">
        <v>128.32655334472659</v>
      </c>
      <c r="H41">
        <v>3986.3701171875</v>
      </c>
      <c r="I41">
        <f t="shared" si="3"/>
        <v>-1.4602612384044675E-2</v>
      </c>
      <c r="J41">
        <f t="shared" si="3"/>
        <v>4.2760097134612162E-3</v>
      </c>
      <c r="K41">
        <f t="shared" si="3"/>
        <v>-9.4944549285652137E-3</v>
      </c>
      <c r="L41">
        <f t="shared" si="3"/>
        <v>-2.984901443516793E-2</v>
      </c>
      <c r="M41">
        <f t="shared" si="3"/>
        <v>-8.7748791584631083E-3</v>
      </c>
      <c r="N41">
        <f t="shared" si="3"/>
        <v>-2.0079548854916279E-2</v>
      </c>
      <c r="O41">
        <f t="shared" si="3"/>
        <v>-1.5445590479262547E-2</v>
      </c>
      <c r="AB41" s="27"/>
    </row>
    <row r="42" spans="1:54" x14ac:dyDescent="0.35">
      <c r="A42" s="2">
        <v>44993</v>
      </c>
      <c r="B42">
        <v>150.8280029296875</v>
      </c>
      <c r="C42">
        <v>467.30056762695313</v>
      </c>
      <c r="D42">
        <v>140.6296081542969</v>
      </c>
      <c r="E42">
        <v>128.3476867675781</v>
      </c>
      <c r="F42">
        <v>68.484786987304688</v>
      </c>
      <c r="G42">
        <v>128.34521484375</v>
      </c>
      <c r="H42">
        <v>3992.010009765625</v>
      </c>
      <c r="I42">
        <f t="shared" si="3"/>
        <v>8.3424193101215207E-3</v>
      </c>
      <c r="J42">
        <f t="shared" si="3"/>
        <v>1.8326654631641752E-3</v>
      </c>
      <c r="K42">
        <f t="shared" si="3"/>
        <v>-7.3604073559441928E-3</v>
      </c>
      <c r="L42">
        <f t="shared" si="3"/>
        <v>-5.9327475128193637E-3</v>
      </c>
      <c r="M42">
        <f t="shared" si="3"/>
        <v>6.7568504374497075E-3</v>
      </c>
      <c r="N42">
        <f t="shared" si="3"/>
        <v>1.4541138815547295E-4</v>
      </c>
      <c r="O42">
        <f t="shared" si="3"/>
        <v>1.4137941356032722E-3</v>
      </c>
      <c r="AB42" s="27"/>
    </row>
    <row r="43" spans="1:54" x14ac:dyDescent="0.35">
      <c r="A43" s="2">
        <v>44994</v>
      </c>
      <c r="B43">
        <v>148.5784606933594</v>
      </c>
      <c r="C43">
        <v>461.031982421875</v>
      </c>
      <c r="D43">
        <v>139.04826354980469</v>
      </c>
      <c r="E43">
        <v>121.3993835449219</v>
      </c>
      <c r="F43">
        <v>68.032829284667969</v>
      </c>
      <c r="G43">
        <v>127.4029922485352</v>
      </c>
      <c r="H43">
        <v>3918.320068359375</v>
      </c>
      <c r="I43">
        <f t="shared" si="3"/>
        <v>-1.5026960604810156E-2</v>
      </c>
      <c r="J43">
        <f t="shared" si="3"/>
        <v>-1.3505247624087072E-2</v>
      </c>
      <c r="K43">
        <f t="shared" si="3"/>
        <v>-1.1308448872391189E-2</v>
      </c>
      <c r="L43">
        <f t="shared" si="3"/>
        <v>-5.5657083578831479E-2</v>
      </c>
      <c r="M43">
        <f t="shared" si="3"/>
        <v>-6.6212605548042662E-3</v>
      </c>
      <c r="N43">
        <f t="shared" si="3"/>
        <v>-7.3683946327519068E-3</v>
      </c>
      <c r="O43">
        <f t="shared" si="3"/>
        <v>-1.8631857945482354E-2</v>
      </c>
      <c r="AB43" s="27"/>
    </row>
    <row r="44" spans="1:54" x14ac:dyDescent="0.35">
      <c r="A44" s="2">
        <v>44995</v>
      </c>
      <c r="B44">
        <v>146.516357421875</v>
      </c>
      <c r="C44">
        <v>452.97503662109381</v>
      </c>
      <c r="D44">
        <v>139.38844299316409</v>
      </c>
      <c r="E44">
        <v>124.4823303222656</v>
      </c>
      <c r="F44">
        <v>67.341064453125</v>
      </c>
      <c r="G44">
        <v>127.9814071655273</v>
      </c>
      <c r="H44">
        <v>3861.590087890625</v>
      </c>
      <c r="I44">
        <f t="shared" si="3"/>
        <v>-1.3976096568900179E-2</v>
      </c>
      <c r="J44">
        <f t="shared" si="3"/>
        <v>-1.7630399608615725E-2</v>
      </c>
      <c r="K44">
        <f t="shared" si="3"/>
        <v>2.4434968854608399E-3</v>
      </c>
      <c r="L44">
        <f t="shared" si="3"/>
        <v>2.5077979981243614E-2</v>
      </c>
      <c r="M44">
        <f t="shared" si="3"/>
        <v>-1.0220151518949006E-2</v>
      </c>
      <c r="N44">
        <f t="shared" si="3"/>
        <v>4.5297669501345702E-3</v>
      </c>
      <c r="O44">
        <f t="shared" si="3"/>
        <v>-1.458396943606664E-2</v>
      </c>
      <c r="AB44" s="27" t="s">
        <v>24</v>
      </c>
      <c r="AC44" s="5">
        <v>4.1700000000000001E-2</v>
      </c>
    </row>
    <row r="45" spans="1:54" x14ac:dyDescent="0.35">
      <c r="A45" s="2">
        <v>44998</v>
      </c>
      <c r="B45">
        <v>148.46006774902341</v>
      </c>
      <c r="C45">
        <v>453.80194091796881</v>
      </c>
      <c r="D45">
        <v>140.72154235839841</v>
      </c>
      <c r="E45">
        <v>122.24697113037109</v>
      </c>
      <c r="F45">
        <v>67.599327087402344</v>
      </c>
      <c r="G45">
        <v>128.86766052246091</v>
      </c>
      <c r="H45">
        <v>3855.760009765625</v>
      </c>
      <c r="I45">
        <f t="shared" si="3"/>
        <v>1.317894105357841E-2</v>
      </c>
      <c r="J45">
        <f t="shared" si="3"/>
        <v>1.823832202565391E-3</v>
      </c>
      <c r="K45">
        <f t="shared" si="3"/>
        <v>9.5184713146883905E-3</v>
      </c>
      <c r="L45">
        <f t="shared" si="3"/>
        <v>-1.812042869170823E-2</v>
      </c>
      <c r="M45">
        <f t="shared" si="3"/>
        <v>3.8278079182958373E-3</v>
      </c>
      <c r="N45">
        <f t="shared" si="3"/>
        <v>6.9009935066632359E-3</v>
      </c>
      <c r="O45">
        <f t="shared" si="3"/>
        <v>-1.5109018407387679E-3</v>
      </c>
      <c r="Z45" s="56" t="s">
        <v>34</v>
      </c>
      <c r="AB45" s="27"/>
    </row>
    <row r="46" spans="1:54" x14ac:dyDescent="0.35">
      <c r="A46" s="2">
        <v>44999</v>
      </c>
      <c r="B46">
        <v>150.55169677734381</v>
      </c>
      <c r="C46">
        <v>463.33941650390619</v>
      </c>
      <c r="D46">
        <v>141.51222229003909</v>
      </c>
      <c r="E46">
        <v>125.3857803344727</v>
      </c>
      <c r="F46">
        <v>68.761482238769531</v>
      </c>
      <c r="G46">
        <v>130.4628601074219</v>
      </c>
      <c r="H46">
        <v>3919.2900390625</v>
      </c>
      <c r="I46">
        <f t="shared" si="3"/>
        <v>1.3990507353338084E-2</v>
      </c>
      <c r="J46">
        <f t="shared" si="3"/>
        <v>2.0799017145100775E-2</v>
      </c>
      <c r="K46">
        <f t="shared" si="3"/>
        <v>5.6030291143282212E-3</v>
      </c>
      <c r="L46">
        <f t="shared" si="3"/>
        <v>2.5351875288875815E-2</v>
      </c>
      <c r="M46">
        <f t="shared" si="3"/>
        <v>1.7045708312427618E-2</v>
      </c>
      <c r="N46">
        <f t="shared" si="3"/>
        <v>1.2302599023165722E-2</v>
      </c>
      <c r="O46">
        <f t="shared" si="3"/>
        <v>1.6342388235363665E-2</v>
      </c>
      <c r="Z46" s="56"/>
      <c r="AB46" s="25"/>
      <c r="AC46" s="19" t="s">
        <v>1</v>
      </c>
      <c r="AD46" s="19" t="s">
        <v>2</v>
      </c>
      <c r="AE46" s="19" t="s">
        <v>3</v>
      </c>
      <c r="AF46" s="19" t="s">
        <v>4</v>
      </c>
      <c r="AG46" s="19" t="s">
        <v>5</v>
      </c>
      <c r="AH46" s="19" t="s">
        <v>6</v>
      </c>
      <c r="AI46" s="20" t="s">
        <v>21</v>
      </c>
    </row>
    <row r="47" spans="1:54" x14ac:dyDescent="0.35">
      <c r="A47" s="2">
        <v>45000</v>
      </c>
      <c r="B47">
        <v>150.94636535644531</v>
      </c>
      <c r="C47">
        <v>466.93521118164063</v>
      </c>
      <c r="D47">
        <v>141.9075622558594</v>
      </c>
      <c r="E47">
        <v>119.46205139160161</v>
      </c>
      <c r="F47">
        <v>69.656166076660156</v>
      </c>
      <c r="G47">
        <v>132.30995178222659</v>
      </c>
      <c r="H47">
        <v>3891.929931640625</v>
      </c>
      <c r="I47">
        <f t="shared" si="3"/>
        <v>2.618052014903709E-3</v>
      </c>
      <c r="J47">
        <f t="shared" si="3"/>
        <v>7.7306474424486057E-3</v>
      </c>
      <c r="K47">
        <f t="shared" si="3"/>
        <v>2.7897856380170128E-3</v>
      </c>
      <c r="L47">
        <f t="shared" si="3"/>
        <v>-4.8396467945587184E-2</v>
      </c>
      <c r="M47">
        <f t="shared" si="3"/>
        <v>1.2927488780594321E-2</v>
      </c>
      <c r="N47">
        <f t="shared" si="3"/>
        <v>1.4058700244571915E-2</v>
      </c>
      <c r="O47">
        <f t="shared" si="3"/>
        <v>-7.0053639293535972E-3</v>
      </c>
      <c r="Z47" s="56"/>
      <c r="AB47" s="24" t="s">
        <v>17</v>
      </c>
      <c r="AC47" s="21">
        <v>8.1221066593982358E-2</v>
      </c>
      <c r="AD47" s="21">
        <v>0.18291246548670101</v>
      </c>
      <c r="AE47" s="21">
        <v>0.29176726033214673</v>
      </c>
      <c r="AF47" s="21">
        <v>0.13352018789367637</v>
      </c>
      <c r="AG47" s="21">
        <v>3.9049616897816705E-2</v>
      </c>
      <c r="AH47" s="21">
        <v>0.27152840279567714</v>
      </c>
      <c r="AI47" s="21">
        <f>SUM(AC47:AH47)</f>
        <v>0.9999990000000003</v>
      </c>
    </row>
    <row r="48" spans="1:54" x14ac:dyDescent="0.35">
      <c r="A48" s="2">
        <v>45001</v>
      </c>
      <c r="B48">
        <v>153.7681884765625</v>
      </c>
      <c r="C48">
        <v>468.47354125976563</v>
      </c>
      <c r="D48">
        <v>141.61334228515619</v>
      </c>
      <c r="E48">
        <v>121.78126525878911</v>
      </c>
      <c r="F48">
        <v>70.311042785644531</v>
      </c>
      <c r="G48">
        <v>133.298828125</v>
      </c>
      <c r="H48">
        <v>3960.280029296875</v>
      </c>
      <c r="I48">
        <f t="shared" si="3"/>
        <v>1.8521621321561224E-2</v>
      </c>
      <c r="J48">
        <f t="shared" si="3"/>
        <v>3.2891106929376457E-3</v>
      </c>
      <c r="K48">
        <f t="shared" si="3"/>
        <v>-2.0754736007522505E-3</v>
      </c>
      <c r="L48">
        <f t="shared" si="3"/>
        <v>1.922776847402299E-2</v>
      </c>
      <c r="M48">
        <f t="shared" si="3"/>
        <v>9.3576415935602338E-3</v>
      </c>
      <c r="N48">
        <f t="shared" si="3"/>
        <v>7.4461462617545372E-3</v>
      </c>
      <c r="O48">
        <f t="shared" si="3"/>
        <v>1.7409576249031722E-2</v>
      </c>
      <c r="Z48" s="56"/>
      <c r="AB48" s="25"/>
      <c r="AC48" s="18"/>
      <c r="AD48" s="18"/>
      <c r="AE48" s="18"/>
      <c r="AF48" s="18"/>
      <c r="AG48" s="18"/>
      <c r="AH48" s="18"/>
      <c r="AI48" s="18"/>
    </row>
    <row r="49" spans="1:35" x14ac:dyDescent="0.35">
      <c r="A49" s="2">
        <v>45002</v>
      </c>
      <c r="B49">
        <v>152.92951965332031</v>
      </c>
      <c r="C49">
        <v>468.27166748046881</v>
      </c>
      <c r="D49">
        <v>140.09635925292969</v>
      </c>
      <c r="E49">
        <v>117.18011474609381</v>
      </c>
      <c r="F49">
        <v>69.794525146484375</v>
      </c>
      <c r="G49">
        <v>133.33610534667969</v>
      </c>
      <c r="H49">
        <v>3916.639892578125</v>
      </c>
      <c r="I49">
        <f t="shared" si="3"/>
        <v>-5.4690393271237172E-3</v>
      </c>
      <c r="J49">
        <f t="shared" si="3"/>
        <v>-4.310110807900034E-4</v>
      </c>
      <c r="K49">
        <f t="shared" si="3"/>
        <v>-1.0769935767298532E-2</v>
      </c>
      <c r="L49">
        <f t="shared" si="3"/>
        <v>-3.851433449017682E-2</v>
      </c>
      <c r="M49">
        <f t="shared" si="3"/>
        <v>-7.373296962334022E-3</v>
      </c>
      <c r="N49">
        <f t="shared" si="3"/>
        <v>2.796124381543161E-4</v>
      </c>
      <c r="O49">
        <f t="shared" si="3"/>
        <v>-1.1080621273953702E-2</v>
      </c>
      <c r="Z49" s="56"/>
      <c r="AB49" s="25" t="s">
        <v>19</v>
      </c>
      <c r="AC49" s="22">
        <f t="array" ref="AC49">MMULT(AC47:AH47,MMULT(AC13:AH18,TRANSPOSE(AC47:AH47)))</f>
        <v>1.3369976406983598E-2</v>
      </c>
      <c r="AD49" s="18"/>
      <c r="AE49" s="18"/>
      <c r="AF49" s="18"/>
      <c r="AG49" s="18"/>
      <c r="AH49" s="18"/>
      <c r="AI49" s="18"/>
    </row>
    <row r="50" spans="1:35" x14ac:dyDescent="0.35">
      <c r="A50" s="2">
        <v>45005</v>
      </c>
      <c r="B50">
        <v>155.29743957519531</v>
      </c>
      <c r="C50">
        <v>470.42526245117188</v>
      </c>
      <c r="D50">
        <v>141.4846496582031</v>
      </c>
      <c r="E50">
        <v>118.4188766479492</v>
      </c>
      <c r="F50">
        <v>70.071243286132813</v>
      </c>
      <c r="G50">
        <v>135.38844299316409</v>
      </c>
      <c r="H50">
        <v>3951.570068359375</v>
      </c>
      <c r="I50">
        <f t="shared" si="3"/>
        <v>1.536508366198913E-2</v>
      </c>
      <c r="J50">
        <f t="shared" si="3"/>
        <v>4.5884857626563606E-3</v>
      </c>
      <c r="K50">
        <f t="shared" si="3"/>
        <v>9.8607619866270396E-3</v>
      </c>
      <c r="L50">
        <f t="shared" si="3"/>
        <v>1.0515947544829237E-2</v>
      </c>
      <c r="M50">
        <f t="shared" si="3"/>
        <v>3.9569153167563166E-3</v>
      </c>
      <c r="N50">
        <f t="shared" si="3"/>
        <v>1.5274953955751795E-2</v>
      </c>
      <c r="O50">
        <f t="shared" si="3"/>
        <v>8.8788696359408531E-3</v>
      </c>
      <c r="Z50" s="56"/>
      <c r="AB50" s="25" t="s">
        <v>22</v>
      </c>
      <c r="AC50" s="22">
        <f>SQRT(AC49)</f>
        <v>0.11562861413587727</v>
      </c>
      <c r="AD50" s="18"/>
      <c r="AE50" s="18"/>
      <c r="AF50" s="18"/>
      <c r="AG50" s="18"/>
      <c r="AH50" s="18"/>
      <c r="AI50" s="18"/>
    </row>
    <row r="51" spans="1:35" x14ac:dyDescent="0.35">
      <c r="A51" s="2">
        <v>45006</v>
      </c>
      <c r="B51">
        <v>157.15232849121091</v>
      </c>
      <c r="C51">
        <v>471.925048828125</v>
      </c>
      <c r="D51">
        <v>141.4846496582031</v>
      </c>
      <c r="E51">
        <v>121.59498596191411</v>
      </c>
      <c r="F51">
        <v>69.508590698242188</v>
      </c>
      <c r="G51">
        <v>134.408935546875</v>
      </c>
      <c r="H51">
        <v>4002.8701171875</v>
      </c>
      <c r="I51">
        <f t="shared" si="3"/>
        <v>1.1873337072381687E-2</v>
      </c>
      <c r="J51">
        <f t="shared" si="3"/>
        <v>3.1830787878349802E-3</v>
      </c>
      <c r="K51">
        <f t="shared" si="3"/>
        <v>0</v>
      </c>
      <c r="L51">
        <f t="shared" si="3"/>
        <v>2.6467593925759418E-2</v>
      </c>
      <c r="M51">
        <f t="shared" si="3"/>
        <v>-8.0621336110483985E-3</v>
      </c>
      <c r="N51">
        <f t="shared" si="3"/>
        <v>-7.2610916768004533E-3</v>
      </c>
      <c r="O51">
        <f t="shared" si="3"/>
        <v>1.2898647518559103E-2</v>
      </c>
      <c r="Z51" s="56"/>
      <c r="AB51" s="25" t="s">
        <v>23</v>
      </c>
      <c r="AC51" s="22">
        <f>SUMPRODUCT(AC47:AH47,S4:X4)</f>
        <v>0.12857059498211637</v>
      </c>
      <c r="AD51" s="18"/>
      <c r="AE51" s="18"/>
      <c r="AF51" s="18"/>
      <c r="AG51" s="18"/>
      <c r="AH51" s="18"/>
      <c r="AI51" s="18"/>
    </row>
    <row r="52" spans="1:35" x14ac:dyDescent="0.35">
      <c r="A52" s="2">
        <v>45007</v>
      </c>
      <c r="B52">
        <v>155.7217712402344</v>
      </c>
      <c r="C52">
        <v>468.7235107421875</v>
      </c>
      <c r="D52">
        <v>138.8735656738281</v>
      </c>
      <c r="E52">
        <v>118.4561386108398</v>
      </c>
      <c r="F52">
        <v>68.374092102050781</v>
      </c>
      <c r="G52">
        <v>134.32496643066409</v>
      </c>
      <c r="H52">
        <v>3936.969970703125</v>
      </c>
      <c r="I52">
        <f t="shared" si="3"/>
        <v>-9.1446829342110153E-3</v>
      </c>
      <c r="J52">
        <f t="shared" si="3"/>
        <v>-6.8071128494699073E-3</v>
      </c>
      <c r="K52">
        <f t="shared" si="3"/>
        <v>-1.8627308492489041E-2</v>
      </c>
      <c r="L52">
        <f t="shared" si="3"/>
        <v>-2.6152981064143377E-2</v>
      </c>
      <c r="M52">
        <f t="shared" si="3"/>
        <v>-1.6456369661952533E-2</v>
      </c>
      <c r="N52">
        <f t="shared" si="3"/>
        <v>-6.2492389926023918E-4</v>
      </c>
      <c r="O52">
        <f t="shared" si="3"/>
        <v>-1.6600248639842885E-2</v>
      </c>
      <c r="Z52" s="56"/>
      <c r="AB52" s="25" t="s">
        <v>25</v>
      </c>
      <c r="AC52" s="23">
        <f>(AC51-AC44)/AC50</f>
        <v>0.751289770540994</v>
      </c>
      <c r="AD52" s="18"/>
      <c r="AE52" s="18"/>
      <c r="AF52" s="18"/>
      <c r="AG52" s="18"/>
      <c r="AH52" s="18"/>
      <c r="AI52" s="18"/>
    </row>
    <row r="53" spans="1:35" x14ac:dyDescent="0.35">
      <c r="A53" s="2">
        <v>45008</v>
      </c>
      <c r="B53">
        <v>156.80702209472659</v>
      </c>
      <c r="C53">
        <v>468.95425415039063</v>
      </c>
      <c r="D53">
        <v>138.94712829589841</v>
      </c>
      <c r="E53">
        <v>118.13946533203119</v>
      </c>
      <c r="F53">
        <v>68.078948974609375</v>
      </c>
      <c r="G53">
        <v>134.13841247558591</v>
      </c>
      <c r="H53">
        <v>3948.719970703125</v>
      </c>
      <c r="I53">
        <f t="shared" si="3"/>
        <v>6.9449934834961901E-3</v>
      </c>
      <c r="J53">
        <f t="shared" si="3"/>
        <v>4.9215929288266077E-4</v>
      </c>
      <c r="K53">
        <f t="shared" si="3"/>
        <v>5.295690737674208E-4</v>
      </c>
      <c r="L53">
        <f t="shared" si="3"/>
        <v>-2.6769175980870911E-3</v>
      </c>
      <c r="M53">
        <f t="shared" si="3"/>
        <v>-4.3259363863412253E-3</v>
      </c>
      <c r="N53">
        <f t="shared" si="3"/>
        <v>-1.3897909343607994E-3</v>
      </c>
      <c r="O53">
        <f t="shared" si="3"/>
        <v>2.9800838691824228E-3</v>
      </c>
      <c r="Z53" s="56"/>
      <c r="AB53" s="27"/>
    </row>
    <row r="54" spans="1:35" x14ac:dyDescent="0.35">
      <c r="A54" s="2">
        <v>45009</v>
      </c>
      <c r="B54">
        <v>158.10939025878909</v>
      </c>
      <c r="C54">
        <v>476.1746826171875</v>
      </c>
      <c r="D54">
        <v>140.34458923339841</v>
      </c>
      <c r="E54">
        <v>116.3418502807617</v>
      </c>
      <c r="F54">
        <v>69.81298828125</v>
      </c>
      <c r="G54">
        <v>136.87171936035159</v>
      </c>
      <c r="H54">
        <v>3970.989990234375</v>
      </c>
      <c r="I54">
        <f t="shared" si="3"/>
        <v>8.2712461969572902E-3</v>
      </c>
      <c r="J54">
        <f t="shared" si="3"/>
        <v>1.5279542634770037E-2</v>
      </c>
      <c r="K54">
        <f t="shared" ref="K54:O104" si="12">LN(D54/D53)</f>
        <v>1.0007261312790172E-2</v>
      </c>
      <c r="L54">
        <f t="shared" si="12"/>
        <v>-1.5332993716899893E-2</v>
      </c>
      <c r="M54">
        <f t="shared" si="12"/>
        <v>2.5152024933133517E-2</v>
      </c>
      <c r="N54">
        <f t="shared" si="12"/>
        <v>2.0171936370785598E-2</v>
      </c>
      <c r="O54">
        <f t="shared" si="12"/>
        <v>5.6239630843032068E-3</v>
      </c>
      <c r="Z54" s="56"/>
      <c r="AB54" s="31"/>
      <c r="AC54" s="28" t="s">
        <v>1</v>
      </c>
      <c r="AD54" s="28" t="s">
        <v>2</v>
      </c>
      <c r="AE54" s="28" t="s">
        <v>3</v>
      </c>
      <c r="AF54" s="28" t="s">
        <v>4</v>
      </c>
      <c r="AG54" s="28" t="s">
        <v>5</v>
      </c>
      <c r="AH54" s="34" t="s">
        <v>6</v>
      </c>
      <c r="AI54" s="10" t="s">
        <v>21</v>
      </c>
    </row>
    <row r="55" spans="1:35" x14ac:dyDescent="0.35">
      <c r="A55" s="2">
        <v>45012</v>
      </c>
      <c r="B55">
        <v>156.16571044921881</v>
      </c>
      <c r="C55">
        <v>474.2037353515625</v>
      </c>
      <c r="D55">
        <v>140.94219970703119</v>
      </c>
      <c r="E55">
        <v>119.67629241943359</v>
      </c>
      <c r="F55">
        <v>69.582389831542969</v>
      </c>
      <c r="G55">
        <v>136.1534118652344</v>
      </c>
      <c r="H55">
        <v>3977.530029296875</v>
      </c>
      <c r="I55">
        <f t="shared" ref="I55:O118" si="13">LN(B55/B54)</f>
        <v>-1.236944694356632E-2</v>
      </c>
      <c r="J55">
        <f t="shared" si="13"/>
        <v>-4.1477164337221416E-3</v>
      </c>
      <c r="K55">
        <f t="shared" si="12"/>
        <v>4.2491250658559772E-3</v>
      </c>
      <c r="L55">
        <f t="shared" si="12"/>
        <v>2.8257692193649982E-2</v>
      </c>
      <c r="M55">
        <f t="shared" si="12"/>
        <v>-3.3085553220417859E-3</v>
      </c>
      <c r="N55">
        <f t="shared" si="12"/>
        <v>-5.2618537290924769E-3</v>
      </c>
      <c r="O55">
        <f t="shared" si="12"/>
        <v>1.6455995637670831E-3</v>
      </c>
      <c r="Z55" s="56"/>
      <c r="AB55" s="29" t="s">
        <v>18</v>
      </c>
      <c r="AC55" s="30">
        <v>0.19030378191311484</v>
      </c>
      <c r="AD55" s="30">
        <v>0.632582945410188</v>
      </c>
      <c r="AE55" s="30">
        <v>0.25682481202706198</v>
      </c>
      <c r="AF55" s="30">
        <v>0.61138200245943264</v>
      </c>
      <c r="AG55" s="30">
        <v>-0.11893125978719629</v>
      </c>
      <c r="AH55" s="30">
        <v>-0.57216228202260133</v>
      </c>
      <c r="AI55" s="30">
        <f>SUM(AC55:AH55)</f>
        <v>0.99999999999999978</v>
      </c>
    </row>
    <row r="56" spans="1:35" x14ac:dyDescent="0.35">
      <c r="A56" s="2">
        <v>45013</v>
      </c>
      <c r="B56">
        <v>155.54412841796881</v>
      </c>
      <c r="C56">
        <v>468.00241088867188</v>
      </c>
      <c r="D56">
        <v>139.5815124511719</v>
      </c>
      <c r="E56">
        <v>120.03952789306641</v>
      </c>
      <c r="F56">
        <v>69.397911071777344</v>
      </c>
      <c r="G56">
        <v>136.53590393066409</v>
      </c>
      <c r="H56">
        <v>3971.27001953125</v>
      </c>
      <c r="I56">
        <f t="shared" si="13"/>
        <v>-3.9882145357247618E-3</v>
      </c>
      <c r="J56">
        <f t="shared" si="13"/>
        <v>-1.3163603389211576E-2</v>
      </c>
      <c r="K56">
        <f t="shared" si="12"/>
        <v>-9.701125917470306E-3</v>
      </c>
      <c r="L56">
        <f t="shared" si="12"/>
        <v>3.0305530203479053E-3</v>
      </c>
      <c r="M56">
        <f t="shared" si="12"/>
        <v>-2.6547484343078442E-3</v>
      </c>
      <c r="N56">
        <f t="shared" si="12"/>
        <v>2.8053340862373402E-3</v>
      </c>
      <c r="O56">
        <f t="shared" si="12"/>
        <v>-1.5750832883878866E-3</v>
      </c>
      <c r="Z56" s="56"/>
      <c r="AB56" s="31"/>
      <c r="AC56" s="11"/>
      <c r="AD56" s="11"/>
      <c r="AE56" s="11"/>
      <c r="AF56" s="11"/>
      <c r="AG56" s="11"/>
      <c r="AH56" s="11"/>
      <c r="AI56" s="11"/>
    </row>
    <row r="57" spans="1:35" x14ac:dyDescent="0.35">
      <c r="A57" s="2">
        <v>45014</v>
      </c>
      <c r="B57">
        <v>158.6224365234375</v>
      </c>
      <c r="C57">
        <v>471.9443359375</v>
      </c>
      <c r="D57">
        <v>140.95140075683591</v>
      </c>
      <c r="E57">
        <v>120.2817001342773</v>
      </c>
      <c r="F57">
        <v>70.200355529785156</v>
      </c>
      <c r="G57">
        <v>136.9556884765625</v>
      </c>
      <c r="H57">
        <v>4027.81005859375</v>
      </c>
      <c r="I57">
        <f t="shared" si="13"/>
        <v>1.9597289896621076E-2</v>
      </c>
      <c r="J57">
        <f t="shared" si="13"/>
        <v>8.3875989192864486E-3</v>
      </c>
      <c r="K57">
        <f t="shared" si="12"/>
        <v>9.7664062203423885E-3</v>
      </c>
      <c r="L57">
        <f t="shared" si="12"/>
        <v>2.0154051739098167E-3</v>
      </c>
      <c r="M57">
        <f t="shared" si="12"/>
        <v>1.1496608316342565E-2</v>
      </c>
      <c r="N57">
        <f t="shared" si="12"/>
        <v>3.0698192355161601E-3</v>
      </c>
      <c r="O57">
        <f t="shared" si="12"/>
        <v>1.4136870775046802E-2</v>
      </c>
      <c r="Z57" s="56"/>
      <c r="AB57" s="31" t="s">
        <v>20</v>
      </c>
      <c r="AC57" s="32">
        <f t="array" ref="AC57">MMULT(AC55:AH55,MMULT(AC13:AH18,TRANSPOSE(AC55:AH55)))</f>
        <v>5.5454749873444502E-2</v>
      </c>
      <c r="AD57" s="11"/>
      <c r="AE57" s="11"/>
      <c r="AF57" s="11"/>
      <c r="AG57" s="11"/>
      <c r="AH57" s="11"/>
      <c r="AI57" s="11"/>
    </row>
    <row r="58" spans="1:35" x14ac:dyDescent="0.35">
      <c r="A58" s="2">
        <v>45015</v>
      </c>
      <c r="B58">
        <v>160.1911926269531</v>
      </c>
      <c r="C58">
        <v>472.53082275390619</v>
      </c>
      <c r="D58">
        <v>141.06172180175781</v>
      </c>
      <c r="E58">
        <v>119.91844177246089</v>
      </c>
      <c r="F58">
        <v>70.643089294433594</v>
      </c>
      <c r="G58">
        <v>137.552734375</v>
      </c>
      <c r="H58">
        <v>4050.830078125</v>
      </c>
      <c r="I58">
        <f t="shared" si="13"/>
        <v>9.8412904678844906E-3</v>
      </c>
      <c r="J58">
        <f t="shared" si="13"/>
        <v>1.2419318526103633E-3</v>
      </c>
      <c r="K58">
        <f t="shared" si="12"/>
        <v>7.823823909219995E-4</v>
      </c>
      <c r="L58">
        <f t="shared" si="12"/>
        <v>-3.0246330070330422E-3</v>
      </c>
      <c r="M58">
        <f t="shared" si="12"/>
        <v>6.28691272731085E-3</v>
      </c>
      <c r="N58">
        <f t="shared" si="12"/>
        <v>4.3499345752206235E-3</v>
      </c>
      <c r="O58">
        <f t="shared" si="12"/>
        <v>5.6989991994826524E-3</v>
      </c>
      <c r="Z58" s="56"/>
      <c r="AB58" s="31" t="s">
        <v>26</v>
      </c>
      <c r="AC58" s="32">
        <f>SQRT(AC57)</f>
        <v>0.2354883221593897</v>
      </c>
      <c r="AD58" s="11"/>
      <c r="AE58" s="11"/>
      <c r="AF58" s="11"/>
      <c r="AG58" s="11"/>
      <c r="AH58" s="11"/>
      <c r="AI58" s="11"/>
    </row>
    <row r="59" spans="1:35" x14ac:dyDescent="0.35">
      <c r="A59" s="2">
        <v>45016</v>
      </c>
      <c r="B59">
        <v>162.697265625</v>
      </c>
      <c r="C59">
        <v>477.7130126953125</v>
      </c>
      <c r="D59">
        <v>142.50517272949219</v>
      </c>
      <c r="E59">
        <v>121.371452331543</v>
      </c>
      <c r="F59">
        <v>71.095039367675781</v>
      </c>
      <c r="G59">
        <v>138.7095031738281</v>
      </c>
      <c r="H59">
        <v>4109.31005859375</v>
      </c>
      <c r="I59">
        <f t="shared" si="13"/>
        <v>1.5523152082184948E-2</v>
      </c>
      <c r="J59">
        <f t="shared" si="13"/>
        <v>1.0907182185488404E-2</v>
      </c>
      <c r="K59">
        <f t="shared" si="12"/>
        <v>1.0180761034557088E-2</v>
      </c>
      <c r="L59">
        <f t="shared" si="12"/>
        <v>1.2043837378162893E-2</v>
      </c>
      <c r="M59">
        <f t="shared" si="12"/>
        <v>6.3772763084746784E-3</v>
      </c>
      <c r="N59">
        <f t="shared" si="12"/>
        <v>8.3744746991810705E-3</v>
      </c>
      <c r="O59">
        <f t="shared" si="12"/>
        <v>1.4333327782036555E-2</v>
      </c>
      <c r="Z59" s="56"/>
      <c r="AB59" s="31" t="s">
        <v>27</v>
      </c>
      <c r="AC59" s="32">
        <f>SUMPRODUCT(AC55:AH55,S4:X4)</f>
        <v>0.40202707706753277</v>
      </c>
      <c r="AD59" s="11"/>
      <c r="AE59" s="11"/>
      <c r="AF59" s="11"/>
      <c r="AG59" s="11"/>
      <c r="AH59" s="11"/>
      <c r="AI59" s="11"/>
    </row>
    <row r="60" spans="1:35" x14ac:dyDescent="0.35">
      <c r="A60" s="2">
        <v>45019</v>
      </c>
      <c r="B60">
        <v>163.95033264160159</v>
      </c>
      <c r="C60">
        <v>477.86685180664063</v>
      </c>
      <c r="D60">
        <v>144.20600891113281</v>
      </c>
      <c r="E60">
        <v>121.2317352294922</v>
      </c>
      <c r="F60">
        <v>70.716880798339844</v>
      </c>
      <c r="G60">
        <v>139.4744567871094</v>
      </c>
      <c r="H60">
        <v>4124.509765625</v>
      </c>
      <c r="I60">
        <f t="shared" si="13"/>
        <v>7.6723243643311862E-3</v>
      </c>
      <c r="J60">
        <f t="shared" si="13"/>
        <v>3.2198064938782648E-4</v>
      </c>
      <c r="K60">
        <f t="shared" si="12"/>
        <v>1.1864595750281173E-2</v>
      </c>
      <c r="L60">
        <f t="shared" si="12"/>
        <v>-1.151816007877489E-3</v>
      </c>
      <c r="M60">
        <f t="shared" si="12"/>
        <v>-5.3332535832230363E-3</v>
      </c>
      <c r="N60">
        <f t="shared" si="12"/>
        <v>5.4996380197801101E-3</v>
      </c>
      <c r="O60">
        <f t="shared" si="12"/>
        <v>3.6920225658028231E-3</v>
      </c>
      <c r="AB60" s="31" t="s">
        <v>28</v>
      </c>
      <c r="AC60" s="33">
        <f>(AC59-AC44)/AC58</f>
        <v>1.5301271577435005</v>
      </c>
      <c r="AD60" s="11"/>
      <c r="AE60" s="11"/>
      <c r="AF60" s="11"/>
      <c r="AG60" s="11"/>
      <c r="AH60" s="11"/>
      <c r="AI60" s="11"/>
    </row>
    <row r="61" spans="1:35" x14ac:dyDescent="0.35">
      <c r="A61" s="2">
        <v>45020</v>
      </c>
      <c r="B61">
        <v>163.41754150390619</v>
      </c>
      <c r="C61">
        <v>478.53988647460938</v>
      </c>
      <c r="D61">
        <v>145.7138366699219</v>
      </c>
      <c r="E61">
        <v>119.61106872558589</v>
      </c>
      <c r="F61">
        <v>71.168838500976563</v>
      </c>
      <c r="G61">
        <v>140.1461486816406</v>
      </c>
      <c r="H61">
        <v>4100.60009765625</v>
      </c>
      <c r="I61">
        <f t="shared" si="13"/>
        <v>-3.2550024005745188E-3</v>
      </c>
      <c r="J61">
        <f t="shared" si="13"/>
        <v>1.4074237500170575E-3</v>
      </c>
      <c r="K61">
        <f t="shared" si="12"/>
        <v>1.0401780885000456E-2</v>
      </c>
      <c r="L61">
        <f t="shared" si="12"/>
        <v>-1.3458496081086157E-2</v>
      </c>
      <c r="M61">
        <f t="shared" si="12"/>
        <v>6.3707501146853789E-3</v>
      </c>
      <c r="N61">
        <f t="shared" si="12"/>
        <v>4.804318232374879E-3</v>
      </c>
      <c r="O61">
        <f t="shared" si="12"/>
        <v>-5.8138397451625292E-3</v>
      </c>
      <c r="AB61" s="27"/>
    </row>
    <row r="62" spans="1:35" x14ac:dyDescent="0.35">
      <c r="A62" s="2">
        <v>45021</v>
      </c>
      <c r="B62">
        <v>161.572509765625</v>
      </c>
      <c r="C62">
        <v>477.96298217773438</v>
      </c>
      <c r="D62">
        <v>152.2598571777344</v>
      </c>
      <c r="E62">
        <v>119.7894287109375</v>
      </c>
      <c r="F62">
        <v>72.248001098632813</v>
      </c>
      <c r="G62">
        <v>141.10697937011719</v>
      </c>
      <c r="H62">
        <v>4090.3798828125</v>
      </c>
      <c r="I62">
        <f t="shared" si="13"/>
        <v>-1.1354511029360441E-2</v>
      </c>
      <c r="J62">
        <f t="shared" si="13"/>
        <v>-1.2062783829235426E-3</v>
      </c>
      <c r="K62">
        <f t="shared" si="12"/>
        <v>4.394397232071022E-2</v>
      </c>
      <c r="L62">
        <f t="shared" si="12"/>
        <v>1.4900555367429039E-3</v>
      </c>
      <c r="M62">
        <f t="shared" si="12"/>
        <v>1.5049599041866295E-2</v>
      </c>
      <c r="N62">
        <f t="shared" si="12"/>
        <v>6.8325243742685011E-3</v>
      </c>
      <c r="O62">
        <f t="shared" si="12"/>
        <v>-2.4954816571214232E-3</v>
      </c>
    </row>
    <row r="63" spans="1:35" x14ac:dyDescent="0.35">
      <c r="A63" s="2">
        <v>45022</v>
      </c>
      <c r="B63">
        <v>162.4604797363281</v>
      </c>
      <c r="C63">
        <v>467.24285888671881</v>
      </c>
      <c r="D63">
        <v>151.83692932128909</v>
      </c>
      <c r="E63">
        <v>119.6580123901367</v>
      </c>
      <c r="F63">
        <v>72.838294982910156</v>
      </c>
      <c r="G63">
        <v>142.00254821777341</v>
      </c>
      <c r="H63">
        <v>4105.02001953125</v>
      </c>
      <c r="I63">
        <f t="shared" si="13"/>
        <v>5.4807517891991304E-3</v>
      </c>
      <c r="J63">
        <f t="shared" si="13"/>
        <v>-2.2684123412384793E-2</v>
      </c>
      <c r="K63">
        <f t="shared" si="12"/>
        <v>-2.7815363259513165E-3</v>
      </c>
      <c r="L63">
        <f t="shared" si="12"/>
        <v>-1.0976632983956758E-3</v>
      </c>
      <c r="M63">
        <f t="shared" si="12"/>
        <v>8.137186727488116E-3</v>
      </c>
      <c r="N63">
        <f t="shared" si="12"/>
        <v>6.3266810023741892E-3</v>
      </c>
      <c r="O63">
        <f t="shared" si="12"/>
        <v>3.5727731328032467E-3</v>
      </c>
    </row>
    <row r="64" spans="1:35" x14ac:dyDescent="0.35">
      <c r="A64" s="2">
        <v>45026</v>
      </c>
      <c r="B64">
        <v>159.86561584472659</v>
      </c>
      <c r="C64">
        <v>474.79019165039063</v>
      </c>
      <c r="D64">
        <v>151.07386779785159</v>
      </c>
      <c r="E64">
        <v>120.05226898193359</v>
      </c>
      <c r="F64">
        <v>72.340225219726563</v>
      </c>
      <c r="G64">
        <v>140.82713317871091</v>
      </c>
      <c r="H64">
        <v>4109.10986328125</v>
      </c>
      <c r="I64">
        <f t="shared" si="13"/>
        <v>-1.6101209219960111E-2</v>
      </c>
      <c r="J64">
        <f t="shared" si="13"/>
        <v>1.6023841729638971E-2</v>
      </c>
      <c r="K64">
        <f t="shared" si="12"/>
        <v>-5.0382036216034386E-3</v>
      </c>
      <c r="L64">
        <f t="shared" si="12"/>
        <v>3.2894454509252557E-3</v>
      </c>
      <c r="M64">
        <f t="shared" si="12"/>
        <v>-6.8615070134635048E-3</v>
      </c>
      <c r="N64">
        <f t="shared" si="12"/>
        <v>-8.3118702423844466E-3</v>
      </c>
      <c r="O64">
        <f t="shared" si="12"/>
        <v>9.9580701701008434E-4</v>
      </c>
      <c r="AB64" s="57" t="s">
        <v>36</v>
      </c>
      <c r="AC64" s="57"/>
      <c r="AD64" s="57"/>
      <c r="AE64" s="57"/>
      <c r="AF64" s="57"/>
      <c r="AG64" s="57"/>
      <c r="AH64" s="57"/>
    </row>
    <row r="65" spans="1:35" x14ac:dyDescent="0.35">
      <c r="A65" s="2">
        <v>45027</v>
      </c>
      <c r="B65">
        <v>158.65205383300781</v>
      </c>
      <c r="C65">
        <v>479.42437744140619</v>
      </c>
      <c r="D65">
        <v>151.02789306640619</v>
      </c>
      <c r="E65">
        <v>120.643669128418</v>
      </c>
      <c r="F65">
        <v>72.257225036621094</v>
      </c>
      <c r="G65">
        <v>140.5472717285156</v>
      </c>
      <c r="H65">
        <v>4108.93994140625</v>
      </c>
      <c r="I65">
        <f t="shared" si="13"/>
        <v>-7.6200977179951054E-3</v>
      </c>
      <c r="J65">
        <f t="shared" si="13"/>
        <v>9.7131659390879681E-3</v>
      </c>
      <c r="K65">
        <f t="shared" si="12"/>
        <v>-3.0436586446094745E-4</v>
      </c>
      <c r="L65">
        <f t="shared" si="12"/>
        <v>4.9140948637296285E-3</v>
      </c>
      <c r="M65">
        <f t="shared" si="12"/>
        <v>-1.1480173692429527E-3</v>
      </c>
      <c r="N65">
        <f t="shared" si="12"/>
        <v>-1.9892466237238387E-3</v>
      </c>
      <c r="O65">
        <f t="shared" si="12"/>
        <v>-4.1353332983520818E-5</v>
      </c>
    </row>
    <row r="66" spans="1:35" x14ac:dyDescent="0.35">
      <c r="A66" s="2">
        <v>45028</v>
      </c>
      <c r="B66">
        <v>157.9613952636719</v>
      </c>
      <c r="C66">
        <v>470.48294067382813</v>
      </c>
      <c r="D66">
        <v>150.70611572265619</v>
      </c>
      <c r="E66">
        <v>120.624885559082</v>
      </c>
      <c r="F66">
        <v>72.487808227539063</v>
      </c>
      <c r="G66">
        <v>140.9297790527344</v>
      </c>
      <c r="H66">
        <v>4091.949951171875</v>
      </c>
      <c r="I66">
        <f t="shared" si="13"/>
        <v>-4.362794232551679E-3</v>
      </c>
      <c r="J66">
        <f t="shared" si="13"/>
        <v>-1.8826470104471089E-2</v>
      </c>
      <c r="K66">
        <f t="shared" si="12"/>
        <v>-2.1328551396887162E-3</v>
      </c>
      <c r="L66">
        <f t="shared" si="12"/>
        <v>-1.5570673433402997E-4</v>
      </c>
      <c r="M66">
        <f t="shared" si="12"/>
        <v>3.1860628412888744E-3</v>
      </c>
      <c r="N66">
        <f t="shared" si="12"/>
        <v>2.7178596522497685E-3</v>
      </c>
      <c r="O66">
        <f t="shared" si="12"/>
        <v>-4.1434563234613855E-3</v>
      </c>
      <c r="AC66" s="1" t="s">
        <v>1</v>
      </c>
      <c r="AD66" s="1" t="s">
        <v>2</v>
      </c>
      <c r="AE66" s="1" t="s">
        <v>3</v>
      </c>
      <c r="AF66" s="1" t="s">
        <v>4</v>
      </c>
      <c r="AG66" s="1" t="s">
        <v>5</v>
      </c>
      <c r="AH66" s="1" t="s">
        <v>6</v>
      </c>
      <c r="AI66" s="6" t="s">
        <v>21</v>
      </c>
    </row>
    <row r="67" spans="1:35" x14ac:dyDescent="0.35">
      <c r="A67" s="2">
        <v>45029</v>
      </c>
      <c r="B67">
        <v>163.34846496582031</v>
      </c>
      <c r="C67">
        <v>478.69369506835938</v>
      </c>
      <c r="D67">
        <v>152.71955871582031</v>
      </c>
      <c r="E67">
        <v>121.08485412597661</v>
      </c>
      <c r="F67">
        <v>72.727615356445313</v>
      </c>
      <c r="G67">
        <v>141.58274841308591</v>
      </c>
      <c r="H67">
        <v>4146.22021484375</v>
      </c>
      <c r="I67">
        <f t="shared" si="13"/>
        <v>3.3535071394998242E-2</v>
      </c>
      <c r="J67">
        <f t="shared" si="13"/>
        <v>1.7301224864526607E-2</v>
      </c>
      <c r="K67">
        <f t="shared" si="12"/>
        <v>1.3271603004767865E-2</v>
      </c>
      <c r="L67">
        <f t="shared" si="12"/>
        <v>3.8059626618908229E-3</v>
      </c>
      <c r="M67">
        <f t="shared" si="12"/>
        <v>3.3027806686030487E-3</v>
      </c>
      <c r="N67">
        <f t="shared" si="12"/>
        <v>4.6225951744519964E-3</v>
      </c>
      <c r="O67">
        <f t="shared" si="12"/>
        <v>1.3175510497831548E-2</v>
      </c>
      <c r="AB67" s="27" t="s">
        <v>29</v>
      </c>
      <c r="AC67" s="5">
        <f>1/6</f>
        <v>0.16666666666666666</v>
      </c>
      <c r="AD67" s="5">
        <f t="shared" ref="AD67:AH67" si="14">1/6</f>
        <v>0.16666666666666666</v>
      </c>
      <c r="AE67" s="5">
        <f t="shared" si="14"/>
        <v>0.16666666666666666</v>
      </c>
      <c r="AF67" s="5">
        <f t="shared" si="14"/>
        <v>0.16666666666666666</v>
      </c>
      <c r="AG67" s="5">
        <f t="shared" si="14"/>
        <v>0.16666666666666666</v>
      </c>
      <c r="AH67" s="5">
        <f t="shared" si="14"/>
        <v>0.16666666666666666</v>
      </c>
      <c r="AI67" s="5">
        <f>SUM(AC67:AH67)</f>
        <v>0.99999999999999989</v>
      </c>
    </row>
    <row r="68" spans="1:35" x14ac:dyDescent="0.35">
      <c r="A68" s="2">
        <v>45030</v>
      </c>
      <c r="B68">
        <v>163.003173828125</v>
      </c>
      <c r="C68">
        <v>472.3577880859375</v>
      </c>
      <c r="D68">
        <v>152.4713134765625</v>
      </c>
      <c r="E68">
        <v>130.2279357910156</v>
      </c>
      <c r="F68">
        <v>71.962059020996094</v>
      </c>
      <c r="G68">
        <v>140.86445617675781</v>
      </c>
      <c r="H68">
        <v>4137.64013671875</v>
      </c>
      <c r="I68">
        <f t="shared" si="13"/>
        <v>-2.1160688379885401E-3</v>
      </c>
      <c r="J68">
        <f t="shared" si="13"/>
        <v>-1.3324201331112494E-2</v>
      </c>
      <c r="K68">
        <f t="shared" si="12"/>
        <v>-1.6268199125603902E-3</v>
      </c>
      <c r="L68">
        <f t="shared" si="12"/>
        <v>7.2794693778920561E-2</v>
      </c>
      <c r="M68">
        <f t="shared" si="12"/>
        <v>-1.0582143926432223E-2</v>
      </c>
      <c r="N68">
        <f t="shared" si="12"/>
        <v>-5.0862162779388657E-3</v>
      </c>
      <c r="O68">
        <f t="shared" si="12"/>
        <v>-2.0715175845779886E-3</v>
      </c>
      <c r="AB68" s="27"/>
    </row>
    <row r="69" spans="1:35" x14ac:dyDescent="0.35">
      <c r="A69" s="2">
        <v>45033</v>
      </c>
      <c r="B69">
        <v>163.02287292480469</v>
      </c>
      <c r="C69">
        <v>474.89596557617188</v>
      </c>
      <c r="D69">
        <v>152.31500244140619</v>
      </c>
      <c r="E69">
        <v>131.2605285644531</v>
      </c>
      <c r="F69">
        <v>72.441688537597656</v>
      </c>
      <c r="G69">
        <v>140.9111022949219</v>
      </c>
      <c r="H69">
        <v>4151.31982421875</v>
      </c>
      <c r="I69">
        <f t="shared" si="13"/>
        <v>1.2084369883854622E-4</v>
      </c>
      <c r="J69">
        <f t="shared" si="13"/>
        <v>5.359036171604283E-3</v>
      </c>
      <c r="K69">
        <f t="shared" si="12"/>
        <v>-1.0257090997659289E-3</v>
      </c>
      <c r="L69">
        <f t="shared" si="12"/>
        <v>7.8978485218867221E-3</v>
      </c>
      <c r="M69">
        <f t="shared" si="12"/>
        <v>6.6429201247531931E-3</v>
      </c>
      <c r="N69">
        <f t="shared" si="12"/>
        <v>3.3108704561310702E-4</v>
      </c>
      <c r="O69">
        <f t="shared" si="12"/>
        <v>3.3007035826147536E-3</v>
      </c>
      <c r="AB69" s="27" t="s">
        <v>30</v>
      </c>
      <c r="AC69" s="5">
        <f t="array" ref="AC69">MMULT(AC67:AH67,MMULT(AC13:AH18,TRANSPOSE(AC67:AH67)))</f>
        <v>1.5442758964390976E-2</v>
      </c>
    </row>
    <row r="70" spans="1:35" x14ac:dyDescent="0.35">
      <c r="A70" s="2">
        <v>45034</v>
      </c>
      <c r="B70">
        <v>164.2463073730469</v>
      </c>
      <c r="C70">
        <v>477.74185180664063</v>
      </c>
      <c r="D70">
        <v>148.03068542480469</v>
      </c>
      <c r="E70">
        <v>132.73429870605469</v>
      </c>
      <c r="F70">
        <v>72.220344543457031</v>
      </c>
      <c r="G70">
        <v>141.06037902832031</v>
      </c>
      <c r="H70">
        <v>4154.8701171875</v>
      </c>
      <c r="I70">
        <f t="shared" si="13"/>
        <v>7.4766597107238453E-3</v>
      </c>
      <c r="J70">
        <f t="shared" si="13"/>
        <v>5.9747674184987493E-3</v>
      </c>
      <c r="K70">
        <f t="shared" si="12"/>
        <v>-2.8531174677910862E-2</v>
      </c>
      <c r="L70">
        <f t="shared" si="12"/>
        <v>1.1165260071157061E-2</v>
      </c>
      <c r="M70">
        <f t="shared" si="12"/>
        <v>-3.0601556214665186E-3</v>
      </c>
      <c r="N70">
        <f t="shared" si="12"/>
        <v>1.0588074130314469E-3</v>
      </c>
      <c r="O70">
        <f t="shared" si="12"/>
        <v>8.5485480346597534E-4</v>
      </c>
      <c r="AB70" s="27" t="s">
        <v>31</v>
      </c>
      <c r="AC70" s="5">
        <f>SQRT(AC69)</f>
        <v>0.12426889781594981</v>
      </c>
    </row>
    <row r="71" spans="1:35" x14ac:dyDescent="0.35">
      <c r="A71" s="2">
        <v>45035</v>
      </c>
      <c r="B71">
        <v>165.39085388183591</v>
      </c>
      <c r="C71">
        <v>476.90542602539063</v>
      </c>
      <c r="D71">
        <v>149.42816162109381</v>
      </c>
      <c r="E71">
        <v>132.56536865234381</v>
      </c>
      <c r="F71">
        <v>72.810623168945313</v>
      </c>
      <c r="G71">
        <v>141.0883483886719</v>
      </c>
      <c r="H71">
        <v>4154.52001953125</v>
      </c>
      <c r="I71">
        <f t="shared" si="13"/>
        <v>6.9443087297808665E-3</v>
      </c>
      <c r="J71">
        <f t="shared" si="13"/>
        <v>-1.7523246851545381E-3</v>
      </c>
      <c r="K71">
        <f t="shared" si="12"/>
        <v>9.3961668435491377E-3</v>
      </c>
      <c r="L71">
        <f t="shared" si="12"/>
        <v>-1.2735038699745709E-3</v>
      </c>
      <c r="M71">
        <f t="shared" si="12"/>
        <v>8.1400806208769289E-3</v>
      </c>
      <c r="N71">
        <f t="shared" si="12"/>
        <v>1.9825969586505154E-4</v>
      </c>
      <c r="O71">
        <f t="shared" si="12"/>
        <v>-8.4265547939628261E-5</v>
      </c>
      <c r="AB71" s="27" t="s">
        <v>32</v>
      </c>
      <c r="AC71" s="5">
        <f>SUMPRODUCT(AC67:AH67,S4:X4)</f>
        <v>0.14599177864166651</v>
      </c>
    </row>
    <row r="72" spans="1:35" x14ac:dyDescent="0.35">
      <c r="A72" s="2">
        <v>45036</v>
      </c>
      <c r="B72">
        <v>164.42388916015619</v>
      </c>
      <c r="C72">
        <v>486.087158203125</v>
      </c>
      <c r="D72">
        <v>150.3935241699219</v>
      </c>
      <c r="E72">
        <v>132.18046569824219</v>
      </c>
      <c r="F72">
        <v>72.635383605957031</v>
      </c>
      <c r="G72">
        <v>141.6055603027344</v>
      </c>
      <c r="H72">
        <v>4129.7900390625</v>
      </c>
      <c r="I72">
        <f t="shared" si="13"/>
        <v>-5.8637008361368493E-3</v>
      </c>
      <c r="J72">
        <f t="shared" si="13"/>
        <v>1.9069742747893654E-2</v>
      </c>
      <c r="K72">
        <f t="shared" si="12"/>
        <v>6.4396001395712445E-3</v>
      </c>
      <c r="L72">
        <f t="shared" si="12"/>
        <v>-2.9077188408758261E-3</v>
      </c>
      <c r="M72">
        <f t="shared" si="12"/>
        <v>-2.4096866138762934E-3</v>
      </c>
      <c r="N72">
        <f t="shared" si="12"/>
        <v>3.6591696903430374E-3</v>
      </c>
      <c r="O72">
        <f t="shared" si="12"/>
        <v>-5.9703351883111308E-3</v>
      </c>
      <c r="AB72" s="27" t="s">
        <v>33</v>
      </c>
      <c r="AC72" s="7">
        <f>(AC71-AC22)/AC70</f>
        <v>0.83924280712724519</v>
      </c>
    </row>
    <row r="73" spans="1:35" x14ac:dyDescent="0.35">
      <c r="A73" s="2">
        <v>45037</v>
      </c>
      <c r="B73">
        <v>162.8157043457031</v>
      </c>
      <c r="C73">
        <v>486.8275146484375</v>
      </c>
      <c r="D73">
        <v>149.57525634765619</v>
      </c>
      <c r="E73">
        <v>131.92701721191409</v>
      </c>
      <c r="F73">
        <v>72.856742858886719</v>
      </c>
      <c r="G73">
        <v>146.50567626953119</v>
      </c>
      <c r="H73">
        <v>4133.52001953125</v>
      </c>
      <c r="I73">
        <f t="shared" si="13"/>
        <v>-9.8288703025660416E-3</v>
      </c>
      <c r="J73">
        <f t="shared" si="13"/>
        <v>1.521935291712694E-3</v>
      </c>
      <c r="K73">
        <f t="shared" si="12"/>
        <v>-5.455700093023149E-3</v>
      </c>
      <c r="L73">
        <f t="shared" si="12"/>
        <v>-1.9192834775952343E-3</v>
      </c>
      <c r="M73">
        <f t="shared" si="12"/>
        <v>3.0429058824067729E-3</v>
      </c>
      <c r="N73">
        <f t="shared" si="12"/>
        <v>3.4018725410285049E-2</v>
      </c>
      <c r="O73">
        <f t="shared" si="12"/>
        <v>9.0278125730088607E-4</v>
      </c>
    </row>
    <row r="74" spans="1:35" x14ac:dyDescent="0.35">
      <c r="A74" s="2">
        <v>45040</v>
      </c>
      <c r="B74">
        <v>163.1215515136719</v>
      </c>
      <c r="C74">
        <v>491.70205688476563</v>
      </c>
      <c r="D74">
        <v>150.4854431152344</v>
      </c>
      <c r="E74">
        <v>132.1053771972656</v>
      </c>
      <c r="F74">
        <v>72.902854919433594</v>
      </c>
      <c r="G74">
        <v>146.7685241699219</v>
      </c>
      <c r="H74">
        <v>4137.0400390625</v>
      </c>
      <c r="I74">
        <f t="shared" si="13"/>
        <v>1.8767247514002315E-3</v>
      </c>
      <c r="J74">
        <f t="shared" si="13"/>
        <v>9.9630766403691062E-3</v>
      </c>
      <c r="K74">
        <f t="shared" si="12"/>
        <v>6.0667029092155616E-3</v>
      </c>
      <c r="L74">
        <f t="shared" si="12"/>
        <v>1.3510464341396885E-3</v>
      </c>
      <c r="M74">
        <f t="shared" si="12"/>
        <v>6.3271390410021833E-4</v>
      </c>
      <c r="N74">
        <f t="shared" si="12"/>
        <v>1.7925066056006409E-3</v>
      </c>
      <c r="O74">
        <f t="shared" si="12"/>
        <v>8.5121677827231261E-4</v>
      </c>
    </row>
    <row r="75" spans="1:35" x14ac:dyDescent="0.35">
      <c r="A75" s="2">
        <v>45041</v>
      </c>
      <c r="B75">
        <v>161.58238220214841</v>
      </c>
      <c r="C75">
        <v>483.7701416015625</v>
      </c>
      <c r="D75">
        <v>151.8645324707031</v>
      </c>
      <c r="E75">
        <v>129.2329406738281</v>
      </c>
      <c r="F75">
        <v>71.777595520019531</v>
      </c>
      <c r="G75">
        <v>146.80604553222659</v>
      </c>
      <c r="H75">
        <v>4071.6298828125</v>
      </c>
      <c r="I75">
        <f t="shared" si="13"/>
        <v>-9.4805185899675942E-3</v>
      </c>
      <c r="J75">
        <f t="shared" si="13"/>
        <v>-1.6263077757094929E-2</v>
      </c>
      <c r="K75">
        <f t="shared" si="12"/>
        <v>9.1225336918836601E-3</v>
      </c>
      <c r="L75">
        <f t="shared" si="12"/>
        <v>-2.1983398577454683E-2</v>
      </c>
      <c r="M75">
        <f t="shared" si="12"/>
        <v>-1.5555413131559838E-2</v>
      </c>
      <c r="N75">
        <f t="shared" si="12"/>
        <v>2.5561725286395035E-4</v>
      </c>
      <c r="O75">
        <f t="shared" si="12"/>
        <v>-1.593718381857645E-2</v>
      </c>
    </row>
    <row r="76" spans="1:35" x14ac:dyDescent="0.35">
      <c r="A76" s="2">
        <v>45042</v>
      </c>
      <c r="B76">
        <v>161.572509765625</v>
      </c>
      <c r="C76">
        <v>475.58819580078119</v>
      </c>
      <c r="D76">
        <v>149.51087951660159</v>
      </c>
      <c r="E76">
        <v>126.9424514770508</v>
      </c>
      <c r="F76">
        <v>68.318771362304688</v>
      </c>
      <c r="G76">
        <v>145.10700988769531</v>
      </c>
      <c r="H76">
        <v>4055.989990234375</v>
      </c>
      <c r="I76">
        <f t="shared" si="13"/>
        <v>-6.1100337775247681E-5</v>
      </c>
      <c r="J76">
        <f t="shared" si="13"/>
        <v>-1.7057534948921597E-2</v>
      </c>
      <c r="K76">
        <f t="shared" si="12"/>
        <v>-1.5619726846745605E-2</v>
      </c>
      <c r="L76">
        <f t="shared" si="12"/>
        <v>-1.7882671843220236E-2</v>
      </c>
      <c r="M76">
        <f t="shared" si="12"/>
        <v>-4.9387821502600016E-2</v>
      </c>
      <c r="N76">
        <f t="shared" si="12"/>
        <v>-1.1640827973553243E-2</v>
      </c>
      <c r="O76">
        <f t="shared" si="12"/>
        <v>-3.8485835033448754E-3</v>
      </c>
    </row>
    <row r="77" spans="1:35" x14ac:dyDescent="0.35">
      <c r="A77" s="2">
        <v>45043</v>
      </c>
      <c r="B77">
        <v>166.16038513183591</v>
      </c>
      <c r="C77">
        <v>481.94332885742188</v>
      </c>
      <c r="D77">
        <v>149.86024475097659</v>
      </c>
      <c r="E77">
        <v>128.65093994140619</v>
      </c>
      <c r="F77">
        <v>69.960548400878906</v>
      </c>
      <c r="G77">
        <v>146.88116455078119</v>
      </c>
      <c r="H77">
        <v>4135.35009765625</v>
      </c>
      <c r="I77">
        <f t="shared" si="13"/>
        <v>2.7999478622725091E-2</v>
      </c>
      <c r="J77">
        <f t="shared" si="13"/>
        <v>1.3274187239559487E-2</v>
      </c>
      <c r="K77">
        <f t="shared" si="12"/>
        <v>2.3339952630900391E-3</v>
      </c>
      <c r="L77">
        <f t="shared" si="12"/>
        <v>1.3368999106975114E-2</v>
      </c>
      <c r="M77">
        <f t="shared" si="12"/>
        <v>2.3746923151465454E-2</v>
      </c>
      <c r="N77">
        <f t="shared" si="12"/>
        <v>1.2152385968683644E-2</v>
      </c>
      <c r="O77">
        <f t="shared" si="12"/>
        <v>1.9377193402696356E-2</v>
      </c>
    </row>
    <row r="78" spans="1:35" x14ac:dyDescent="0.35">
      <c r="A78" s="2">
        <v>45044</v>
      </c>
      <c r="B78">
        <v>167.41340637207031</v>
      </c>
      <c r="C78">
        <v>483.81820678710938</v>
      </c>
      <c r="D78">
        <v>150.50384521484381</v>
      </c>
      <c r="E78">
        <v>129.76799011230469</v>
      </c>
      <c r="F78">
        <v>70.67999267578125</v>
      </c>
      <c r="G78">
        <v>146.7966613769531</v>
      </c>
      <c r="H78">
        <v>4169.47998046875</v>
      </c>
      <c r="I78">
        <f t="shared" si="13"/>
        <v>7.512743300924025E-3</v>
      </c>
      <c r="J78">
        <f t="shared" si="13"/>
        <v>3.8826981938248932E-3</v>
      </c>
      <c r="K78">
        <f t="shared" si="12"/>
        <v>4.2854753305100511E-3</v>
      </c>
      <c r="L78">
        <f t="shared" si="12"/>
        <v>8.6453196610864185E-3</v>
      </c>
      <c r="M78">
        <f t="shared" si="12"/>
        <v>1.0231054929187475E-2</v>
      </c>
      <c r="N78">
        <f t="shared" si="12"/>
        <v>-5.7548216923286794E-4</v>
      </c>
      <c r="O78">
        <f t="shared" si="12"/>
        <v>8.2193313132434675E-3</v>
      </c>
    </row>
    <row r="79" spans="1:35" x14ac:dyDescent="0.35">
      <c r="A79" s="2">
        <v>45047</v>
      </c>
      <c r="B79">
        <v>167.3246154785156</v>
      </c>
      <c r="C79">
        <v>474.55950927734381</v>
      </c>
      <c r="D79">
        <v>150.41188049316409</v>
      </c>
      <c r="E79">
        <v>132.5466003417969</v>
      </c>
      <c r="F79">
        <v>70.836799621582031</v>
      </c>
      <c r="G79">
        <v>146.9750671386719</v>
      </c>
      <c r="H79">
        <v>4167.8701171875</v>
      </c>
      <c r="I79">
        <f t="shared" si="13"/>
        <v>-5.3050977087264336E-4</v>
      </c>
      <c r="J79">
        <f t="shared" si="13"/>
        <v>-1.9322205456503514E-2</v>
      </c>
      <c r="K79">
        <f t="shared" si="12"/>
        <v>-6.1123242613220598E-4</v>
      </c>
      <c r="L79">
        <f t="shared" si="12"/>
        <v>2.1186119734255611E-2</v>
      </c>
      <c r="M79">
        <f t="shared" si="12"/>
        <v>2.2160905067050989E-3</v>
      </c>
      <c r="N79">
        <f t="shared" si="12"/>
        <v>1.2145878335714584E-3</v>
      </c>
      <c r="O79">
        <f t="shared" si="12"/>
        <v>-3.8618104851078711E-4</v>
      </c>
    </row>
    <row r="80" spans="1:35" x14ac:dyDescent="0.35">
      <c r="A80" s="2">
        <v>45048</v>
      </c>
      <c r="B80">
        <v>166.28865051269531</v>
      </c>
      <c r="C80">
        <v>475.732421875</v>
      </c>
      <c r="D80">
        <v>151.72662353515619</v>
      </c>
      <c r="E80">
        <v>130.4062805175781</v>
      </c>
      <c r="F80">
        <v>70.043571472167969</v>
      </c>
      <c r="G80">
        <v>146.84361267089841</v>
      </c>
      <c r="H80">
        <v>4119.580078125</v>
      </c>
      <c r="I80">
        <f t="shared" si="13"/>
        <v>-6.2105941298942549E-3</v>
      </c>
      <c r="J80">
        <f t="shared" si="13"/>
        <v>2.4685323631949028E-3</v>
      </c>
      <c r="K80">
        <f t="shared" si="12"/>
        <v>8.7029711397869462E-3</v>
      </c>
      <c r="L80">
        <f t="shared" si="12"/>
        <v>-1.627947247580314E-2</v>
      </c>
      <c r="M80">
        <f t="shared" si="12"/>
        <v>-1.1261136322786882E-2</v>
      </c>
      <c r="N80">
        <f t="shared" si="12"/>
        <v>-8.9479999453829845E-4</v>
      </c>
      <c r="O80">
        <f t="shared" si="12"/>
        <v>-1.1653906680571788E-2</v>
      </c>
    </row>
    <row r="81" spans="1:15" x14ac:dyDescent="0.35">
      <c r="A81" s="2">
        <v>45049</v>
      </c>
      <c r="B81">
        <v>165.2132263183594</v>
      </c>
      <c r="C81">
        <v>471.16552734375</v>
      </c>
      <c r="D81">
        <v>149.7407531738281</v>
      </c>
      <c r="E81">
        <v>127.6464920043945</v>
      </c>
      <c r="F81">
        <v>69.536270141601563</v>
      </c>
      <c r="G81">
        <v>146.6558532714844</v>
      </c>
      <c r="H81">
        <v>4090.75</v>
      </c>
      <c r="I81">
        <f t="shared" si="13"/>
        <v>-6.4882164607158507E-3</v>
      </c>
      <c r="J81">
        <f t="shared" si="13"/>
        <v>-9.64608688038604E-3</v>
      </c>
      <c r="K81">
        <f t="shared" si="12"/>
        <v>-1.3174885509293403E-2</v>
      </c>
      <c r="L81">
        <f t="shared" si="12"/>
        <v>-2.1390149861227573E-2</v>
      </c>
      <c r="M81">
        <f t="shared" si="12"/>
        <v>-7.2690090266947574E-3</v>
      </c>
      <c r="N81">
        <f t="shared" si="12"/>
        <v>-1.2794532652702392E-3</v>
      </c>
      <c r="O81">
        <f t="shared" si="12"/>
        <v>-7.0229080548929708E-3</v>
      </c>
    </row>
    <row r="82" spans="1:15" x14ac:dyDescent="0.35">
      <c r="A82" s="2">
        <v>45050</v>
      </c>
      <c r="B82">
        <v>163.57537841796881</v>
      </c>
      <c r="C82">
        <v>472.41806030273438</v>
      </c>
      <c r="D82">
        <v>149.06037902832031</v>
      </c>
      <c r="E82">
        <v>125.90048980712891</v>
      </c>
      <c r="F82">
        <v>69.646965026855469</v>
      </c>
      <c r="G82">
        <v>145.97999572753909</v>
      </c>
      <c r="H82">
        <v>4061.219970703125</v>
      </c>
      <c r="I82">
        <f t="shared" si="13"/>
        <v>-9.9630061669392245E-3</v>
      </c>
      <c r="J82">
        <f t="shared" si="13"/>
        <v>2.6548441729118432E-3</v>
      </c>
      <c r="K82">
        <f t="shared" si="12"/>
        <v>-4.5540344265945915E-3</v>
      </c>
      <c r="L82">
        <f t="shared" si="12"/>
        <v>-1.3772830461306562E-2</v>
      </c>
      <c r="M82">
        <f t="shared" si="12"/>
        <v>1.5906356603828475E-3</v>
      </c>
      <c r="N82">
        <f t="shared" si="12"/>
        <v>-4.6191110757068752E-3</v>
      </c>
      <c r="O82">
        <f t="shared" si="12"/>
        <v>-7.2449134550627422E-3</v>
      </c>
    </row>
    <row r="83" spans="1:15" x14ac:dyDescent="0.35">
      <c r="A83" s="2">
        <v>45051</v>
      </c>
      <c r="B83">
        <v>171.25146484375</v>
      </c>
      <c r="C83">
        <v>480.8193359375</v>
      </c>
      <c r="D83">
        <v>149.5660705566406</v>
      </c>
      <c r="E83">
        <v>128.35992431640619</v>
      </c>
      <c r="F83">
        <v>69.646965026855469</v>
      </c>
      <c r="G83">
        <v>146.46812438964841</v>
      </c>
      <c r="H83">
        <v>4136.25</v>
      </c>
      <c r="I83">
        <f t="shared" si="13"/>
        <v>4.5859116762954233E-2</v>
      </c>
      <c r="J83">
        <f t="shared" si="13"/>
        <v>1.7627284041953684E-2</v>
      </c>
      <c r="K83">
        <f t="shared" si="12"/>
        <v>3.3867864845423786E-3</v>
      </c>
      <c r="L83">
        <f t="shared" si="12"/>
        <v>1.9346395133156207E-2</v>
      </c>
      <c r="M83">
        <f t="shared" si="12"/>
        <v>0</v>
      </c>
      <c r="N83">
        <f t="shared" si="12"/>
        <v>3.3382270688742922E-3</v>
      </c>
      <c r="O83">
        <f t="shared" si="12"/>
        <v>1.8306166381879797E-2</v>
      </c>
    </row>
    <row r="84" spans="1:15" x14ac:dyDescent="0.35">
      <c r="A84" s="2">
        <v>45054</v>
      </c>
      <c r="B84">
        <v>171.1824035644531</v>
      </c>
      <c r="C84">
        <v>480.8193359375</v>
      </c>
      <c r="D84">
        <v>149.22590637207031</v>
      </c>
      <c r="E84">
        <v>128.66969299316409</v>
      </c>
      <c r="F84">
        <v>70.154251098632813</v>
      </c>
      <c r="G84">
        <v>145.78285217285159</v>
      </c>
      <c r="H84">
        <v>4138.1201171875</v>
      </c>
      <c r="I84">
        <f t="shared" si="13"/>
        <v>-4.0335543066616602E-4</v>
      </c>
      <c r="J84">
        <f t="shared" si="13"/>
        <v>0</v>
      </c>
      <c r="K84">
        <f t="shared" si="12"/>
        <v>-2.2769308267878291E-3</v>
      </c>
      <c r="L84">
        <f t="shared" si="12"/>
        <v>2.410374570662887E-3</v>
      </c>
      <c r="M84">
        <f t="shared" si="12"/>
        <v>7.2572801913755227E-3</v>
      </c>
      <c r="N84">
        <f t="shared" si="12"/>
        <v>-4.6896231503790698E-3</v>
      </c>
      <c r="O84">
        <f t="shared" si="12"/>
        <v>4.5202648488206561E-4</v>
      </c>
    </row>
    <row r="85" spans="1:15" x14ac:dyDescent="0.35">
      <c r="A85" s="2">
        <v>45055</v>
      </c>
      <c r="B85">
        <v>169.4754943847656</v>
      </c>
      <c r="C85">
        <v>482.48614501953119</v>
      </c>
      <c r="D85">
        <v>148.06745910644531</v>
      </c>
      <c r="E85">
        <v>128.05012512207031</v>
      </c>
      <c r="F85">
        <v>69.711509704589844</v>
      </c>
      <c r="G85">
        <v>144.29029846191409</v>
      </c>
      <c r="H85">
        <v>4119.169921875</v>
      </c>
      <c r="I85">
        <f t="shared" si="13"/>
        <v>-1.0021335039887435E-2</v>
      </c>
      <c r="J85">
        <f t="shared" si="13"/>
        <v>3.4606067928161016E-3</v>
      </c>
      <c r="K85">
        <f t="shared" si="12"/>
        <v>-7.793333208403792E-3</v>
      </c>
      <c r="L85">
        <f t="shared" si="12"/>
        <v>-4.8268114128363097E-3</v>
      </c>
      <c r="M85">
        <f t="shared" si="12"/>
        <v>-6.3309686416260155E-3</v>
      </c>
      <c r="N85">
        <f t="shared" si="12"/>
        <v>-1.0290968881036602E-2</v>
      </c>
      <c r="O85">
        <f t="shared" si="12"/>
        <v>-4.5899389490595948E-3</v>
      </c>
    </row>
    <row r="86" spans="1:15" x14ac:dyDescent="0.35">
      <c r="A86" s="2">
        <v>45056</v>
      </c>
      <c r="B86">
        <v>171.24159240722659</v>
      </c>
      <c r="C86">
        <v>481.39739990234381</v>
      </c>
      <c r="D86">
        <v>148.61906433105469</v>
      </c>
      <c r="E86">
        <v>128.11582946777341</v>
      </c>
      <c r="F86">
        <v>70.919807434082031</v>
      </c>
      <c r="G86">
        <v>144.59071350097659</v>
      </c>
      <c r="H86">
        <v>4137.64013671875</v>
      </c>
      <c r="I86">
        <f t="shared" si="13"/>
        <v>1.0367040037547058E-2</v>
      </c>
      <c r="J86">
        <f t="shared" si="13"/>
        <v>-2.2590811638040181E-3</v>
      </c>
      <c r="K86">
        <f t="shared" si="12"/>
        <v>3.7184423060183259E-3</v>
      </c>
      <c r="L86">
        <f t="shared" si="12"/>
        <v>5.1298266585920462E-4</v>
      </c>
      <c r="M86">
        <f t="shared" si="12"/>
        <v>1.7184329753057469E-2</v>
      </c>
      <c r="N86">
        <f t="shared" si="12"/>
        <v>2.0798538838925377E-3</v>
      </c>
      <c r="O86">
        <f t="shared" si="12"/>
        <v>4.4739422419144319E-3</v>
      </c>
    </row>
    <row r="87" spans="1:15" x14ac:dyDescent="0.35">
      <c r="A87" s="2">
        <v>45057</v>
      </c>
      <c r="B87">
        <v>171.42909240722659</v>
      </c>
      <c r="C87">
        <v>483.54595947265619</v>
      </c>
      <c r="D87">
        <v>148.0122985839844</v>
      </c>
      <c r="E87">
        <v>127.7122039794922</v>
      </c>
      <c r="F87">
        <v>70.191139221191406</v>
      </c>
      <c r="G87">
        <v>144.9286193847656</v>
      </c>
      <c r="H87">
        <v>4130.6201171875</v>
      </c>
      <c r="I87">
        <f t="shared" si="13"/>
        <v>1.0943452534546419E-3</v>
      </c>
      <c r="J87">
        <f t="shared" si="13"/>
        <v>4.4532419445671E-3</v>
      </c>
      <c r="K87">
        <f t="shared" si="12"/>
        <v>-4.0910481439140976E-3</v>
      </c>
      <c r="L87">
        <f t="shared" si="12"/>
        <v>-3.1554463969038224E-3</v>
      </c>
      <c r="M87">
        <f t="shared" si="12"/>
        <v>-1.0327684802092228E-2</v>
      </c>
      <c r="N87">
        <f t="shared" si="12"/>
        <v>2.3342554284808302E-3</v>
      </c>
      <c r="O87">
        <f t="shared" si="12"/>
        <v>-1.6980648897067581E-3</v>
      </c>
    </row>
    <row r="88" spans="1:15" x14ac:dyDescent="0.35">
      <c r="A88" s="2">
        <v>45058</v>
      </c>
      <c r="B88">
        <v>170.50035095214841</v>
      </c>
      <c r="C88">
        <v>485.646240234375</v>
      </c>
      <c r="D88">
        <v>147.81919860839841</v>
      </c>
      <c r="E88">
        <v>125.88169860839839</v>
      </c>
      <c r="F88">
        <v>71.906715393066406</v>
      </c>
      <c r="G88">
        <v>146.40245056152341</v>
      </c>
      <c r="H88">
        <v>4124.080078125</v>
      </c>
      <c r="I88">
        <f t="shared" si="13"/>
        <v>-5.4323706664906784E-3</v>
      </c>
      <c r="J88">
        <f t="shared" si="13"/>
        <v>4.3340919377061991E-3</v>
      </c>
      <c r="K88">
        <f t="shared" si="12"/>
        <v>-1.3054729117284592E-3</v>
      </c>
      <c r="L88">
        <f t="shared" si="12"/>
        <v>-1.4436760072988795E-2</v>
      </c>
      <c r="M88">
        <f t="shared" si="12"/>
        <v>2.4147578289895204E-2</v>
      </c>
      <c r="N88">
        <f t="shared" si="12"/>
        <v>1.0117999089461399E-2</v>
      </c>
      <c r="O88">
        <f t="shared" si="12"/>
        <v>-1.5845615894390477E-3</v>
      </c>
    </row>
    <row r="89" spans="1:15" x14ac:dyDescent="0.35">
      <c r="A89" s="2">
        <v>45061</v>
      </c>
      <c r="B89">
        <v>170.00634765625</v>
      </c>
      <c r="C89">
        <v>483.69039916992188</v>
      </c>
      <c r="D89">
        <v>146.68836975097659</v>
      </c>
      <c r="E89">
        <v>126.9424514770508</v>
      </c>
      <c r="F89">
        <v>71.519317626953125</v>
      </c>
      <c r="G89">
        <v>146.4493408203125</v>
      </c>
      <c r="H89">
        <v>4136.27978515625</v>
      </c>
      <c r="I89">
        <f t="shared" si="13"/>
        <v>-2.9015795842403315E-3</v>
      </c>
      <c r="J89">
        <f t="shared" si="13"/>
        <v>-4.0354271965626458E-3</v>
      </c>
      <c r="K89">
        <f t="shared" si="12"/>
        <v>-7.6794930685971773E-3</v>
      </c>
      <c r="L89">
        <f t="shared" si="12"/>
        <v>8.3912798090705794E-3</v>
      </c>
      <c r="M89">
        <f t="shared" si="12"/>
        <v>-5.402069625073635E-3</v>
      </c>
      <c r="N89">
        <f t="shared" si="12"/>
        <v>3.2023201202594013E-4</v>
      </c>
      <c r="O89">
        <f t="shared" si="12"/>
        <v>2.9537976803169349E-3</v>
      </c>
    </row>
    <row r="90" spans="1:15" x14ac:dyDescent="0.35">
      <c r="A90" s="2">
        <v>45062</v>
      </c>
      <c r="B90">
        <v>170.00634765625</v>
      </c>
      <c r="C90">
        <v>478.01571655273438</v>
      </c>
      <c r="D90">
        <v>146.49530029296881</v>
      </c>
      <c r="E90">
        <v>126.08823394775391</v>
      </c>
      <c r="F90">
        <v>69.951332092285156</v>
      </c>
      <c r="G90">
        <v>146.1958923339844</v>
      </c>
      <c r="H90">
        <v>4109.89990234375</v>
      </c>
      <c r="I90">
        <f t="shared" si="13"/>
        <v>0</v>
      </c>
      <c r="J90">
        <f t="shared" si="13"/>
        <v>-1.180141913487404E-2</v>
      </c>
      <c r="K90">
        <f t="shared" si="12"/>
        <v>-1.3170548406571988E-3</v>
      </c>
      <c r="L90">
        <f t="shared" si="12"/>
        <v>-6.7519144807085072E-3</v>
      </c>
      <c r="M90">
        <f t="shared" si="12"/>
        <v>-2.2167845387132096E-2</v>
      </c>
      <c r="N90">
        <f t="shared" si="12"/>
        <v>-1.7321214971696695E-3</v>
      </c>
      <c r="O90">
        <f t="shared" si="12"/>
        <v>-6.3981076819174627E-3</v>
      </c>
    </row>
    <row r="91" spans="1:15" x14ac:dyDescent="0.35">
      <c r="A91" s="2">
        <v>45063</v>
      </c>
      <c r="B91">
        <v>170.61888122558591</v>
      </c>
      <c r="C91">
        <v>476.90774536132813</v>
      </c>
      <c r="D91">
        <v>146.17353820800781</v>
      </c>
      <c r="E91">
        <v>129.965087890625</v>
      </c>
      <c r="F91">
        <v>69.490142822265625</v>
      </c>
      <c r="G91">
        <v>145.57633972167969</v>
      </c>
      <c r="H91">
        <v>4158.77001953125</v>
      </c>
      <c r="I91">
        <f t="shared" si="13"/>
        <v>3.5965288396733477E-3</v>
      </c>
      <c r="J91">
        <f t="shared" si="13"/>
        <v>-2.3205455364582483E-3</v>
      </c>
      <c r="K91">
        <f t="shared" si="12"/>
        <v>-2.1988143066173044E-3</v>
      </c>
      <c r="L91">
        <f t="shared" si="12"/>
        <v>3.0283928396948052E-2</v>
      </c>
      <c r="M91">
        <f t="shared" si="12"/>
        <v>-6.6148318059705653E-3</v>
      </c>
      <c r="N91">
        <f t="shared" si="12"/>
        <v>-4.2468300640164311E-3</v>
      </c>
      <c r="O91">
        <f t="shared" si="12"/>
        <v>1.1820688622071574E-2</v>
      </c>
    </row>
    <row r="92" spans="1:15" x14ac:dyDescent="0.35">
      <c r="A92" s="2">
        <v>45064</v>
      </c>
      <c r="B92">
        <v>172.95060729980469</v>
      </c>
      <c r="C92">
        <v>479.89447021484381</v>
      </c>
      <c r="D92">
        <v>145.7046203613281</v>
      </c>
      <c r="E92">
        <v>130.95075988769531</v>
      </c>
      <c r="F92">
        <v>69.268791198730469</v>
      </c>
      <c r="G92">
        <v>143.18260192871091</v>
      </c>
      <c r="H92">
        <v>4198.0498046875</v>
      </c>
      <c r="I92">
        <f t="shared" si="13"/>
        <v>1.3573742448110887E-2</v>
      </c>
      <c r="J92">
        <f t="shared" si="13"/>
        <v>6.2431597795852061E-3</v>
      </c>
      <c r="K92">
        <f t="shared" si="12"/>
        <v>-3.2131095550732422E-3</v>
      </c>
      <c r="L92">
        <f t="shared" si="12"/>
        <v>7.5555141203405302E-3</v>
      </c>
      <c r="M92">
        <f t="shared" si="12"/>
        <v>-3.1904513083499137E-3</v>
      </c>
      <c r="N92">
        <f t="shared" si="12"/>
        <v>-1.6579868411974768E-2</v>
      </c>
      <c r="O92">
        <f t="shared" si="12"/>
        <v>9.4007230637271552E-3</v>
      </c>
    </row>
    <row r="93" spans="1:15" x14ac:dyDescent="0.35">
      <c r="A93" s="2">
        <v>45065</v>
      </c>
      <c r="B93">
        <v>173.05926513671881</v>
      </c>
      <c r="C93">
        <v>478.3721923828125</v>
      </c>
      <c r="D93">
        <v>146.09992980957031</v>
      </c>
      <c r="E93">
        <v>130.65032958984381</v>
      </c>
      <c r="F93">
        <v>68.696937561035156</v>
      </c>
      <c r="G93">
        <v>143.78338623046881</v>
      </c>
      <c r="H93">
        <v>4191.97998046875</v>
      </c>
      <c r="I93">
        <f t="shared" si="13"/>
        <v>6.2806208227959989E-4</v>
      </c>
      <c r="J93">
        <f t="shared" si="13"/>
        <v>-3.177151354573401E-3</v>
      </c>
      <c r="K93">
        <f t="shared" si="12"/>
        <v>2.7094141598460277E-3</v>
      </c>
      <c r="L93">
        <f t="shared" si="12"/>
        <v>-2.2968591646902571E-3</v>
      </c>
      <c r="M93">
        <f t="shared" si="12"/>
        <v>-8.2898400597947036E-3</v>
      </c>
      <c r="N93">
        <f t="shared" si="12"/>
        <v>4.1871525149703784E-3</v>
      </c>
      <c r="O93">
        <f t="shared" si="12"/>
        <v>-1.4469138806754414E-3</v>
      </c>
    </row>
    <row r="94" spans="1:15" x14ac:dyDescent="0.35">
      <c r="A94" s="2">
        <v>45068</v>
      </c>
      <c r="B94">
        <v>172.11077880859381</v>
      </c>
      <c r="C94">
        <v>473.89215087890619</v>
      </c>
      <c r="D94">
        <v>145.31257629394531</v>
      </c>
      <c r="E94">
        <v>129.57084655761719</v>
      </c>
      <c r="F94">
        <v>68.789161682128906</v>
      </c>
      <c r="G94">
        <v>140.01914978027341</v>
      </c>
      <c r="H94">
        <v>4192.6298828125</v>
      </c>
      <c r="I94">
        <f t="shared" si="13"/>
        <v>-5.4957765429920549E-3</v>
      </c>
      <c r="J94">
        <f t="shared" si="13"/>
        <v>-9.4093086420068001E-3</v>
      </c>
      <c r="K94">
        <f t="shared" si="12"/>
        <v>-5.4037175140906621E-3</v>
      </c>
      <c r="L94">
        <f t="shared" si="12"/>
        <v>-8.29670544430435E-3</v>
      </c>
      <c r="M94">
        <f t="shared" si="12"/>
        <v>1.3415775912437107E-3</v>
      </c>
      <c r="N94">
        <f t="shared" si="12"/>
        <v>-2.6528707349158159E-2</v>
      </c>
      <c r="O94">
        <f t="shared" si="12"/>
        <v>1.5502267980239146E-4</v>
      </c>
    </row>
    <row r="95" spans="1:15" x14ac:dyDescent="0.35">
      <c r="A95" s="2">
        <v>45069</v>
      </c>
      <c r="B95">
        <v>169.50245666503909</v>
      </c>
      <c r="C95">
        <v>467.14797973632813</v>
      </c>
      <c r="D95">
        <v>145.25703430175781</v>
      </c>
      <c r="E95">
        <v>128.2190856933594</v>
      </c>
      <c r="F95">
        <v>68.401779174804688</v>
      </c>
      <c r="G95">
        <v>138.5078125</v>
      </c>
      <c r="H95">
        <v>4145.580078125</v>
      </c>
      <c r="I95">
        <f t="shared" si="13"/>
        <v>-1.5270912020131932E-2</v>
      </c>
      <c r="J95">
        <f t="shared" si="13"/>
        <v>-1.4333685442626374E-2</v>
      </c>
      <c r="K95">
        <f t="shared" si="12"/>
        <v>-3.8229732799717519E-4</v>
      </c>
      <c r="L95">
        <f t="shared" si="12"/>
        <v>-1.0487401443101575E-2</v>
      </c>
      <c r="M95">
        <f t="shared" si="12"/>
        <v>-5.6473632218061402E-3</v>
      </c>
      <c r="N95">
        <f t="shared" si="12"/>
        <v>-1.0852465421252877E-2</v>
      </c>
      <c r="O95">
        <f t="shared" si="12"/>
        <v>-1.1285468768284297E-2</v>
      </c>
    </row>
    <row r="96" spans="1:15" x14ac:dyDescent="0.35">
      <c r="A96" s="2">
        <v>45070</v>
      </c>
      <c r="B96">
        <v>169.7790832519531</v>
      </c>
      <c r="C96">
        <v>465.11514282226563</v>
      </c>
      <c r="D96">
        <v>145.11808776855469</v>
      </c>
      <c r="E96">
        <v>127.0457305908203</v>
      </c>
      <c r="F96">
        <v>68.475555419921875</v>
      </c>
      <c r="G96">
        <v>137.36256408691409</v>
      </c>
      <c r="H96">
        <v>4115.240234375</v>
      </c>
      <c r="I96">
        <f t="shared" si="13"/>
        <v>1.630661357401326E-3</v>
      </c>
      <c r="J96">
        <f t="shared" si="13"/>
        <v>-4.3610866648301919E-3</v>
      </c>
      <c r="K96">
        <f t="shared" si="12"/>
        <v>-9.5701410518421036E-4</v>
      </c>
      <c r="L96">
        <f t="shared" si="12"/>
        <v>-9.1933027326482949E-3</v>
      </c>
      <c r="M96">
        <f t="shared" si="12"/>
        <v>1.0779907788243178E-3</v>
      </c>
      <c r="N96">
        <f t="shared" si="12"/>
        <v>-8.3028486526285847E-3</v>
      </c>
      <c r="O96">
        <f t="shared" si="12"/>
        <v>-7.3455126783052108E-3</v>
      </c>
    </row>
    <row r="97" spans="1:15" x14ac:dyDescent="0.35">
      <c r="A97" s="2">
        <v>45071</v>
      </c>
      <c r="B97">
        <v>170.9153137207031</v>
      </c>
      <c r="C97">
        <v>468.76657104492188</v>
      </c>
      <c r="D97">
        <v>143.03385925292969</v>
      </c>
      <c r="E97">
        <v>127.3554763793945</v>
      </c>
      <c r="F97">
        <v>67.691551208496094</v>
      </c>
      <c r="G97">
        <v>136.48016357421881</v>
      </c>
      <c r="H97">
        <v>4151.27978515625</v>
      </c>
      <c r="I97">
        <f t="shared" si="13"/>
        <v>6.6701107588117772E-3</v>
      </c>
      <c r="J97">
        <f t="shared" si="13"/>
        <v>7.8199343148159517E-3</v>
      </c>
      <c r="K97">
        <f t="shared" si="12"/>
        <v>-1.4466429157020497E-2</v>
      </c>
      <c r="L97">
        <f t="shared" si="12"/>
        <v>2.4350980509996226E-3</v>
      </c>
      <c r="M97">
        <f t="shared" si="12"/>
        <v>-1.1515451777358316E-2</v>
      </c>
      <c r="N97">
        <f t="shared" si="12"/>
        <v>-6.4446010619511641E-3</v>
      </c>
      <c r="O97">
        <f t="shared" si="12"/>
        <v>8.7194560790118825E-3</v>
      </c>
    </row>
    <row r="98" spans="1:15" x14ac:dyDescent="0.35">
      <c r="A98" s="2">
        <v>45072</v>
      </c>
      <c r="B98">
        <v>173.32603454589841</v>
      </c>
      <c r="C98">
        <v>488.71969604492188</v>
      </c>
      <c r="D98">
        <v>142.97825622558591</v>
      </c>
      <c r="E98">
        <v>128.54768371582031</v>
      </c>
      <c r="F98">
        <v>68.61798095703125</v>
      </c>
      <c r="G98">
        <v>136.48954772949219</v>
      </c>
      <c r="H98">
        <v>4205.4501953125</v>
      </c>
      <c r="I98">
        <f t="shared" si="13"/>
        <v>1.400622120099505E-2</v>
      </c>
      <c r="J98">
        <f t="shared" si="13"/>
        <v>4.1684178177900745E-2</v>
      </c>
      <c r="K98">
        <f t="shared" si="12"/>
        <v>-3.8881589299979589E-4</v>
      </c>
      <c r="L98">
        <f t="shared" si="12"/>
        <v>9.3177119154411129E-3</v>
      </c>
      <c r="M98">
        <f t="shared" si="12"/>
        <v>1.3593238843229995E-2</v>
      </c>
      <c r="N98">
        <f t="shared" si="12"/>
        <v>6.875601862385756E-5</v>
      </c>
      <c r="O98">
        <f t="shared" si="12"/>
        <v>1.2964680931640788E-2</v>
      </c>
    </row>
    <row r="99" spans="1:15" x14ac:dyDescent="0.35">
      <c r="A99" s="2">
        <v>45076</v>
      </c>
      <c r="B99">
        <v>175.17362976074219</v>
      </c>
      <c r="C99">
        <v>489.46151733398438</v>
      </c>
      <c r="D99">
        <v>142.99676513671881</v>
      </c>
      <c r="E99">
        <v>129.0357666015625</v>
      </c>
      <c r="F99">
        <v>67.476203918457031</v>
      </c>
      <c r="G99">
        <v>134.4056396484375</v>
      </c>
      <c r="H99">
        <v>4205.52001953125</v>
      </c>
      <c r="I99">
        <f t="shared" si="13"/>
        <v>1.0603238477772579E-2</v>
      </c>
      <c r="J99">
        <f t="shared" si="13"/>
        <v>1.5167362061936703E-3</v>
      </c>
      <c r="K99">
        <f t="shared" si="12"/>
        <v>1.2944425055418739E-4</v>
      </c>
      <c r="L99">
        <f t="shared" si="12"/>
        <v>3.7897114064661627E-3</v>
      </c>
      <c r="M99">
        <f t="shared" si="12"/>
        <v>-1.677961228026879E-2</v>
      </c>
      <c r="N99">
        <f t="shared" si="12"/>
        <v>-1.5385649404202738E-2</v>
      </c>
      <c r="O99">
        <f t="shared" si="12"/>
        <v>1.660313066576836E-5</v>
      </c>
    </row>
    <row r="100" spans="1:15" x14ac:dyDescent="0.35">
      <c r="A100" s="2">
        <v>45077</v>
      </c>
      <c r="B100">
        <v>175.12422180175781</v>
      </c>
      <c r="C100">
        <v>492.86245727539063</v>
      </c>
      <c r="D100">
        <v>143.63594055175781</v>
      </c>
      <c r="E100">
        <v>127.3930587768555</v>
      </c>
      <c r="F100">
        <v>68.190956115722656</v>
      </c>
      <c r="G100">
        <v>133.76728820800781</v>
      </c>
      <c r="H100">
        <v>4179.830078125</v>
      </c>
      <c r="I100">
        <f t="shared" si="13"/>
        <v>-2.820911352531966E-4</v>
      </c>
      <c r="J100">
        <f t="shared" si="13"/>
        <v>6.9243011831982698E-3</v>
      </c>
      <c r="K100">
        <f t="shared" si="12"/>
        <v>4.459899110074857E-3</v>
      </c>
      <c r="L100">
        <f t="shared" si="12"/>
        <v>-1.2812368453696973E-2</v>
      </c>
      <c r="M100">
        <f t="shared" si="12"/>
        <v>1.0536946600103512E-2</v>
      </c>
      <c r="N100">
        <f t="shared" si="12"/>
        <v>-4.760753825571562E-3</v>
      </c>
      <c r="O100">
        <f t="shared" si="12"/>
        <v>-6.1273581862140991E-3</v>
      </c>
    </row>
    <row r="101" spans="1:15" x14ac:dyDescent="0.35">
      <c r="A101" s="2">
        <v>45078</v>
      </c>
      <c r="B101">
        <v>177.93016052246091</v>
      </c>
      <c r="C101">
        <v>493.86444091796881</v>
      </c>
      <c r="D101">
        <v>143.15423583984381</v>
      </c>
      <c r="E101">
        <v>129.1484375</v>
      </c>
      <c r="F101">
        <v>67.726829528808594</v>
      </c>
      <c r="G101">
        <v>135.13783264160159</v>
      </c>
      <c r="H101">
        <v>4221.02001953125</v>
      </c>
      <c r="I101">
        <f t="shared" si="13"/>
        <v>1.5895555710448747E-2</v>
      </c>
      <c r="J101">
        <f t="shared" si="13"/>
        <v>2.0309246435174246E-3</v>
      </c>
      <c r="K101">
        <f t="shared" si="12"/>
        <v>-3.3592863672672105E-3</v>
      </c>
      <c r="L101">
        <f t="shared" si="12"/>
        <v>1.3685163177774072E-2</v>
      </c>
      <c r="M101">
        <f t="shared" si="12"/>
        <v>-6.8295460924630369E-3</v>
      </c>
      <c r="N101">
        <f t="shared" si="12"/>
        <v>1.0193605067602567E-2</v>
      </c>
      <c r="O101">
        <f t="shared" si="12"/>
        <v>9.806215085853812E-3</v>
      </c>
    </row>
    <row r="102" spans="1:15" x14ac:dyDescent="0.35">
      <c r="A102" s="2">
        <v>45079</v>
      </c>
      <c r="B102">
        <v>178.77983093261719</v>
      </c>
      <c r="C102">
        <v>493.8548583984375</v>
      </c>
      <c r="D102">
        <v>145.40521240234381</v>
      </c>
      <c r="E102">
        <v>131.861328125</v>
      </c>
      <c r="F102">
        <v>68.553001403808594</v>
      </c>
      <c r="G102">
        <v>137.54093933105469</v>
      </c>
      <c r="H102">
        <v>4282.3701171875</v>
      </c>
      <c r="I102">
        <f t="shared" si="13"/>
        <v>4.7639373017607494E-3</v>
      </c>
      <c r="J102">
        <f t="shared" si="13"/>
        <v>-1.9403325495874222E-5</v>
      </c>
      <c r="K102">
        <f t="shared" si="12"/>
        <v>1.560179184094908E-2</v>
      </c>
      <c r="L102">
        <f t="shared" si="12"/>
        <v>2.0788404736738424E-2</v>
      </c>
      <c r="M102">
        <f t="shared" si="12"/>
        <v>1.2124787514744729E-2</v>
      </c>
      <c r="N102">
        <f t="shared" si="12"/>
        <v>1.7626373259545799E-2</v>
      </c>
      <c r="O102">
        <f t="shared" si="12"/>
        <v>1.4429812390107408E-2</v>
      </c>
    </row>
    <row r="103" spans="1:15" x14ac:dyDescent="0.35">
      <c r="A103" s="2">
        <v>45082</v>
      </c>
      <c r="B103">
        <v>177.42626953125</v>
      </c>
      <c r="C103">
        <v>499.30792236328119</v>
      </c>
      <c r="D103">
        <v>146.65576171875</v>
      </c>
      <c r="E103">
        <v>130.56585693359381</v>
      </c>
      <c r="F103">
        <v>68.3116455078125</v>
      </c>
      <c r="G103">
        <v>136.99647521972659</v>
      </c>
      <c r="H103">
        <v>4273.7900390625</v>
      </c>
      <c r="I103">
        <f t="shared" si="13"/>
        <v>-7.5999142889102691E-3</v>
      </c>
      <c r="J103">
        <f t="shared" si="13"/>
        <v>1.0981319213380688E-2</v>
      </c>
      <c r="K103">
        <f t="shared" si="12"/>
        <v>8.5636703960935388E-3</v>
      </c>
      <c r="L103">
        <f t="shared" si="12"/>
        <v>-9.8730755686561606E-3</v>
      </c>
      <c r="M103">
        <f t="shared" si="12"/>
        <v>-3.5269319233680488E-3</v>
      </c>
      <c r="N103">
        <f t="shared" si="12"/>
        <v>-3.9664162061991415E-3</v>
      </c>
      <c r="O103">
        <f t="shared" si="12"/>
        <v>-2.005591490657713E-3</v>
      </c>
    </row>
    <row r="104" spans="1:15" x14ac:dyDescent="0.35">
      <c r="A104" s="2">
        <v>45083</v>
      </c>
      <c r="B104">
        <v>177.06071472167969</v>
      </c>
      <c r="C104">
        <v>497.39071655273438</v>
      </c>
      <c r="D104">
        <v>146.52607727050781</v>
      </c>
      <c r="E104">
        <v>130.80055236816409</v>
      </c>
      <c r="F104">
        <v>68.116706848144531</v>
      </c>
      <c r="G104">
        <v>135.63531494140619</v>
      </c>
      <c r="H104">
        <v>4283.85009765625</v>
      </c>
      <c r="I104">
        <f t="shared" si="13"/>
        <v>-2.0624449155452144E-3</v>
      </c>
      <c r="J104">
        <f t="shared" si="13"/>
        <v>-3.847117072889053E-3</v>
      </c>
      <c r="K104">
        <f t="shared" si="12"/>
        <v>-8.8466909919991178E-4</v>
      </c>
      <c r="L104">
        <f t="shared" si="12"/>
        <v>1.7959117109005677E-3</v>
      </c>
      <c r="M104">
        <f t="shared" si="12"/>
        <v>-2.8577460471949879E-3</v>
      </c>
      <c r="N104">
        <f t="shared" si="12"/>
        <v>-9.9854209037720312E-3</v>
      </c>
      <c r="O104">
        <f t="shared" si="12"/>
        <v>2.3511302338505759E-3</v>
      </c>
    </row>
    <row r="105" spans="1:15" x14ac:dyDescent="0.35">
      <c r="A105" s="2">
        <v>45084</v>
      </c>
      <c r="B105">
        <v>175.6874084472656</v>
      </c>
      <c r="C105">
        <v>492.54458618164063</v>
      </c>
      <c r="D105">
        <v>146.8410339355469</v>
      </c>
      <c r="E105">
        <v>132.06781005859381</v>
      </c>
      <c r="F105">
        <v>68.850044250488281</v>
      </c>
      <c r="G105">
        <v>135.92634582519531</v>
      </c>
      <c r="H105">
        <v>4267.52001953125</v>
      </c>
      <c r="I105">
        <f t="shared" si="13"/>
        <v>-7.7863672266506069E-3</v>
      </c>
      <c r="J105">
        <f t="shared" si="13"/>
        <v>-9.7908804155010572E-3</v>
      </c>
      <c r="K105">
        <f t="shared" si="13"/>
        <v>2.1471853797840096E-3</v>
      </c>
      <c r="L105">
        <f t="shared" si="13"/>
        <v>9.6418412339701488E-3</v>
      </c>
      <c r="M105">
        <f t="shared" si="13"/>
        <v>1.0708356649055183E-2</v>
      </c>
      <c r="N105">
        <f t="shared" si="13"/>
        <v>2.143387946491407E-3</v>
      </c>
      <c r="O105">
        <f t="shared" si="13"/>
        <v>-3.8192939264206169E-3</v>
      </c>
    </row>
    <row r="106" spans="1:15" x14ac:dyDescent="0.35">
      <c r="A106" s="2">
        <v>45085</v>
      </c>
      <c r="B106">
        <v>178.4043884277344</v>
      </c>
      <c r="C106">
        <v>501.08071899414063</v>
      </c>
      <c r="D106">
        <v>148.45281982421881</v>
      </c>
      <c r="E106">
        <v>132.1053771972656</v>
      </c>
      <c r="F106">
        <v>69.527679443359375</v>
      </c>
      <c r="G106">
        <v>137.4658203125</v>
      </c>
      <c r="H106">
        <v>4293.93017578125</v>
      </c>
      <c r="I106">
        <f t="shared" si="13"/>
        <v>1.5346491098178336E-2</v>
      </c>
      <c r="J106">
        <f t="shared" si="13"/>
        <v>1.7182217031309194E-2</v>
      </c>
      <c r="K106">
        <f t="shared" si="13"/>
        <v>1.0916596297375557E-2</v>
      </c>
      <c r="L106">
        <f t="shared" si="13"/>
        <v>2.8441295890208382E-4</v>
      </c>
      <c r="M106">
        <f t="shared" si="13"/>
        <v>9.7940707731468402E-3</v>
      </c>
      <c r="N106">
        <f t="shared" si="13"/>
        <v>1.126214244345366E-2</v>
      </c>
      <c r="O106">
        <f t="shared" si="13"/>
        <v>6.16957160752325E-3</v>
      </c>
    </row>
    <row r="107" spans="1:15" x14ac:dyDescent="0.35">
      <c r="A107" s="2">
        <v>45086</v>
      </c>
      <c r="B107">
        <v>178.78971862792969</v>
      </c>
      <c r="C107">
        <v>498.37344360351563</v>
      </c>
      <c r="D107">
        <v>148.2212219238281</v>
      </c>
      <c r="E107">
        <v>132.36820983886719</v>
      </c>
      <c r="F107">
        <v>68.757225036621094</v>
      </c>
      <c r="G107">
        <v>137.57844543457031</v>
      </c>
      <c r="H107">
        <v>4298.85986328125</v>
      </c>
      <c r="I107">
        <f t="shared" si="13"/>
        <v>2.1575403516418843E-3</v>
      </c>
      <c r="J107">
        <f t="shared" si="13"/>
        <v>-5.4175211097721729E-3</v>
      </c>
      <c r="K107">
        <f t="shared" si="13"/>
        <v>-1.5612956635653692E-3</v>
      </c>
      <c r="L107">
        <f t="shared" si="13"/>
        <v>1.9875915101708256E-3</v>
      </c>
      <c r="M107">
        <f t="shared" si="13"/>
        <v>-1.1143116189497841E-2</v>
      </c>
      <c r="N107">
        <f t="shared" si="13"/>
        <v>8.1896001764777276E-4</v>
      </c>
      <c r="O107">
        <f t="shared" si="13"/>
        <v>1.1474010230505239E-3</v>
      </c>
    </row>
    <row r="108" spans="1:15" x14ac:dyDescent="0.35">
      <c r="A108" s="2">
        <v>45089</v>
      </c>
      <c r="B108">
        <v>181.58576965332031</v>
      </c>
      <c r="C108">
        <v>501.92855834960938</v>
      </c>
      <c r="D108">
        <v>148.1193542480469</v>
      </c>
      <c r="E108">
        <v>132.35882568359381</v>
      </c>
      <c r="F108">
        <v>68.673683166503906</v>
      </c>
      <c r="G108">
        <v>136.49894714355469</v>
      </c>
      <c r="H108">
        <v>4338.93017578125</v>
      </c>
      <c r="I108">
        <f t="shared" si="13"/>
        <v>1.5517743151772366E-2</v>
      </c>
      <c r="J108">
        <f t="shared" si="13"/>
        <v>7.1081127654112064E-3</v>
      </c>
      <c r="K108">
        <f t="shared" si="13"/>
        <v>-6.8750409484608489E-4</v>
      </c>
      <c r="L108">
        <f t="shared" si="13"/>
        <v>-7.0896841033162377E-5</v>
      </c>
      <c r="M108">
        <f t="shared" si="13"/>
        <v>-1.2157655290159204E-3</v>
      </c>
      <c r="N108">
        <f t="shared" si="13"/>
        <v>-7.8773653165673391E-3</v>
      </c>
      <c r="O108">
        <f t="shared" si="13"/>
        <v>9.2779749817541602E-3</v>
      </c>
    </row>
    <row r="109" spans="1:15" x14ac:dyDescent="0.35">
      <c r="A109" s="2">
        <v>45090</v>
      </c>
      <c r="B109">
        <v>181.1115417480469</v>
      </c>
      <c r="C109">
        <v>502.94015502929688</v>
      </c>
      <c r="D109">
        <v>148.89747619628909</v>
      </c>
      <c r="E109">
        <v>133.3163146972656</v>
      </c>
      <c r="F109">
        <v>69.017127990722656</v>
      </c>
      <c r="G109">
        <v>136.17039489746091</v>
      </c>
      <c r="H109">
        <v>4369.009765625</v>
      </c>
      <c r="I109">
        <f t="shared" si="13"/>
        <v>-2.6150079452339492E-3</v>
      </c>
      <c r="J109">
        <f t="shared" si="13"/>
        <v>2.0133914171047156E-3</v>
      </c>
      <c r="K109">
        <f t="shared" si="13"/>
        <v>5.2395935088785563E-3</v>
      </c>
      <c r="L109">
        <f t="shared" si="13"/>
        <v>7.2079996483278572E-3</v>
      </c>
      <c r="M109">
        <f t="shared" si="13"/>
        <v>4.9886486047525797E-3</v>
      </c>
      <c r="N109">
        <f t="shared" si="13"/>
        <v>-2.4098961961969345E-3</v>
      </c>
      <c r="O109">
        <f t="shared" si="13"/>
        <v>6.9085707259088974E-3</v>
      </c>
    </row>
    <row r="110" spans="1:15" x14ac:dyDescent="0.35">
      <c r="A110" s="2">
        <v>45091</v>
      </c>
      <c r="B110">
        <v>181.74383544921881</v>
      </c>
      <c r="C110">
        <v>507.930908203125</v>
      </c>
      <c r="D110">
        <v>149.65704345703119</v>
      </c>
      <c r="E110">
        <v>132.81880187988281</v>
      </c>
      <c r="F110">
        <v>68.135269165039063</v>
      </c>
      <c r="G110">
        <v>137.4470520019531</v>
      </c>
      <c r="H110">
        <v>4372.58984375</v>
      </c>
      <c r="I110">
        <f t="shared" si="13"/>
        <v>3.485103878242587E-3</v>
      </c>
      <c r="J110">
        <f t="shared" si="13"/>
        <v>9.8742439178367246E-3</v>
      </c>
      <c r="K110">
        <f t="shared" si="13"/>
        <v>5.0883095017039207E-3</v>
      </c>
      <c r="L110">
        <f t="shared" si="13"/>
        <v>-3.7388030811395826E-3</v>
      </c>
      <c r="M110">
        <f t="shared" si="13"/>
        <v>-1.2859723881919045E-2</v>
      </c>
      <c r="N110">
        <f t="shared" si="13"/>
        <v>9.3317614312188081E-3</v>
      </c>
      <c r="O110">
        <f t="shared" si="13"/>
        <v>8.1908998012658412E-4</v>
      </c>
    </row>
    <row r="111" spans="1:15" x14ac:dyDescent="0.35">
      <c r="A111" s="2">
        <v>45092</v>
      </c>
      <c r="B111">
        <v>183.7791442871094</v>
      </c>
      <c r="C111">
        <v>509.83840942382813</v>
      </c>
      <c r="D111">
        <v>151.6671447753906</v>
      </c>
      <c r="E111">
        <v>134.32075500488281</v>
      </c>
      <c r="F111">
        <v>69.026420593261719</v>
      </c>
      <c r="G111">
        <v>139.35264587402341</v>
      </c>
      <c r="H111">
        <v>4425.83984375</v>
      </c>
      <c r="I111">
        <f t="shared" si="13"/>
        <v>1.1136535791233786E-2</v>
      </c>
      <c r="J111">
        <f t="shared" si="13"/>
        <v>3.7484003911545135E-3</v>
      </c>
      <c r="K111">
        <f t="shared" si="13"/>
        <v>1.3341983250611334E-2</v>
      </c>
      <c r="L111">
        <f t="shared" si="13"/>
        <v>1.1244826253564995E-2</v>
      </c>
      <c r="M111">
        <f t="shared" si="13"/>
        <v>1.2994356795205044E-2</v>
      </c>
      <c r="N111">
        <f t="shared" si="13"/>
        <v>1.3768974406725077E-2</v>
      </c>
      <c r="O111">
        <f t="shared" si="13"/>
        <v>1.2104580493589997E-2</v>
      </c>
    </row>
    <row r="112" spans="1:15" x14ac:dyDescent="0.35">
      <c r="A112" s="2">
        <v>45093</v>
      </c>
      <c r="B112">
        <v>182.70222473144531</v>
      </c>
      <c r="C112">
        <v>504.51065063476563</v>
      </c>
      <c r="D112">
        <v>152.13035583496091</v>
      </c>
      <c r="E112">
        <v>134.48033142089841</v>
      </c>
      <c r="F112">
        <v>70.168174743652344</v>
      </c>
      <c r="G112">
        <v>140.3758544921875</v>
      </c>
      <c r="H112">
        <v>4409.58984375</v>
      </c>
      <c r="I112">
        <f t="shared" si="13"/>
        <v>-5.8770936066974665E-3</v>
      </c>
      <c r="J112">
        <f t="shared" si="13"/>
        <v>-1.0504880406675703E-2</v>
      </c>
      <c r="K112">
        <f t="shared" si="13"/>
        <v>3.0494748482200965E-3</v>
      </c>
      <c r="L112">
        <f t="shared" si="13"/>
        <v>1.1873198645443704E-3</v>
      </c>
      <c r="M112">
        <f t="shared" si="13"/>
        <v>1.640551855125771E-2</v>
      </c>
      <c r="N112">
        <f t="shared" si="13"/>
        <v>7.3157592476943362E-3</v>
      </c>
      <c r="O112">
        <f t="shared" si="13"/>
        <v>-3.6783764677510893E-3</v>
      </c>
    </row>
    <row r="113" spans="1:15" x14ac:dyDescent="0.35">
      <c r="A113" s="2">
        <v>45097</v>
      </c>
      <c r="B113">
        <v>182.7911376953125</v>
      </c>
      <c r="C113">
        <v>500.70498657226563</v>
      </c>
      <c r="D113">
        <v>152.03770446777341</v>
      </c>
      <c r="E113">
        <v>133.79505920410159</v>
      </c>
      <c r="F113">
        <v>69.397735595703125</v>
      </c>
      <c r="G113">
        <v>139.0804138183594</v>
      </c>
      <c r="H113">
        <v>4388.7099609375</v>
      </c>
      <c r="I113">
        <f t="shared" si="13"/>
        <v>4.8653669128634867E-4</v>
      </c>
      <c r="J113">
        <f t="shared" si="13"/>
        <v>-7.5718723509866385E-3</v>
      </c>
      <c r="K113">
        <f t="shared" si="13"/>
        <v>-6.0921169672337584E-4</v>
      </c>
      <c r="L113">
        <f t="shared" si="13"/>
        <v>-5.1087332730635334E-3</v>
      </c>
      <c r="M113">
        <f t="shared" si="13"/>
        <v>-1.1040618330549128E-2</v>
      </c>
      <c r="N113">
        <f t="shared" si="13"/>
        <v>-9.2712177174026772E-3</v>
      </c>
      <c r="O113">
        <f t="shared" si="13"/>
        <v>-4.7463538352360479E-3</v>
      </c>
    </row>
    <row r="114" spans="1:15" x14ac:dyDescent="0.35">
      <c r="A114" s="2">
        <v>45098</v>
      </c>
      <c r="B114">
        <v>181.75376892089841</v>
      </c>
      <c r="C114">
        <v>500.62786865234381</v>
      </c>
      <c r="D114">
        <v>151.8061218261719</v>
      </c>
      <c r="E114">
        <v>133.59794616699219</v>
      </c>
      <c r="F114">
        <v>70.344558715820313</v>
      </c>
      <c r="G114">
        <v>140.28199768066409</v>
      </c>
      <c r="H114">
        <v>4365.68994140625</v>
      </c>
      <c r="I114">
        <f t="shared" si="13"/>
        <v>-5.6913239258992521E-3</v>
      </c>
      <c r="J114">
        <f t="shared" si="13"/>
        <v>-1.5403053973895529E-4</v>
      </c>
      <c r="K114">
        <f t="shared" si="13"/>
        <v>-1.524353410561766E-3</v>
      </c>
      <c r="L114">
        <f t="shared" si="13"/>
        <v>-1.4743323037975584E-3</v>
      </c>
      <c r="M114">
        <f t="shared" si="13"/>
        <v>1.3551195990964719E-2</v>
      </c>
      <c r="N114">
        <f t="shared" si="13"/>
        <v>8.6023833035740131E-3</v>
      </c>
      <c r="O114">
        <f t="shared" si="13"/>
        <v>-5.2590863669252008E-3</v>
      </c>
    </row>
    <row r="115" spans="1:15" x14ac:dyDescent="0.35">
      <c r="A115" s="2">
        <v>45099</v>
      </c>
      <c r="B115">
        <v>184.75727844238281</v>
      </c>
      <c r="C115">
        <v>505.04049682617188</v>
      </c>
      <c r="D115">
        <v>153.4179382324219</v>
      </c>
      <c r="E115">
        <v>131.02587890625</v>
      </c>
      <c r="F115">
        <v>69.741195678710938</v>
      </c>
      <c r="G115">
        <v>140.76072692871091</v>
      </c>
      <c r="H115">
        <v>4381.89013671875</v>
      </c>
      <c r="I115">
        <f t="shared" si="13"/>
        <v>1.6390102182288695E-2</v>
      </c>
      <c r="J115">
        <f t="shared" si="13"/>
        <v>8.7755698469516672E-3</v>
      </c>
      <c r="K115">
        <f t="shared" si="13"/>
        <v>1.0561627342333428E-2</v>
      </c>
      <c r="L115">
        <f t="shared" si="13"/>
        <v>-1.9440035389215855E-2</v>
      </c>
      <c r="M115">
        <f t="shared" si="13"/>
        <v>-8.6142487617379138E-3</v>
      </c>
      <c r="N115">
        <f t="shared" si="13"/>
        <v>3.4068109162938261E-3</v>
      </c>
      <c r="O115">
        <f t="shared" si="13"/>
        <v>3.7039303873345254E-3</v>
      </c>
    </row>
    <row r="116" spans="1:15" x14ac:dyDescent="0.35">
      <c r="A116" s="2">
        <v>45100</v>
      </c>
      <c r="B116">
        <v>184.44111633300781</v>
      </c>
      <c r="C116">
        <v>505.27175903320313</v>
      </c>
      <c r="D116">
        <v>153.28822326660159</v>
      </c>
      <c r="E116">
        <v>130.340576171875</v>
      </c>
      <c r="F116">
        <v>68.850044250488281</v>
      </c>
      <c r="G116">
        <v>139.36204528808591</v>
      </c>
      <c r="H116">
        <v>4348.330078125</v>
      </c>
      <c r="I116">
        <f t="shared" si="13"/>
        <v>-1.7126953482622491E-3</v>
      </c>
      <c r="J116">
        <f t="shared" si="13"/>
        <v>4.5780343597554251E-4</v>
      </c>
      <c r="K116">
        <f t="shared" si="13"/>
        <v>-8.4585828286150061E-4</v>
      </c>
      <c r="L116">
        <f t="shared" si="13"/>
        <v>-5.2440111691843747E-3</v>
      </c>
      <c r="M116">
        <f t="shared" si="13"/>
        <v>-1.2860318022607103E-2</v>
      </c>
      <c r="N116">
        <f t="shared" si="13"/>
        <v>-9.9862874644097727E-3</v>
      </c>
      <c r="O116">
        <f t="shared" si="13"/>
        <v>-7.6882880565021577E-3</v>
      </c>
    </row>
    <row r="117" spans="1:15" x14ac:dyDescent="0.35">
      <c r="A117" s="2">
        <v>45103</v>
      </c>
      <c r="B117">
        <v>183.04803466796881</v>
      </c>
      <c r="C117">
        <v>504.28903198242188</v>
      </c>
      <c r="D117">
        <v>151.5745544433594</v>
      </c>
      <c r="E117">
        <v>130.6597595214844</v>
      </c>
      <c r="F117">
        <v>68.961448669433594</v>
      </c>
      <c r="G117">
        <v>139.50285339355469</v>
      </c>
      <c r="H117">
        <v>4328.81982421875</v>
      </c>
      <c r="I117">
        <f t="shared" si="13"/>
        <v>-7.5816569511016514E-3</v>
      </c>
      <c r="J117">
        <f t="shared" si="13"/>
        <v>-1.9468413787866149E-3</v>
      </c>
      <c r="K117">
        <f t="shared" si="13"/>
        <v>-1.1242349002737944E-2</v>
      </c>
      <c r="L117">
        <f t="shared" si="13"/>
        <v>2.4458474957811541E-3</v>
      </c>
      <c r="M117">
        <f t="shared" si="13"/>
        <v>1.6167656390893169E-3</v>
      </c>
      <c r="N117">
        <f t="shared" si="13"/>
        <v>1.0098661975826821E-3</v>
      </c>
      <c r="O117">
        <f t="shared" si="13"/>
        <v>-4.4969343631321712E-3</v>
      </c>
    </row>
    <row r="118" spans="1:15" x14ac:dyDescent="0.35">
      <c r="A118" s="2">
        <v>45104</v>
      </c>
      <c r="B118">
        <v>185.8045654296875</v>
      </c>
      <c r="C118">
        <v>510.9464111328125</v>
      </c>
      <c r="D118">
        <v>151.25956726074219</v>
      </c>
      <c r="E118">
        <v>130.6691589355469</v>
      </c>
      <c r="F118">
        <v>68.608695983886719</v>
      </c>
      <c r="G118">
        <v>140.826416015625</v>
      </c>
      <c r="H118">
        <v>4378.41015625</v>
      </c>
      <c r="I118">
        <f t="shared" si="13"/>
        <v>1.4946794897181538E-2</v>
      </c>
      <c r="J118">
        <f t="shared" si="13"/>
        <v>1.3115134270462979E-2</v>
      </c>
      <c r="K118">
        <f t="shared" si="13"/>
        <v>-2.0802629138143808E-3</v>
      </c>
      <c r="L118">
        <f t="shared" si="13"/>
        <v>7.1935506579594606E-5</v>
      </c>
      <c r="M118">
        <f t="shared" si="13"/>
        <v>-5.1283432106431015E-3</v>
      </c>
      <c r="N118">
        <f t="shared" si="13"/>
        <v>9.4429843877055272E-3</v>
      </c>
      <c r="O118">
        <f t="shared" si="13"/>
        <v>1.139073352418076E-2</v>
      </c>
    </row>
    <row r="119" spans="1:15" x14ac:dyDescent="0.35">
      <c r="A119" s="2">
        <v>45105</v>
      </c>
      <c r="B119">
        <v>186.98028564453119</v>
      </c>
      <c r="C119">
        <v>513.32611083984375</v>
      </c>
      <c r="D119">
        <v>150.95391845703119</v>
      </c>
      <c r="E119">
        <v>130.0965270996094</v>
      </c>
      <c r="F119">
        <v>68.172386169433594</v>
      </c>
      <c r="G119">
        <v>140.79827880859381</v>
      </c>
      <c r="H119">
        <v>4376.85986328125</v>
      </c>
      <c r="I119">
        <f t="shared" ref="I119:O155" si="15">LN(B119/B118)</f>
        <v>6.307789116265867E-3</v>
      </c>
      <c r="J119">
        <f t="shared" si="15"/>
        <v>4.6466227252522857E-3</v>
      </c>
      <c r="K119">
        <f t="shared" si="15"/>
        <v>-2.0227350688700762E-3</v>
      </c>
      <c r="L119">
        <f t="shared" si="15"/>
        <v>-4.3919333490964685E-3</v>
      </c>
      <c r="M119">
        <f t="shared" si="15"/>
        <v>-6.379702330507768E-3</v>
      </c>
      <c r="N119">
        <f t="shared" si="15"/>
        <v>-1.9982059557933235E-4</v>
      </c>
      <c r="O119">
        <f t="shared" si="15"/>
        <v>-3.541393883898215E-4</v>
      </c>
    </row>
    <row r="120" spans="1:15" x14ac:dyDescent="0.35">
      <c r="A120" s="2">
        <v>45106</v>
      </c>
      <c r="B120">
        <v>187.31622314453119</v>
      </c>
      <c r="C120">
        <v>512.2567138671875</v>
      </c>
      <c r="D120">
        <v>152.0099182128906</v>
      </c>
      <c r="E120">
        <v>134.6399230957031</v>
      </c>
      <c r="F120">
        <v>67.58758544921875</v>
      </c>
      <c r="G120">
        <v>140.22564697265619</v>
      </c>
      <c r="H120">
        <v>4396.43994140625</v>
      </c>
      <c r="I120">
        <f t="shared" si="15"/>
        <v>1.7950345905721646E-3</v>
      </c>
      <c r="J120">
        <f t="shared" si="15"/>
        <v>-2.0854431928216208E-3</v>
      </c>
      <c r="K120">
        <f t="shared" si="15"/>
        <v>6.9711556600233404E-3</v>
      </c>
      <c r="L120">
        <f t="shared" si="15"/>
        <v>3.4327287620081831E-2</v>
      </c>
      <c r="M120">
        <f t="shared" si="15"/>
        <v>-8.6152689982125445E-3</v>
      </c>
      <c r="N120">
        <f t="shared" si="15"/>
        <v>-4.0753300764906266E-3</v>
      </c>
      <c r="O120">
        <f t="shared" si="15"/>
        <v>4.4635681144900002E-3</v>
      </c>
    </row>
    <row r="121" spans="1:15" x14ac:dyDescent="0.35">
      <c r="A121" s="2">
        <v>45107</v>
      </c>
      <c r="B121">
        <v>191.64369201660159</v>
      </c>
      <c r="C121">
        <v>518.7021484375</v>
      </c>
      <c r="D121">
        <v>153.3253173828125</v>
      </c>
      <c r="E121">
        <v>136.52674865722659</v>
      </c>
      <c r="F121">
        <v>68.877891540527344</v>
      </c>
      <c r="G121">
        <v>142.44105529785159</v>
      </c>
      <c r="H121">
        <v>4450.3798828125</v>
      </c>
      <c r="I121">
        <f t="shared" si="15"/>
        <v>2.2839655678234667E-2</v>
      </c>
      <c r="J121">
        <f t="shared" si="15"/>
        <v>1.250392965901643E-2</v>
      </c>
      <c r="K121">
        <f t="shared" si="15"/>
        <v>8.6161513922202188E-3</v>
      </c>
      <c r="L121">
        <f t="shared" si="15"/>
        <v>1.3916577588226254E-2</v>
      </c>
      <c r="M121">
        <f t="shared" si="15"/>
        <v>1.8910930048638707E-2</v>
      </c>
      <c r="N121">
        <f t="shared" si="15"/>
        <v>1.5675377898600944E-2</v>
      </c>
      <c r="O121">
        <f t="shared" si="15"/>
        <v>1.2194350261885799E-2</v>
      </c>
    </row>
    <row r="122" spans="1:15" x14ac:dyDescent="0.35">
      <c r="A122" s="2">
        <v>45110</v>
      </c>
      <c r="B122">
        <v>190.15177917480469</v>
      </c>
      <c r="C122">
        <v>521.26495361328125</v>
      </c>
      <c r="D122">
        <v>151.315185546875</v>
      </c>
      <c r="E122">
        <v>137.62504577636719</v>
      </c>
      <c r="F122">
        <v>69.04498291015625</v>
      </c>
      <c r="G122">
        <v>143.1544494628906</v>
      </c>
      <c r="H122">
        <v>4455.58984375</v>
      </c>
      <c r="I122">
        <f t="shared" si="15"/>
        <v>-7.8152861835060344E-3</v>
      </c>
      <c r="J122">
        <f t="shared" si="15"/>
        <v>4.9286373743617782E-3</v>
      </c>
      <c r="K122">
        <f t="shared" si="15"/>
        <v>-1.3196938621745256E-2</v>
      </c>
      <c r="L122">
        <f t="shared" si="15"/>
        <v>8.0123713734479192E-3</v>
      </c>
      <c r="M122">
        <f t="shared" si="15"/>
        <v>2.4229693883742473E-3</v>
      </c>
      <c r="N122">
        <f t="shared" si="15"/>
        <v>4.9958464815869769E-3</v>
      </c>
      <c r="O122">
        <f t="shared" si="15"/>
        <v>1.1699930926736418E-3</v>
      </c>
    </row>
    <row r="123" spans="1:15" x14ac:dyDescent="0.35">
      <c r="A123" s="2">
        <v>45112</v>
      </c>
      <c r="B123">
        <v>189.0353698730469</v>
      </c>
      <c r="C123">
        <v>521.3516845703125</v>
      </c>
      <c r="D123">
        <v>150.81495666503909</v>
      </c>
      <c r="E123">
        <v>136.70823669433591</v>
      </c>
      <c r="F123">
        <v>69.574111938476563</v>
      </c>
      <c r="G123">
        <v>142.910400390625</v>
      </c>
      <c r="H123">
        <v>4446.81982421875</v>
      </c>
      <c r="I123">
        <f t="shared" si="15"/>
        <v>-5.8884512853917565E-3</v>
      </c>
      <c r="J123">
        <f t="shared" si="15"/>
        <v>1.6637171143261701E-4</v>
      </c>
      <c r="K123">
        <f t="shared" si="15"/>
        <v>-3.3113501040273421E-3</v>
      </c>
      <c r="L123">
        <f t="shared" si="15"/>
        <v>-6.6839319456351697E-3</v>
      </c>
      <c r="M123">
        <f t="shared" si="15"/>
        <v>7.634324821230185E-3</v>
      </c>
      <c r="N123">
        <f t="shared" si="15"/>
        <v>-1.7062503946129863E-3</v>
      </c>
      <c r="O123">
        <f t="shared" si="15"/>
        <v>-1.9702580976127164E-3</v>
      </c>
    </row>
    <row r="124" spans="1:15" x14ac:dyDescent="0.35">
      <c r="A124" s="2">
        <v>45113</v>
      </c>
      <c r="B124">
        <v>189.5096130371094</v>
      </c>
      <c r="C124">
        <v>517.72918701171875</v>
      </c>
      <c r="D124">
        <v>149.694091796875</v>
      </c>
      <c r="E124">
        <v>135.35662841796881</v>
      </c>
      <c r="F124">
        <v>67.782524108886719</v>
      </c>
      <c r="G124">
        <v>142.67572021484381</v>
      </c>
      <c r="H124">
        <v>4411.58984375</v>
      </c>
      <c r="I124">
        <f t="shared" si="15"/>
        <v>2.5056119276945089E-3</v>
      </c>
      <c r="J124">
        <f t="shared" si="15"/>
        <v>-6.9725318474433166E-3</v>
      </c>
      <c r="K124">
        <f t="shared" si="15"/>
        <v>-7.4598090925409276E-3</v>
      </c>
      <c r="L124">
        <f t="shared" si="15"/>
        <v>-9.9360084257982522E-3</v>
      </c>
      <c r="M124">
        <f t="shared" si="15"/>
        <v>-2.608813802570676E-2</v>
      </c>
      <c r="N124">
        <f t="shared" si="15"/>
        <v>-1.6434988374643268E-3</v>
      </c>
      <c r="O124">
        <f t="shared" si="15"/>
        <v>-7.9540611758947624E-3</v>
      </c>
    </row>
    <row r="125" spans="1:15" x14ac:dyDescent="0.35">
      <c r="A125" s="2">
        <v>45114</v>
      </c>
      <c r="B125">
        <v>188.39312744140619</v>
      </c>
      <c r="C125">
        <v>505.85943603515619</v>
      </c>
      <c r="D125">
        <v>147.51725769042969</v>
      </c>
      <c r="E125">
        <v>136.42466735839841</v>
      </c>
      <c r="F125">
        <v>66.882102966308594</v>
      </c>
      <c r="G125">
        <v>139.68119812011719</v>
      </c>
      <c r="H125">
        <v>4398.9501953125</v>
      </c>
      <c r="I125">
        <f t="shared" si="15"/>
        <v>-5.9088687357509769E-3</v>
      </c>
      <c r="J125">
        <f t="shared" si="15"/>
        <v>-2.3193464254087935E-2</v>
      </c>
      <c r="K125">
        <f t="shared" si="15"/>
        <v>-1.4648653465193041E-2</v>
      </c>
      <c r="L125">
        <f t="shared" si="15"/>
        <v>7.859587506790942E-3</v>
      </c>
      <c r="M125">
        <f t="shared" si="15"/>
        <v>-1.3372993059007325E-2</v>
      </c>
      <c r="N125">
        <f t="shared" si="15"/>
        <v>-2.1211694688761148E-2</v>
      </c>
      <c r="O125">
        <f t="shared" si="15"/>
        <v>-2.869212795733482E-3</v>
      </c>
    </row>
    <row r="126" spans="1:15" x14ac:dyDescent="0.35">
      <c r="A126" s="2">
        <v>45117</v>
      </c>
      <c r="B126">
        <v>186.34797668457031</v>
      </c>
      <c r="C126">
        <v>507.747802734375</v>
      </c>
      <c r="D126">
        <v>147.75807189941409</v>
      </c>
      <c r="E126">
        <v>137.19023132324219</v>
      </c>
      <c r="F126">
        <v>66.566490173339844</v>
      </c>
      <c r="G126">
        <v>139.737548828125</v>
      </c>
      <c r="H126">
        <v>4409.52978515625</v>
      </c>
      <c r="I126">
        <f t="shared" si="15"/>
        <v>-1.0915114670741593E-2</v>
      </c>
      <c r="J126">
        <f t="shared" si="15"/>
        <v>3.7260366969135233E-3</v>
      </c>
      <c r="K126">
        <f t="shared" si="15"/>
        <v>1.6311167120548523E-3</v>
      </c>
      <c r="L126">
        <f t="shared" si="15"/>
        <v>5.5959376942097891E-3</v>
      </c>
      <c r="M126">
        <f t="shared" si="15"/>
        <v>-4.7301117831521633E-3</v>
      </c>
      <c r="N126">
        <f t="shared" si="15"/>
        <v>4.03342362580942E-4</v>
      </c>
      <c r="O126">
        <f t="shared" si="15"/>
        <v>2.4021386106263119E-3</v>
      </c>
    </row>
    <row r="127" spans="1:15" x14ac:dyDescent="0.35">
      <c r="A127" s="2">
        <v>45118</v>
      </c>
      <c r="B127">
        <v>185.82432556152341</v>
      </c>
      <c r="C127">
        <v>510.28167724609381</v>
      </c>
      <c r="D127">
        <v>146.94293212890619</v>
      </c>
      <c r="E127">
        <v>139.33573913574219</v>
      </c>
      <c r="F127">
        <v>67.012054443359375</v>
      </c>
      <c r="G127">
        <v>139.0053405761719</v>
      </c>
      <c r="H127">
        <v>4439.259765625</v>
      </c>
      <c r="I127">
        <f t="shared" si="15"/>
        <v>-2.8140270806918644E-3</v>
      </c>
      <c r="J127">
        <f t="shared" si="15"/>
        <v>4.9780085824947416E-3</v>
      </c>
      <c r="K127">
        <f t="shared" si="15"/>
        <v>-5.5319923459410947E-3</v>
      </c>
      <c r="L127">
        <f t="shared" si="15"/>
        <v>1.5517897743036016E-2</v>
      </c>
      <c r="M127">
        <f t="shared" si="15"/>
        <v>6.6712198997201733E-3</v>
      </c>
      <c r="N127">
        <f t="shared" si="15"/>
        <v>-5.2536582199641593E-3</v>
      </c>
      <c r="O127">
        <f t="shared" si="15"/>
        <v>6.7195839982548741E-3</v>
      </c>
    </row>
    <row r="128" spans="1:15" x14ac:dyDescent="0.35">
      <c r="A128" s="2">
        <v>45119</v>
      </c>
      <c r="B128">
        <v>187.4940490722656</v>
      </c>
      <c r="C128">
        <v>518.3360595703125</v>
      </c>
      <c r="D128">
        <v>146.4334411621094</v>
      </c>
      <c r="E128">
        <v>140.02571105957031</v>
      </c>
      <c r="F128">
        <v>68.20025634765625</v>
      </c>
      <c r="G128">
        <v>139.7281188964844</v>
      </c>
      <c r="H128">
        <v>4472.16015625</v>
      </c>
      <c r="I128">
        <f t="shared" si="15"/>
        <v>8.9453654488740666E-3</v>
      </c>
      <c r="J128">
        <f t="shared" si="15"/>
        <v>1.5660913974636242E-2</v>
      </c>
      <c r="K128">
        <f t="shared" si="15"/>
        <v>-3.473295911872227E-3</v>
      </c>
      <c r="L128">
        <f t="shared" si="15"/>
        <v>4.9396459410840894E-3</v>
      </c>
      <c r="M128">
        <f t="shared" si="15"/>
        <v>1.7575803332743223E-2</v>
      </c>
      <c r="N128">
        <f t="shared" si="15"/>
        <v>5.1861727809049832E-3</v>
      </c>
      <c r="O128">
        <f t="shared" si="15"/>
        <v>7.3839052353896787E-3</v>
      </c>
    </row>
    <row r="129" spans="1:15" x14ac:dyDescent="0.35">
      <c r="A129" s="2">
        <v>45120</v>
      </c>
      <c r="B129">
        <v>188.25482177734381</v>
      </c>
      <c r="C129">
        <v>518.76971435546875</v>
      </c>
      <c r="D129">
        <v>147.10966491699219</v>
      </c>
      <c r="E129">
        <v>140.70625305175781</v>
      </c>
      <c r="F129">
        <v>68.42303466796875</v>
      </c>
      <c r="G129">
        <v>139.8219909667969</v>
      </c>
      <c r="H129">
        <v>4510.0400390625</v>
      </c>
      <c r="I129">
        <f t="shared" si="15"/>
        <v>4.0493734175019707E-3</v>
      </c>
      <c r="J129">
        <f t="shared" si="15"/>
        <v>8.3627884702299447E-4</v>
      </c>
      <c r="K129">
        <f t="shared" si="15"/>
        <v>4.6073298066901455E-3</v>
      </c>
      <c r="L129">
        <f t="shared" si="15"/>
        <v>4.848349402872743E-3</v>
      </c>
      <c r="M129">
        <f t="shared" si="15"/>
        <v>3.2612084821350869E-3</v>
      </c>
      <c r="N129">
        <f t="shared" si="15"/>
        <v>6.7159389697071369E-4</v>
      </c>
      <c r="O129">
        <f t="shared" si="15"/>
        <v>8.4344829896271113E-3</v>
      </c>
    </row>
    <row r="130" spans="1:15" x14ac:dyDescent="0.35">
      <c r="A130" s="2">
        <v>45121</v>
      </c>
      <c r="B130">
        <v>188.40301513671881</v>
      </c>
      <c r="C130">
        <v>526.7181396484375</v>
      </c>
      <c r="D130">
        <v>148.09156799316409</v>
      </c>
      <c r="E130">
        <v>141.55690002441409</v>
      </c>
      <c r="F130">
        <v>67.949623107910156</v>
      </c>
      <c r="G130">
        <v>140.8545837402344</v>
      </c>
      <c r="H130">
        <v>4505.419921875</v>
      </c>
      <c r="I130">
        <f t="shared" si="15"/>
        <v>7.8688588155114477E-4</v>
      </c>
      <c r="J130">
        <f t="shared" si="15"/>
        <v>1.5205491687388346E-2</v>
      </c>
      <c r="K130">
        <f t="shared" si="15"/>
        <v>6.6524566153113194E-3</v>
      </c>
      <c r="L130">
        <f t="shared" si="15"/>
        <v>6.0273509924630353E-3</v>
      </c>
      <c r="M130">
        <f t="shared" si="15"/>
        <v>-6.9429381151272195E-3</v>
      </c>
      <c r="N130">
        <f t="shared" si="15"/>
        <v>7.3579167277082799E-3</v>
      </c>
      <c r="O130">
        <f t="shared" si="15"/>
        <v>-1.0249321969074839E-3</v>
      </c>
    </row>
    <row r="131" spans="1:15" x14ac:dyDescent="0.35">
      <c r="A131" s="2">
        <v>45124</v>
      </c>
      <c r="B131">
        <v>191.66343688964841</v>
      </c>
      <c r="C131">
        <v>532.7493896484375</v>
      </c>
      <c r="D131">
        <v>147.3504943847656</v>
      </c>
      <c r="E131">
        <v>144.96893310546881</v>
      </c>
      <c r="F131">
        <v>67.448356628417969</v>
      </c>
      <c r="G131">
        <v>139.8595886230469</v>
      </c>
      <c r="H131">
        <v>4522.7900390625</v>
      </c>
      <c r="I131">
        <f t="shared" si="15"/>
        <v>1.7157535052132245E-2</v>
      </c>
      <c r="J131">
        <f t="shared" si="15"/>
        <v>1.1385559228836569E-2</v>
      </c>
      <c r="K131">
        <f t="shared" si="15"/>
        <v>-5.0167207518106976E-3</v>
      </c>
      <c r="L131">
        <f t="shared" si="15"/>
        <v>2.3817708451301902E-2</v>
      </c>
      <c r="M131">
        <f t="shared" si="15"/>
        <v>-7.4043759089819092E-3</v>
      </c>
      <c r="N131">
        <f t="shared" si="15"/>
        <v>-7.0890562862617754E-3</v>
      </c>
      <c r="O131">
        <f t="shared" si="15"/>
        <v>3.8479695744204137E-3</v>
      </c>
    </row>
    <row r="132" spans="1:15" x14ac:dyDescent="0.35">
      <c r="A132" s="2">
        <v>45125</v>
      </c>
      <c r="B132">
        <v>191.40653991699219</v>
      </c>
      <c r="C132">
        <v>533.35626220703125</v>
      </c>
      <c r="D132">
        <v>147.34123229980469</v>
      </c>
      <c r="E132">
        <v>145.23358154296881</v>
      </c>
      <c r="F132">
        <v>66.882102966308594</v>
      </c>
      <c r="G132">
        <v>140.12239074707031</v>
      </c>
      <c r="H132">
        <v>4554.97998046875</v>
      </c>
      <c r="I132">
        <f t="shared" si="15"/>
        <v>-1.3412536963094267E-3</v>
      </c>
      <c r="J132">
        <f t="shared" si="15"/>
        <v>1.138484958009964E-3</v>
      </c>
      <c r="K132">
        <f t="shared" si="15"/>
        <v>-6.2859484167818335E-5</v>
      </c>
      <c r="L132">
        <f t="shared" si="15"/>
        <v>1.8238884744666184E-3</v>
      </c>
      <c r="M132">
        <f t="shared" si="15"/>
        <v>-8.4308059073369811E-3</v>
      </c>
      <c r="N132">
        <f t="shared" si="15"/>
        <v>1.8772794005868028E-3</v>
      </c>
      <c r="O132">
        <f t="shared" si="15"/>
        <v>7.0920669414283382E-3</v>
      </c>
    </row>
    <row r="133" spans="1:15" x14ac:dyDescent="0.35">
      <c r="A133" s="2">
        <v>45126</v>
      </c>
      <c r="B133">
        <v>192.76011657714841</v>
      </c>
      <c r="C133">
        <v>533.85723876953125</v>
      </c>
      <c r="D133">
        <v>147.04481506347659</v>
      </c>
      <c r="E133">
        <v>145.79121398925781</v>
      </c>
      <c r="F133">
        <v>66.92852783203125</v>
      </c>
      <c r="G133">
        <v>141.07987976074219</v>
      </c>
      <c r="H133">
        <v>4565.72021484375</v>
      </c>
      <c r="I133">
        <f t="shared" si="15"/>
        <v>7.046849270259942E-3</v>
      </c>
      <c r="J133">
        <f t="shared" si="15"/>
        <v>9.3884981559912931E-4</v>
      </c>
      <c r="K133">
        <f t="shared" si="15"/>
        <v>-2.01380017264392E-3</v>
      </c>
      <c r="L133">
        <f t="shared" si="15"/>
        <v>3.8322035598937266E-3</v>
      </c>
      <c r="M133">
        <f t="shared" si="15"/>
        <v>6.9388907754804898E-4</v>
      </c>
      <c r="N133">
        <f t="shared" si="15"/>
        <v>6.8099927665300547E-3</v>
      </c>
      <c r="O133">
        <f t="shared" si="15"/>
        <v>2.3551348272336388E-3</v>
      </c>
    </row>
    <row r="134" spans="1:15" x14ac:dyDescent="0.35">
      <c r="A134" s="2">
        <v>45127</v>
      </c>
      <c r="B134">
        <v>190.81376647949219</v>
      </c>
      <c r="C134">
        <v>536.60302734375</v>
      </c>
      <c r="D134">
        <v>155.9745788574219</v>
      </c>
      <c r="E134">
        <v>147.58705139160159</v>
      </c>
      <c r="F134">
        <v>68.785079956054688</v>
      </c>
      <c r="G134">
        <v>142.2238464355469</v>
      </c>
      <c r="H134">
        <v>4534.8701171875</v>
      </c>
      <c r="I134">
        <f t="shared" si="15"/>
        <v>-1.0148588779257336E-2</v>
      </c>
      <c r="J134">
        <f t="shared" si="15"/>
        <v>5.1301196002104879E-3</v>
      </c>
      <c r="K134">
        <f t="shared" si="15"/>
        <v>5.8955633234164737E-2</v>
      </c>
      <c r="L134">
        <f t="shared" si="15"/>
        <v>1.2242623564766542E-2</v>
      </c>
      <c r="M134">
        <f t="shared" si="15"/>
        <v>2.7361559083795194E-2</v>
      </c>
      <c r="N134">
        <f t="shared" si="15"/>
        <v>8.0759466718161397E-3</v>
      </c>
      <c r="O134">
        <f t="shared" si="15"/>
        <v>-6.7798273962576911E-3</v>
      </c>
    </row>
    <row r="135" spans="1:15" x14ac:dyDescent="0.35">
      <c r="A135" s="2">
        <v>45128</v>
      </c>
      <c r="B135">
        <v>189.63801574707031</v>
      </c>
      <c r="C135">
        <v>537.47021484375</v>
      </c>
      <c r="D135">
        <v>157.65122985839841</v>
      </c>
      <c r="E135">
        <v>146.45281982421881</v>
      </c>
      <c r="F135">
        <v>70.455963134765625</v>
      </c>
      <c r="G135">
        <v>144.46260070800781</v>
      </c>
      <c r="H135">
        <v>4536.33984375</v>
      </c>
      <c r="I135">
        <f t="shared" si="15"/>
        <v>-6.1808330538458993E-3</v>
      </c>
      <c r="J135">
        <f t="shared" si="15"/>
        <v>1.6147645325638048E-3</v>
      </c>
      <c r="K135">
        <f t="shared" si="15"/>
        <v>1.06921492270915E-2</v>
      </c>
      <c r="L135">
        <f t="shared" si="15"/>
        <v>-7.714853012125553E-3</v>
      </c>
      <c r="M135">
        <f t="shared" si="15"/>
        <v>2.4001017947663503E-2</v>
      </c>
      <c r="N135">
        <f t="shared" si="15"/>
        <v>1.5618455661289318E-2</v>
      </c>
      <c r="O135">
        <f t="shared" si="15"/>
        <v>3.2404201461309109E-4</v>
      </c>
    </row>
    <row r="136" spans="1:15" x14ac:dyDescent="0.35">
      <c r="A136" s="2">
        <v>45131</v>
      </c>
      <c r="B136">
        <v>190.43833923339841</v>
      </c>
      <c r="C136">
        <v>543.31842041015625</v>
      </c>
      <c r="D136">
        <v>158.47566223144531</v>
      </c>
      <c r="E136">
        <v>149.33558654785159</v>
      </c>
      <c r="F136">
        <v>70.084648132324219</v>
      </c>
      <c r="G136">
        <v>144.92547607421881</v>
      </c>
      <c r="H136">
        <v>4554.64013671875</v>
      </c>
      <c r="I136">
        <f t="shared" si="15"/>
        <v>4.2113888891268485E-3</v>
      </c>
      <c r="J136">
        <f t="shared" si="15"/>
        <v>1.0822213435941971E-2</v>
      </c>
      <c r="K136">
        <f t="shared" si="15"/>
        <v>5.2158437813032863E-3</v>
      </c>
      <c r="L136">
        <f t="shared" si="15"/>
        <v>1.949270451635237E-2</v>
      </c>
      <c r="M136">
        <f t="shared" si="15"/>
        <v>-5.2841077475763746E-3</v>
      </c>
      <c r="N136">
        <f t="shared" si="15"/>
        <v>3.1989967665364406E-3</v>
      </c>
      <c r="O136">
        <f t="shared" si="15"/>
        <v>4.026038496874852E-3</v>
      </c>
    </row>
    <row r="137" spans="1:15" x14ac:dyDescent="0.35">
      <c r="A137" s="2">
        <v>45132</v>
      </c>
      <c r="B137">
        <v>191.2978820800781</v>
      </c>
      <c r="C137">
        <v>544.53228759765625</v>
      </c>
      <c r="D137">
        <v>159.68916320800781</v>
      </c>
      <c r="E137">
        <v>148.22029113769531</v>
      </c>
      <c r="F137">
        <v>70.028953552246094</v>
      </c>
      <c r="G137">
        <v>145.26557922363281</v>
      </c>
      <c r="H137">
        <v>4567.4599609375</v>
      </c>
      <c r="I137">
        <f t="shared" si="15"/>
        <v>4.5033415815517999E-3</v>
      </c>
      <c r="J137">
        <f t="shared" si="15"/>
        <v>2.2316806568395877E-3</v>
      </c>
      <c r="K137">
        <f t="shared" si="15"/>
        <v>7.6281647994101906E-3</v>
      </c>
      <c r="L137">
        <f t="shared" si="15"/>
        <v>-7.4964113750459081E-3</v>
      </c>
      <c r="M137">
        <f t="shared" si="15"/>
        <v>-7.9499181152752291E-4</v>
      </c>
      <c r="N137">
        <f t="shared" si="15"/>
        <v>2.3439957843252113E-3</v>
      </c>
      <c r="O137">
        <f t="shared" si="15"/>
        <v>2.8107195758387046E-3</v>
      </c>
    </row>
    <row r="138" spans="1:15" x14ac:dyDescent="0.35">
      <c r="A138" s="2">
        <v>45133</v>
      </c>
      <c r="B138">
        <v>192.16731262207031</v>
      </c>
      <c r="C138">
        <v>545.47650146484375</v>
      </c>
      <c r="D138">
        <v>159.99482727050781</v>
      </c>
      <c r="E138">
        <v>149.10874938964841</v>
      </c>
      <c r="F138">
        <v>69.035697937011719</v>
      </c>
      <c r="G138">
        <v>145.41668701171881</v>
      </c>
      <c r="H138">
        <v>4566.75</v>
      </c>
      <c r="I138">
        <f t="shared" si="15"/>
        <v>4.534607280247671E-3</v>
      </c>
      <c r="J138">
        <f t="shared" si="15"/>
        <v>1.7324889722632837E-3</v>
      </c>
      <c r="K138">
        <f t="shared" si="15"/>
        <v>1.9122894154930453E-3</v>
      </c>
      <c r="L138">
        <f t="shared" si="15"/>
        <v>5.9762806533698873E-3</v>
      </c>
      <c r="M138">
        <f t="shared" si="15"/>
        <v>-1.4285046488276335E-2</v>
      </c>
      <c r="N138">
        <f t="shared" si="15"/>
        <v>1.0396767828624971E-3</v>
      </c>
      <c r="O138">
        <f t="shared" si="15"/>
        <v>-1.5545097867591856E-4</v>
      </c>
    </row>
    <row r="139" spans="1:15" x14ac:dyDescent="0.35">
      <c r="A139" s="2">
        <v>45134</v>
      </c>
      <c r="B139">
        <v>190.90264892578119</v>
      </c>
      <c r="C139">
        <v>541.295166015625</v>
      </c>
      <c r="D139">
        <v>160.89337158203119</v>
      </c>
      <c r="E139">
        <v>147.46417236328119</v>
      </c>
      <c r="F139">
        <v>68.014610290527344</v>
      </c>
      <c r="G139">
        <v>143.68803405761719</v>
      </c>
      <c r="H139">
        <v>4537.41015625</v>
      </c>
      <c r="I139">
        <f t="shared" si="15"/>
        <v>-6.6028058467912393E-3</v>
      </c>
      <c r="J139">
        <f t="shared" si="15"/>
        <v>-7.6950038481826792E-3</v>
      </c>
      <c r="K139">
        <f t="shared" si="15"/>
        <v>5.6003721124251232E-3</v>
      </c>
      <c r="L139">
        <f t="shared" si="15"/>
        <v>-1.1090654358360649E-2</v>
      </c>
      <c r="M139">
        <f t="shared" si="15"/>
        <v>-1.4901192906717086E-2</v>
      </c>
      <c r="N139">
        <f t="shared" si="15"/>
        <v>-1.1958805441268799E-2</v>
      </c>
      <c r="O139">
        <f t="shared" si="15"/>
        <v>-6.4453930551970759E-3</v>
      </c>
    </row>
    <row r="140" spans="1:15" x14ac:dyDescent="0.35">
      <c r="A140" s="2">
        <v>45135</v>
      </c>
      <c r="B140">
        <v>193.48136901855469</v>
      </c>
      <c r="C140">
        <v>542.73052978515625</v>
      </c>
      <c r="D140">
        <v>161.62518310546881</v>
      </c>
      <c r="E140">
        <v>148.30535888671881</v>
      </c>
      <c r="F140">
        <v>67.624717712402344</v>
      </c>
      <c r="G140">
        <v>147.74993896484381</v>
      </c>
      <c r="H140">
        <v>4582.22998046875</v>
      </c>
      <c r="I140">
        <f t="shared" si="15"/>
        <v>1.3417617070671633E-2</v>
      </c>
      <c r="J140">
        <f t="shared" si="15"/>
        <v>2.6482114103839201E-3</v>
      </c>
      <c r="K140">
        <f t="shared" si="15"/>
        <v>4.5381127301980352E-3</v>
      </c>
      <c r="L140">
        <f t="shared" si="15"/>
        <v>5.6881368944499472E-3</v>
      </c>
      <c r="M140">
        <f t="shared" si="15"/>
        <v>-5.7489764615888212E-3</v>
      </c>
      <c r="N140">
        <f t="shared" si="15"/>
        <v>2.7876723872701726E-2</v>
      </c>
      <c r="O140">
        <f t="shared" si="15"/>
        <v>9.8293758104338481E-3</v>
      </c>
    </row>
    <row r="141" spans="1:15" x14ac:dyDescent="0.35">
      <c r="A141" s="2">
        <v>45138</v>
      </c>
      <c r="B141">
        <v>194.09391784667969</v>
      </c>
      <c r="C141">
        <v>540.177490234375</v>
      </c>
      <c r="D141">
        <v>155.18721008300781</v>
      </c>
      <c r="E141">
        <v>149.29779052734381</v>
      </c>
      <c r="F141">
        <v>68.042442321777344</v>
      </c>
      <c r="G141">
        <v>147.6460266113281</v>
      </c>
      <c r="H141">
        <v>4588.9599609375</v>
      </c>
      <c r="I141">
        <f t="shared" si="15"/>
        <v>3.1609308379898084E-3</v>
      </c>
      <c r="J141">
        <f t="shared" si="15"/>
        <v>-4.7151636772036045E-3</v>
      </c>
      <c r="K141">
        <f t="shared" si="15"/>
        <v>-4.0647774900193882E-2</v>
      </c>
      <c r="L141">
        <f t="shared" si="15"/>
        <v>6.669521618960025E-3</v>
      </c>
      <c r="M141">
        <f t="shared" si="15"/>
        <v>6.1580994155824914E-3</v>
      </c>
      <c r="N141">
        <f t="shared" si="15"/>
        <v>-7.0354622209696266E-4</v>
      </c>
      <c r="O141">
        <f t="shared" si="15"/>
        <v>1.4676354365687912E-3</v>
      </c>
    </row>
    <row r="142" spans="1:15" x14ac:dyDescent="0.35">
      <c r="A142" s="2">
        <v>45139</v>
      </c>
      <c r="B142">
        <v>193.26402282714841</v>
      </c>
      <c r="C142">
        <v>535.16748046875</v>
      </c>
      <c r="D142">
        <v>156.447021484375</v>
      </c>
      <c r="E142">
        <v>148.56056213378909</v>
      </c>
      <c r="F142">
        <v>66.993499755859375</v>
      </c>
      <c r="G142">
        <v>147.59881591796881</v>
      </c>
      <c r="H142">
        <v>4576.72998046875</v>
      </c>
      <c r="I142">
        <f t="shared" si="15"/>
        <v>-4.2849065536436524E-3</v>
      </c>
      <c r="J142">
        <f t="shared" si="15"/>
        <v>-9.3180256602795088E-3</v>
      </c>
      <c r="K142">
        <f t="shared" si="15"/>
        <v>8.0852367081529989E-3</v>
      </c>
      <c r="L142">
        <f t="shared" si="15"/>
        <v>-4.9502046353255766E-3</v>
      </c>
      <c r="M142">
        <f t="shared" si="15"/>
        <v>-1.5536066150135228E-2</v>
      </c>
      <c r="N142">
        <f t="shared" si="15"/>
        <v>-3.1980706831139243E-4</v>
      </c>
      <c r="O142">
        <f t="shared" si="15"/>
        <v>-2.6686453076827116E-3</v>
      </c>
    </row>
    <row r="143" spans="1:15" x14ac:dyDescent="0.35">
      <c r="A143" s="2">
        <v>45140</v>
      </c>
      <c r="B143">
        <v>190.27037048339841</v>
      </c>
      <c r="C143">
        <v>532.16168212890625</v>
      </c>
      <c r="D143">
        <v>157.39186096191409</v>
      </c>
      <c r="E143">
        <v>146.87815856933591</v>
      </c>
      <c r="F143">
        <v>66.752143859863281</v>
      </c>
      <c r="G143">
        <v>147.91998291015619</v>
      </c>
      <c r="H143">
        <v>4513.39013671875</v>
      </c>
      <c r="I143">
        <f t="shared" si="15"/>
        <v>-1.561118478069053E-2</v>
      </c>
      <c r="J143">
        <f t="shared" si="15"/>
        <v>-5.632388566621932E-3</v>
      </c>
      <c r="K143">
        <f t="shared" si="15"/>
        <v>6.021193580291369E-3</v>
      </c>
      <c r="L143">
        <f t="shared" si="15"/>
        <v>-1.1389311101054395E-2</v>
      </c>
      <c r="M143">
        <f t="shared" si="15"/>
        <v>-3.6091815997414648E-3</v>
      </c>
      <c r="N143">
        <f t="shared" si="15"/>
        <v>2.1735816462839759E-3</v>
      </c>
      <c r="O143">
        <f t="shared" si="15"/>
        <v>-1.3936200638336184E-2</v>
      </c>
    </row>
    <row r="144" spans="1:15" x14ac:dyDescent="0.35">
      <c r="A144" s="2">
        <v>45141</v>
      </c>
      <c r="B144">
        <v>188.87724304199219</v>
      </c>
      <c r="C144">
        <v>537.30645751953125</v>
      </c>
      <c r="D144">
        <v>158.0680847167969</v>
      </c>
      <c r="E144">
        <v>147.77607727050781</v>
      </c>
      <c r="F144">
        <v>65.071983337402344</v>
      </c>
      <c r="G144">
        <v>148.30726623535159</v>
      </c>
      <c r="H144">
        <v>4501.89013671875</v>
      </c>
      <c r="I144">
        <f t="shared" si="15"/>
        <v>-7.3487668722389612E-3</v>
      </c>
      <c r="J144">
        <f t="shared" si="15"/>
        <v>9.6212591790189889E-3</v>
      </c>
      <c r="K144">
        <f t="shared" si="15"/>
        <v>4.2872307556927206E-3</v>
      </c>
      <c r="L144">
        <f t="shared" si="15"/>
        <v>6.0947468012031835E-3</v>
      </c>
      <c r="M144">
        <f t="shared" si="15"/>
        <v>-2.5492321414535994E-2</v>
      </c>
      <c r="N144">
        <f t="shared" si="15"/>
        <v>2.6147732659197922E-3</v>
      </c>
      <c r="O144">
        <f t="shared" si="15"/>
        <v>-2.5512254502915274E-3</v>
      </c>
    </row>
    <row r="145" spans="1:15" x14ac:dyDescent="0.35">
      <c r="A145" s="2">
        <v>45142</v>
      </c>
      <c r="B145">
        <v>179.80732727050781</v>
      </c>
      <c r="C145">
        <v>531.86285400390625</v>
      </c>
      <c r="D145">
        <v>156.5859680175781</v>
      </c>
      <c r="E145">
        <v>147.46417236328119</v>
      </c>
      <c r="F145">
        <v>64.208671569824219</v>
      </c>
      <c r="G145">
        <v>146.6824951171875</v>
      </c>
      <c r="H145">
        <v>4478.02978515625</v>
      </c>
      <c r="I145">
        <f t="shared" si="15"/>
        <v>-4.9211422777882471E-2</v>
      </c>
      <c r="J145">
        <f t="shared" si="15"/>
        <v>-1.0182953242847289E-2</v>
      </c>
      <c r="K145">
        <f t="shared" si="15"/>
        <v>-9.4206805710258714E-3</v>
      </c>
      <c r="L145">
        <f t="shared" si="15"/>
        <v>-2.1128895782331733E-3</v>
      </c>
      <c r="M145">
        <f t="shared" si="15"/>
        <v>-1.3355820345132328E-2</v>
      </c>
      <c r="N145">
        <f t="shared" si="15"/>
        <v>-1.1015891135745132E-2</v>
      </c>
      <c r="O145">
        <f t="shared" si="15"/>
        <v>-5.3141693739379705E-3</v>
      </c>
    </row>
    <row r="146" spans="1:15" x14ac:dyDescent="0.35">
      <c r="A146" s="2">
        <v>45145</v>
      </c>
      <c r="B146">
        <v>176.70501708984381</v>
      </c>
      <c r="C146">
        <v>538</v>
      </c>
      <c r="D146">
        <v>160.34684753417969</v>
      </c>
      <c r="E146">
        <v>148.16358947753909</v>
      </c>
      <c r="F146">
        <v>63.716697692871087</v>
      </c>
      <c r="G146">
        <v>148.231689453125</v>
      </c>
      <c r="H146">
        <v>4518.43994140625</v>
      </c>
      <c r="I146">
        <f t="shared" si="15"/>
        <v>-1.7404101358811749E-2</v>
      </c>
      <c r="J146">
        <f t="shared" si="15"/>
        <v>1.1472897280265648E-2</v>
      </c>
      <c r="K146">
        <f t="shared" si="15"/>
        <v>2.3734090473141654E-2</v>
      </c>
      <c r="L146">
        <f t="shared" si="15"/>
        <v>4.731750596539061E-3</v>
      </c>
      <c r="M146">
        <f t="shared" si="15"/>
        <v>-7.6916143413251741E-3</v>
      </c>
      <c r="N146">
        <f t="shared" si="15"/>
        <v>1.050616529761721E-2</v>
      </c>
      <c r="O146">
        <f t="shared" si="15"/>
        <v>8.9836189648565719E-3</v>
      </c>
    </row>
    <row r="147" spans="1:15" x14ac:dyDescent="0.35">
      <c r="A147" s="2">
        <v>45146</v>
      </c>
      <c r="B147">
        <v>177.64363098144531</v>
      </c>
      <c r="C147">
        <v>535.79388427734375</v>
      </c>
      <c r="D147">
        <v>160.42094421386719</v>
      </c>
      <c r="E147">
        <v>147.33183288574219</v>
      </c>
      <c r="F147">
        <v>63.78167724609375</v>
      </c>
      <c r="G147">
        <v>148.3923034667969</v>
      </c>
      <c r="H147">
        <v>4499.3798828125</v>
      </c>
      <c r="I147">
        <f t="shared" si="15"/>
        <v>5.2976981396145369E-3</v>
      </c>
      <c r="J147">
        <f t="shared" si="15"/>
        <v>-4.1090173057731069E-3</v>
      </c>
      <c r="K147">
        <f t="shared" si="15"/>
        <v>4.6199576710387021E-4</v>
      </c>
      <c r="L147">
        <f t="shared" si="15"/>
        <v>-5.6295883153187074E-3</v>
      </c>
      <c r="M147">
        <f t="shared" si="15"/>
        <v>1.0193001891947613E-3</v>
      </c>
      <c r="N147">
        <f t="shared" si="15"/>
        <v>1.08294698475224E-3</v>
      </c>
      <c r="O147">
        <f t="shared" si="15"/>
        <v>-4.2272051000588661E-3</v>
      </c>
    </row>
    <row r="148" spans="1:15" x14ac:dyDescent="0.35">
      <c r="A148" s="2">
        <v>45147</v>
      </c>
      <c r="B148">
        <v>176.05293273925781</v>
      </c>
      <c r="C148">
        <v>539.24298095703125</v>
      </c>
      <c r="D148">
        <v>160.3190612792969</v>
      </c>
      <c r="E148">
        <v>145.35646057128909</v>
      </c>
      <c r="F148">
        <v>63.976608276367188</v>
      </c>
      <c r="G148">
        <v>148.2033386230469</v>
      </c>
      <c r="H148">
        <v>4467.7099609375</v>
      </c>
      <c r="I148">
        <f t="shared" si="15"/>
        <v>-8.994766305719987E-3</v>
      </c>
      <c r="J148">
        <f t="shared" si="15"/>
        <v>6.4167260226189711E-3</v>
      </c>
      <c r="K148">
        <f t="shared" si="15"/>
        <v>-6.3529922212443818E-4</v>
      </c>
      <c r="L148">
        <f t="shared" si="15"/>
        <v>-1.3498334932339645E-2</v>
      </c>
      <c r="M148">
        <f t="shared" si="15"/>
        <v>3.0515622645255923E-3</v>
      </c>
      <c r="N148">
        <f t="shared" si="15"/>
        <v>-1.2742255279698559E-3</v>
      </c>
      <c r="O148">
        <f t="shared" si="15"/>
        <v>-7.0636191020451164E-3</v>
      </c>
    </row>
    <row r="149" spans="1:15" x14ac:dyDescent="0.35">
      <c r="A149" s="2">
        <v>45148</v>
      </c>
      <c r="B149">
        <v>175.8355712890625</v>
      </c>
      <c r="C149">
        <v>540.96746826171875</v>
      </c>
      <c r="D149">
        <v>159.4853515625</v>
      </c>
      <c r="E149">
        <v>145.1390686035156</v>
      </c>
      <c r="F149">
        <v>63.391799926757813</v>
      </c>
      <c r="G149">
        <v>147.46653747558591</v>
      </c>
      <c r="H149">
        <v>4468.830078125</v>
      </c>
      <c r="I149">
        <f t="shared" si="15"/>
        <v>-1.2353997095784245E-3</v>
      </c>
      <c r="J149">
        <f t="shared" si="15"/>
        <v>3.192875556706136E-3</v>
      </c>
      <c r="K149">
        <f t="shared" si="15"/>
        <v>-5.2138843117205576E-3</v>
      </c>
      <c r="L149">
        <f t="shared" si="15"/>
        <v>-1.4966977906527856E-3</v>
      </c>
      <c r="M149">
        <f t="shared" si="15"/>
        <v>-9.1830064845445352E-3</v>
      </c>
      <c r="N149">
        <f t="shared" si="15"/>
        <v>-4.9839549591525183E-3</v>
      </c>
      <c r="O149">
        <f t="shared" si="15"/>
        <v>2.5068252108086326E-4</v>
      </c>
    </row>
    <row r="150" spans="1:15" x14ac:dyDescent="0.35">
      <c r="A150" s="2">
        <v>45149</v>
      </c>
      <c r="B150">
        <v>175.89494323730469</v>
      </c>
      <c r="C150">
        <v>542.3839111328125</v>
      </c>
      <c r="D150">
        <v>161.04158020019531</v>
      </c>
      <c r="E150">
        <v>145.98023986816409</v>
      </c>
      <c r="F150">
        <v>63.976608276367188</v>
      </c>
      <c r="G150">
        <v>148.326171875</v>
      </c>
      <c r="H150">
        <v>4464.0498046875</v>
      </c>
      <c r="I150">
        <f t="shared" si="15"/>
        <v>3.3759907857876893E-4</v>
      </c>
      <c r="J150">
        <f t="shared" si="15"/>
        <v>2.6149293851540196E-3</v>
      </c>
      <c r="K150">
        <f t="shared" si="15"/>
        <v>9.7105154797283658E-3</v>
      </c>
      <c r="L150">
        <f t="shared" si="15"/>
        <v>5.7788925785426989E-3</v>
      </c>
      <c r="M150">
        <f t="shared" si="15"/>
        <v>9.1830064845444884E-3</v>
      </c>
      <c r="N150">
        <f t="shared" si="15"/>
        <v>5.8124273683404079E-3</v>
      </c>
      <c r="O150">
        <f t="shared" si="15"/>
        <v>-1.0702648992294865E-3</v>
      </c>
    </row>
    <row r="151" spans="1:15" x14ac:dyDescent="0.35">
      <c r="A151" s="2">
        <v>45152</v>
      </c>
      <c r="B151">
        <v>177.54713439941409</v>
      </c>
      <c r="C151">
        <v>540.9483642578125</v>
      </c>
      <c r="D151">
        <v>160.66178894042969</v>
      </c>
      <c r="E151">
        <v>146.28271484375</v>
      </c>
      <c r="F151">
        <v>63.642448425292969</v>
      </c>
      <c r="G151">
        <v>147.16426086425781</v>
      </c>
      <c r="H151">
        <v>4489.72021484375</v>
      </c>
      <c r="I151">
        <f t="shared" si="15"/>
        <v>9.3492161865849997E-3</v>
      </c>
      <c r="J151">
        <f t="shared" si="15"/>
        <v>-2.6502445239736136E-3</v>
      </c>
      <c r="K151">
        <f t="shared" si="15"/>
        <v>-2.3611281238520979E-3</v>
      </c>
      <c r="L151">
        <f t="shared" si="15"/>
        <v>2.069883156270077E-3</v>
      </c>
      <c r="M151">
        <f t="shared" si="15"/>
        <v>-5.2368450824222985E-3</v>
      </c>
      <c r="N151">
        <f t="shared" si="15"/>
        <v>-7.86432906420928E-3</v>
      </c>
      <c r="O151">
        <f t="shared" si="15"/>
        <v>5.7340048794190506E-3</v>
      </c>
    </row>
    <row r="152" spans="1:15" x14ac:dyDescent="0.35">
      <c r="A152" s="2">
        <v>45153</v>
      </c>
      <c r="B152">
        <v>175.5585632324219</v>
      </c>
      <c r="C152">
        <v>538.09637451171875</v>
      </c>
      <c r="D152">
        <v>160.19859313964841</v>
      </c>
      <c r="E152">
        <v>142.55877685546881</v>
      </c>
      <c r="F152">
        <v>62.519214630126953</v>
      </c>
      <c r="G152">
        <v>146.2196350097656</v>
      </c>
      <c r="H152">
        <v>4437.85986328125</v>
      </c>
      <c r="I152">
        <f t="shared" si="15"/>
        <v>-1.1263438701970458E-2</v>
      </c>
      <c r="J152">
        <f t="shared" si="15"/>
        <v>-5.2861503973050056E-3</v>
      </c>
      <c r="K152">
        <f t="shared" si="15"/>
        <v>-2.8872129338315218E-3</v>
      </c>
      <c r="L152">
        <f t="shared" si="15"/>
        <v>-2.5786768508257816E-2</v>
      </c>
      <c r="M152">
        <f t="shared" si="15"/>
        <v>-1.7806732209447274E-2</v>
      </c>
      <c r="N152">
        <f t="shared" si="15"/>
        <v>-6.4395430837500545E-3</v>
      </c>
      <c r="O152">
        <f t="shared" si="15"/>
        <v>-1.1618139396096483E-2</v>
      </c>
    </row>
    <row r="153" spans="1:15" x14ac:dyDescent="0.35">
      <c r="A153" s="2">
        <v>45154</v>
      </c>
      <c r="B153">
        <v>174.6879577636719</v>
      </c>
      <c r="C153">
        <v>538.61669921875</v>
      </c>
      <c r="D153">
        <v>159.68916320800781</v>
      </c>
      <c r="E153">
        <v>141.95387268066409</v>
      </c>
      <c r="F153">
        <v>62.714157104492188</v>
      </c>
      <c r="G153">
        <v>144.72711181640619</v>
      </c>
      <c r="H153">
        <v>4404.330078125</v>
      </c>
      <c r="I153">
        <f t="shared" si="15"/>
        <v>-4.971397056807071E-3</v>
      </c>
      <c r="J153">
        <f t="shared" si="15"/>
        <v>9.6650585978846524E-4</v>
      </c>
      <c r="K153">
        <f t="shared" si="15"/>
        <v>-3.1850569594788158E-3</v>
      </c>
      <c r="L153">
        <f t="shared" si="15"/>
        <v>-4.2522192756534408E-3</v>
      </c>
      <c r="M153">
        <f t="shared" si="15"/>
        <v>3.1132697159050446E-3</v>
      </c>
      <c r="N153">
        <f t="shared" si="15"/>
        <v>-1.0259858906271097E-2</v>
      </c>
      <c r="O153">
        <f t="shared" si="15"/>
        <v>-7.5840817926245271E-3</v>
      </c>
    </row>
    <row r="154" spans="1:15" x14ac:dyDescent="0.35">
      <c r="A154" s="2">
        <v>45155</v>
      </c>
      <c r="B154">
        <v>172.14532470703119</v>
      </c>
      <c r="C154">
        <v>527.11309814453125</v>
      </c>
      <c r="D154">
        <v>161.18977355957031</v>
      </c>
      <c r="E154">
        <v>140.47943115234381</v>
      </c>
      <c r="F154">
        <v>62.667743682861328</v>
      </c>
      <c r="G154">
        <v>143.68803405761719</v>
      </c>
      <c r="H154">
        <v>4370.35986328125</v>
      </c>
      <c r="I154">
        <f t="shared" si="15"/>
        <v>-1.4662252653412597E-2</v>
      </c>
      <c r="J154">
        <f t="shared" si="15"/>
        <v>-2.1589051757651051E-2</v>
      </c>
      <c r="K154">
        <f t="shared" si="15"/>
        <v>9.3531928670042615E-3</v>
      </c>
      <c r="L154">
        <f t="shared" si="15"/>
        <v>-1.044108398778917E-2</v>
      </c>
      <c r="M154">
        <f t="shared" si="15"/>
        <v>-7.4035284932548408E-4</v>
      </c>
      <c r="N154">
        <f t="shared" si="15"/>
        <v>-7.2054624681090725E-3</v>
      </c>
      <c r="O154">
        <f t="shared" si="15"/>
        <v>-7.7428113775290805E-3</v>
      </c>
    </row>
    <row r="155" spans="1:15" x14ac:dyDescent="0.35">
      <c r="A155" s="2">
        <v>45156</v>
      </c>
      <c r="B155">
        <v>172.6300964355469</v>
      </c>
      <c r="C155">
        <v>525.0224609375</v>
      </c>
      <c r="D155">
        <v>159.78175354003909</v>
      </c>
      <c r="E155">
        <v>140.80078125</v>
      </c>
      <c r="F155">
        <v>62.964797973632813</v>
      </c>
      <c r="G155">
        <v>144.09419250488281</v>
      </c>
      <c r="H155">
        <v>4369.7099609375</v>
      </c>
      <c r="I155">
        <f t="shared" si="15"/>
        <v>2.8121032895597154E-3</v>
      </c>
      <c r="J155">
        <f t="shared" si="15"/>
        <v>-3.9740885867854793E-3</v>
      </c>
      <c r="K155">
        <f t="shared" si="15"/>
        <v>-8.7735448942483692E-3</v>
      </c>
      <c r="L155">
        <f t="shared" ref="L155:O218" si="16">LN(E155/E154)</f>
        <v>2.2849117946898956E-3</v>
      </c>
      <c r="M155">
        <f t="shared" si="16"/>
        <v>4.728947459608601E-3</v>
      </c>
      <c r="N155">
        <f t="shared" si="16"/>
        <v>2.822681037604823E-3</v>
      </c>
      <c r="O155">
        <f t="shared" si="16"/>
        <v>-1.4871788395720285E-4</v>
      </c>
    </row>
    <row r="156" spans="1:15" x14ac:dyDescent="0.35">
      <c r="A156" s="2">
        <v>45159</v>
      </c>
      <c r="B156">
        <v>173.96571350097659</v>
      </c>
      <c r="C156">
        <v>523.35565185546875</v>
      </c>
      <c r="D156">
        <v>155.02049255371091</v>
      </c>
      <c r="E156">
        <v>141.2828063964844</v>
      </c>
      <c r="F156">
        <v>62.268592834472663</v>
      </c>
      <c r="G156">
        <v>143.3668518066406</v>
      </c>
      <c r="H156">
        <v>4399.77001953125</v>
      </c>
      <c r="I156">
        <f t="shared" ref="I156:N219" si="17">LN(B156/B155)</f>
        <v>7.7070964989356264E-3</v>
      </c>
      <c r="J156">
        <f t="shared" si="17"/>
        <v>-3.1797887920874779E-3</v>
      </c>
      <c r="K156">
        <f t="shared" si="17"/>
        <v>-3.0251525504939269E-2</v>
      </c>
      <c r="L156">
        <f t="shared" si="16"/>
        <v>3.4176083740216617E-3</v>
      </c>
      <c r="M156">
        <f t="shared" si="16"/>
        <v>-1.11186370817472E-2</v>
      </c>
      <c r="N156">
        <f t="shared" si="16"/>
        <v>-5.060457858857231E-3</v>
      </c>
      <c r="O156">
        <f t="shared" si="16"/>
        <v>6.8556348597997854E-3</v>
      </c>
    </row>
    <row r="157" spans="1:15" x14ac:dyDescent="0.35">
      <c r="A157" s="2">
        <v>45160</v>
      </c>
      <c r="B157">
        <v>175.3409118652344</v>
      </c>
      <c r="C157">
        <v>518.692626953125</v>
      </c>
      <c r="D157">
        <v>153.78843688964841</v>
      </c>
      <c r="E157">
        <v>138.3528137207031</v>
      </c>
      <c r="F157">
        <v>62.677021026611328</v>
      </c>
      <c r="G157">
        <v>143.42352294921881</v>
      </c>
      <c r="H157">
        <v>4387.5498046875</v>
      </c>
      <c r="I157">
        <f t="shared" si="17"/>
        <v>7.8739157485719011E-3</v>
      </c>
      <c r="J157">
        <f t="shared" si="17"/>
        <v>-8.9497888386276311E-3</v>
      </c>
      <c r="K157">
        <f t="shared" si="17"/>
        <v>-7.97944673115265E-3</v>
      </c>
      <c r="L157">
        <f t="shared" si="16"/>
        <v>-2.0956557007675666E-2</v>
      </c>
      <c r="M157">
        <f t="shared" si="16"/>
        <v>6.5377188404063214E-3</v>
      </c>
      <c r="N157">
        <f t="shared" si="16"/>
        <v>3.9520952098962356E-4</v>
      </c>
      <c r="O157">
        <f t="shared" si="16"/>
        <v>-2.7813310465456837E-3</v>
      </c>
    </row>
    <row r="158" spans="1:15" x14ac:dyDescent="0.35">
      <c r="A158" s="2">
        <v>45161</v>
      </c>
      <c r="B158">
        <v>179.1894226074219</v>
      </c>
      <c r="C158">
        <v>521.09161376953125</v>
      </c>
      <c r="D158">
        <v>152.40826416015619</v>
      </c>
      <c r="E158">
        <v>139.28849792480469</v>
      </c>
      <c r="F158">
        <v>63.020492553710938</v>
      </c>
      <c r="G158">
        <v>144.76487731933591</v>
      </c>
      <c r="H158">
        <v>4436.009765625</v>
      </c>
      <c r="I158">
        <f t="shared" si="17"/>
        <v>2.1711326469058628E-2</v>
      </c>
      <c r="J158">
        <f t="shared" si="17"/>
        <v>4.6144016791025396E-3</v>
      </c>
      <c r="K158">
        <f t="shared" si="17"/>
        <v>-9.0150029180543073E-3</v>
      </c>
      <c r="L158">
        <f t="shared" si="16"/>
        <v>6.7402631185338787E-3</v>
      </c>
      <c r="M158">
        <f t="shared" si="16"/>
        <v>5.4650624691804069E-3</v>
      </c>
      <c r="N158">
        <f t="shared" si="16"/>
        <v>9.3089385642020888E-3</v>
      </c>
      <c r="O158">
        <f t="shared" si="16"/>
        <v>1.0984330710791359E-2</v>
      </c>
    </row>
    <row r="159" spans="1:15" x14ac:dyDescent="0.35">
      <c r="A159" s="2">
        <v>45162</v>
      </c>
      <c r="B159">
        <v>174.49995422363281</v>
      </c>
      <c r="C159">
        <v>513.24395751953125</v>
      </c>
      <c r="D159">
        <v>152.9269714355469</v>
      </c>
      <c r="E159">
        <v>139.1561584472656</v>
      </c>
      <c r="F159">
        <v>62.398544311523438</v>
      </c>
      <c r="G159">
        <v>144.09419250488281</v>
      </c>
      <c r="H159">
        <v>4376.31005859375</v>
      </c>
      <c r="I159">
        <f t="shared" si="17"/>
        <v>-2.6518993856827478E-2</v>
      </c>
      <c r="J159">
        <f t="shared" si="17"/>
        <v>-1.5174585610256105E-2</v>
      </c>
      <c r="K159">
        <f t="shared" si="17"/>
        <v>3.3976280095526267E-3</v>
      </c>
      <c r="L159">
        <f t="shared" si="16"/>
        <v>-9.5056223544167609E-4</v>
      </c>
      <c r="M159">
        <f t="shared" si="16"/>
        <v>-9.9180053679392855E-3</v>
      </c>
      <c r="N159">
        <f t="shared" si="16"/>
        <v>-4.6436902263343773E-3</v>
      </c>
      <c r="O159">
        <f t="shared" si="16"/>
        <v>-1.3549353984008011E-2</v>
      </c>
    </row>
    <row r="160" spans="1:15" x14ac:dyDescent="0.35">
      <c r="A160" s="2">
        <v>45163</v>
      </c>
      <c r="B160">
        <v>176.7062072753906</v>
      </c>
      <c r="C160">
        <v>515.46405029296875</v>
      </c>
      <c r="D160">
        <v>155.11962890625</v>
      </c>
      <c r="E160">
        <v>138.9860534667969</v>
      </c>
      <c r="F160">
        <v>63.085472106933587</v>
      </c>
      <c r="G160">
        <v>145.038818359375</v>
      </c>
      <c r="H160">
        <v>4405.7099609375</v>
      </c>
      <c r="I160">
        <f t="shared" si="17"/>
        <v>1.2564028287935696E-2</v>
      </c>
      <c r="J160">
        <f t="shared" si="17"/>
        <v>4.3162806225312857E-3</v>
      </c>
      <c r="K160">
        <f t="shared" si="17"/>
        <v>1.4236122065854468E-2</v>
      </c>
      <c r="L160">
        <f t="shared" si="16"/>
        <v>-1.2231512829780904E-3</v>
      </c>
      <c r="M160">
        <f t="shared" si="16"/>
        <v>1.0948560253244526E-2</v>
      </c>
      <c r="N160">
        <f t="shared" si="16"/>
        <v>6.534219061645339E-3</v>
      </c>
      <c r="O160">
        <f t="shared" si="16"/>
        <v>6.6955010602951564E-3</v>
      </c>
    </row>
    <row r="161" spans="1:15" x14ac:dyDescent="0.35">
      <c r="A161" s="2">
        <v>45166</v>
      </c>
      <c r="B161">
        <v>178.26936340332031</v>
      </c>
      <c r="C161">
        <v>517.56829833984375</v>
      </c>
      <c r="D161">
        <v>153.2908630371094</v>
      </c>
      <c r="E161">
        <v>139.46809387207031</v>
      </c>
      <c r="F161">
        <v>63.141159057617188</v>
      </c>
      <c r="G161">
        <v>145.26557922363281</v>
      </c>
      <c r="H161">
        <v>4433.31005859375</v>
      </c>
      <c r="I161">
        <f t="shared" si="17"/>
        <v>8.807176386560589E-3</v>
      </c>
      <c r="J161">
        <f t="shared" si="17"/>
        <v>4.0739304243348207E-3</v>
      </c>
      <c r="K161">
        <f t="shared" si="17"/>
        <v>-1.1859436374245087E-2</v>
      </c>
      <c r="L161">
        <f t="shared" si="16"/>
        <v>3.4622640130104734E-3</v>
      </c>
      <c r="M161">
        <f t="shared" si="16"/>
        <v>8.8233289255341572E-4</v>
      </c>
      <c r="N161">
        <f t="shared" si="16"/>
        <v>1.5622285591560551E-3</v>
      </c>
      <c r="O161">
        <f t="shared" si="16"/>
        <v>6.2450785941964614E-3</v>
      </c>
    </row>
    <row r="162" spans="1:15" x14ac:dyDescent="0.35">
      <c r="A162" s="2">
        <v>45167</v>
      </c>
      <c r="B162">
        <v>182.157470703125</v>
      </c>
      <c r="C162">
        <v>523.9197998046875</v>
      </c>
      <c r="D162">
        <v>153.30952453613281</v>
      </c>
      <c r="E162">
        <v>140.602294921875</v>
      </c>
      <c r="F162">
        <v>63.101905822753913</v>
      </c>
      <c r="G162">
        <v>145.3505554199219</v>
      </c>
      <c r="H162">
        <v>4497.6298828125</v>
      </c>
      <c r="I162">
        <f t="shared" si="17"/>
        <v>2.1575852641936132E-2</v>
      </c>
      <c r="J162">
        <f t="shared" si="17"/>
        <v>1.2197124899703198E-2</v>
      </c>
      <c r="K162">
        <f t="shared" si="17"/>
        <v>1.2173173813746478E-4</v>
      </c>
      <c r="L162">
        <f t="shared" si="16"/>
        <v>8.0994442509642068E-3</v>
      </c>
      <c r="M162">
        <f t="shared" si="16"/>
        <v>-6.2186760382396285E-4</v>
      </c>
      <c r="N162">
        <f t="shared" si="16"/>
        <v>5.8480028175353198E-4</v>
      </c>
      <c r="O162">
        <f t="shared" si="16"/>
        <v>1.4404068712056505E-2</v>
      </c>
    </row>
    <row r="163" spans="1:15" x14ac:dyDescent="0.35">
      <c r="A163" s="2">
        <v>45168</v>
      </c>
      <c r="B163">
        <v>185.64982604980469</v>
      </c>
      <c r="C163">
        <v>523.4276123046875</v>
      </c>
      <c r="D163">
        <v>152.7683410644531</v>
      </c>
      <c r="E163">
        <v>140.03517150878909</v>
      </c>
      <c r="F163">
        <v>62.709320068359382</v>
      </c>
      <c r="G163">
        <v>145.51115417480469</v>
      </c>
      <c r="H163">
        <v>4514.8701171875</v>
      </c>
      <c r="I163">
        <f t="shared" si="17"/>
        <v>1.8990707013285025E-2</v>
      </c>
      <c r="J163">
        <f t="shared" si="17"/>
        <v>-9.3987444956868951E-4</v>
      </c>
      <c r="K163">
        <f t="shared" si="17"/>
        <v>-3.5362507156737636E-3</v>
      </c>
      <c r="L163">
        <f t="shared" si="16"/>
        <v>-4.0416854691996077E-3</v>
      </c>
      <c r="M163">
        <f t="shared" si="16"/>
        <v>-6.2408902836581055E-3</v>
      </c>
      <c r="N163">
        <f t="shared" si="16"/>
        <v>1.1042964123879617E-3</v>
      </c>
      <c r="O163">
        <f t="shared" si="16"/>
        <v>3.825854181192944E-3</v>
      </c>
    </row>
    <row r="164" spans="1:15" x14ac:dyDescent="0.35">
      <c r="A164" s="2">
        <v>45169</v>
      </c>
      <c r="B164">
        <v>185.86749267578119</v>
      </c>
      <c r="C164">
        <v>530.20367431640625</v>
      </c>
      <c r="D164">
        <v>150.85557556152341</v>
      </c>
      <c r="E164">
        <v>138.30552673339841</v>
      </c>
      <c r="F164">
        <v>62.438266754150391</v>
      </c>
      <c r="G164">
        <v>145.7945556640625</v>
      </c>
      <c r="H164">
        <v>4507.66015625</v>
      </c>
      <c r="I164">
        <f t="shared" si="17"/>
        <v>1.171771219865104E-3</v>
      </c>
      <c r="J164">
        <f t="shared" si="17"/>
        <v>1.2862479538565249E-2</v>
      </c>
      <c r="K164">
        <f t="shared" si="17"/>
        <v>-1.2599737391911763E-2</v>
      </c>
      <c r="L164">
        <f t="shared" si="16"/>
        <v>-1.2428416329090265E-2</v>
      </c>
      <c r="M164">
        <f t="shared" si="16"/>
        <v>-4.3317453404948195E-3</v>
      </c>
      <c r="N164">
        <f t="shared" si="16"/>
        <v>1.9457330844963542E-3</v>
      </c>
      <c r="O164">
        <f t="shared" si="16"/>
        <v>-1.5982129743398576E-3</v>
      </c>
    </row>
    <row r="165" spans="1:15" x14ac:dyDescent="0.35">
      <c r="A165" s="2">
        <v>45170</v>
      </c>
      <c r="B165">
        <v>187.44056701660159</v>
      </c>
      <c r="C165">
        <v>525.348388671875</v>
      </c>
      <c r="D165">
        <v>149.73591613769531</v>
      </c>
      <c r="E165">
        <v>138.7686767578125</v>
      </c>
      <c r="F165">
        <v>62.503700256347663</v>
      </c>
      <c r="G165">
        <v>145.95513916015619</v>
      </c>
      <c r="H165">
        <v>4515.77001953125</v>
      </c>
      <c r="I165">
        <f t="shared" si="17"/>
        <v>8.427804388246073E-3</v>
      </c>
      <c r="J165">
        <f t="shared" si="17"/>
        <v>-9.1995839098413489E-3</v>
      </c>
      <c r="K165">
        <f t="shared" si="17"/>
        <v>-7.4497424780323625E-3</v>
      </c>
      <c r="L165">
        <f t="shared" si="16"/>
        <v>3.3431510400511572E-3</v>
      </c>
      <c r="M165">
        <f t="shared" si="16"/>
        <v>1.0474224113023345E-3</v>
      </c>
      <c r="N165">
        <f t="shared" si="16"/>
        <v>1.1008307131705195E-3</v>
      </c>
      <c r="O165">
        <f t="shared" si="16"/>
        <v>1.7975127655185409E-3</v>
      </c>
    </row>
    <row r="166" spans="1:15" x14ac:dyDescent="0.35">
      <c r="A166" s="2">
        <v>45174</v>
      </c>
      <c r="B166">
        <v>187.67799377441409</v>
      </c>
      <c r="C166">
        <v>525.81182861328125</v>
      </c>
      <c r="D166">
        <v>149.92254638671881</v>
      </c>
      <c r="E166">
        <v>137.23748779296881</v>
      </c>
      <c r="F166">
        <v>61.877445220947273</v>
      </c>
      <c r="G166">
        <v>143.999755859375</v>
      </c>
      <c r="H166">
        <v>4496.830078125</v>
      </c>
      <c r="I166">
        <f t="shared" si="17"/>
        <v>1.2658759887382589E-3</v>
      </c>
      <c r="J166">
        <f t="shared" si="17"/>
        <v>8.817684760385661E-4</v>
      </c>
      <c r="K166">
        <f t="shared" si="17"/>
        <v>1.2456199072908868E-3</v>
      </c>
      <c r="L166">
        <f t="shared" si="16"/>
        <v>-1.1095438218684743E-2</v>
      </c>
      <c r="M166">
        <f t="shared" si="16"/>
        <v>-1.0070020261034335E-2</v>
      </c>
      <c r="N166">
        <f t="shared" si="16"/>
        <v>-1.3487704312574976E-2</v>
      </c>
      <c r="O166">
        <f t="shared" si="16"/>
        <v>-4.2029978213812052E-3</v>
      </c>
    </row>
    <row r="167" spans="1:15" x14ac:dyDescent="0.35">
      <c r="A167" s="2">
        <v>45175</v>
      </c>
      <c r="B167">
        <v>180.9603576660156</v>
      </c>
      <c r="C167">
        <v>527.7037353515625</v>
      </c>
      <c r="D167">
        <v>147.4313049316406</v>
      </c>
      <c r="E167">
        <v>137.0106506347656</v>
      </c>
      <c r="F167">
        <v>61.400749206542969</v>
      </c>
      <c r="G167">
        <v>143.71635437011719</v>
      </c>
      <c r="H167">
        <v>4465.47998046875</v>
      </c>
      <c r="I167">
        <f t="shared" si="17"/>
        <v>-3.6449706382277319E-2</v>
      </c>
      <c r="J167">
        <f t="shared" si="17"/>
        <v>3.5916104834898465E-3</v>
      </c>
      <c r="K167">
        <f t="shared" si="17"/>
        <v>-1.6756465298681258E-2</v>
      </c>
      <c r="L167">
        <f t="shared" si="16"/>
        <v>-1.654247946641905E-3</v>
      </c>
      <c r="M167">
        <f t="shared" si="16"/>
        <v>-7.7337016907777691E-3</v>
      </c>
      <c r="N167">
        <f t="shared" si="16"/>
        <v>-1.970008427313551E-3</v>
      </c>
      <c r="O167">
        <f t="shared" si="16"/>
        <v>-6.9960144914322613E-3</v>
      </c>
    </row>
    <row r="168" spans="1:15" x14ac:dyDescent="0.35">
      <c r="A168" s="2">
        <v>45176</v>
      </c>
      <c r="B168">
        <v>175.66737365722659</v>
      </c>
      <c r="C168">
        <v>529.5665283203125</v>
      </c>
      <c r="D168">
        <v>149.31605529785159</v>
      </c>
      <c r="E168">
        <v>135.83868408203119</v>
      </c>
      <c r="F168">
        <v>61.924175262451172</v>
      </c>
      <c r="G168">
        <v>145.0860595703125</v>
      </c>
      <c r="H168">
        <v>4451.14013671875</v>
      </c>
      <c r="I168">
        <f t="shared" si="17"/>
        <v>-2.9685704378638676E-2</v>
      </c>
      <c r="J168">
        <f t="shared" si="17"/>
        <v>3.5237818754330365E-3</v>
      </c>
      <c r="K168">
        <f t="shared" si="17"/>
        <v>1.2702897905228029E-2</v>
      </c>
      <c r="L168">
        <f t="shared" si="16"/>
        <v>-8.5906294140697722E-3</v>
      </c>
      <c r="M168">
        <f t="shared" si="16"/>
        <v>8.4886198177090803E-3</v>
      </c>
      <c r="N168">
        <f t="shared" si="16"/>
        <v>9.4854849124090777E-3</v>
      </c>
      <c r="O168">
        <f t="shared" si="16"/>
        <v>-3.2164331157329669E-3</v>
      </c>
    </row>
    <row r="169" spans="1:15" x14ac:dyDescent="0.35">
      <c r="A169" s="2">
        <v>45177</v>
      </c>
      <c r="B169">
        <v>176.28077697753909</v>
      </c>
      <c r="C169">
        <v>532.04742431640625</v>
      </c>
      <c r="D169">
        <v>149.8105773925781</v>
      </c>
      <c r="E169">
        <v>135.94267272949219</v>
      </c>
      <c r="F169">
        <v>62.466300964355469</v>
      </c>
      <c r="G169">
        <v>144.46260070800781</v>
      </c>
      <c r="H169">
        <v>4457.490234375</v>
      </c>
      <c r="I169">
        <f t="shared" si="17"/>
        <v>3.4857631176908655E-3</v>
      </c>
      <c r="J169">
        <f t="shared" si="17"/>
        <v>4.6738280071133209E-3</v>
      </c>
      <c r="K169">
        <f t="shared" si="17"/>
        <v>3.3064427651353476E-3</v>
      </c>
      <c r="L169">
        <f t="shared" si="16"/>
        <v>7.6523757004906881E-4</v>
      </c>
      <c r="M169">
        <f t="shared" si="16"/>
        <v>8.7165698024494528E-3</v>
      </c>
      <c r="N169">
        <f t="shared" si="16"/>
        <v>-4.306425215190526E-3</v>
      </c>
      <c r="O169">
        <f t="shared" si="16"/>
        <v>1.4256060622570594E-3</v>
      </c>
    </row>
    <row r="170" spans="1:15" x14ac:dyDescent="0.35">
      <c r="A170" s="2">
        <v>45180</v>
      </c>
      <c r="B170">
        <v>177.44819641113281</v>
      </c>
      <c r="C170">
        <v>539.373779296875</v>
      </c>
      <c r="D170">
        <v>151.7699890136719</v>
      </c>
      <c r="E170">
        <v>136.53810119628909</v>
      </c>
      <c r="F170">
        <v>63.120594024658203</v>
      </c>
      <c r="G170">
        <v>146.1818542480469</v>
      </c>
      <c r="H170">
        <v>4487.4599609375</v>
      </c>
      <c r="I170">
        <f t="shared" si="17"/>
        <v>6.6006675166961591E-3</v>
      </c>
      <c r="J170">
        <f t="shared" si="17"/>
        <v>1.3676169833872289E-2</v>
      </c>
      <c r="K170">
        <f t="shared" si="17"/>
        <v>1.2994465896282351E-2</v>
      </c>
      <c r="L170">
        <f t="shared" si="16"/>
        <v>4.3704324967616002E-3</v>
      </c>
      <c r="M170">
        <f t="shared" si="16"/>
        <v>1.041986077060798E-2</v>
      </c>
      <c r="N170">
        <f t="shared" si="16"/>
        <v>1.1830768238763294E-2</v>
      </c>
      <c r="O170">
        <f t="shared" si="16"/>
        <v>6.7009514981355173E-3</v>
      </c>
    </row>
    <row r="171" spans="1:15" x14ac:dyDescent="0.35">
      <c r="A171" s="2">
        <v>45181</v>
      </c>
      <c r="B171">
        <v>174.4208068847656</v>
      </c>
      <c r="C171">
        <v>539.3834228515625</v>
      </c>
      <c r="D171">
        <v>152.62840270996091</v>
      </c>
      <c r="E171">
        <v>138.3149719238281</v>
      </c>
      <c r="F171">
        <v>63.307552337646477</v>
      </c>
      <c r="G171">
        <v>143.6124572753906</v>
      </c>
      <c r="H171">
        <v>4461.89990234375</v>
      </c>
      <c r="I171">
        <f t="shared" si="17"/>
        <v>-1.7207905223280803E-2</v>
      </c>
      <c r="J171">
        <f t="shared" si="17"/>
        <v>1.787900867505763E-5</v>
      </c>
      <c r="K171">
        <f t="shared" si="17"/>
        <v>5.6400821763637797E-3</v>
      </c>
      <c r="L171">
        <f t="shared" si="16"/>
        <v>1.2929784353285977E-2</v>
      </c>
      <c r="M171">
        <f t="shared" si="16"/>
        <v>2.9575447342338823E-3</v>
      </c>
      <c r="N171">
        <f t="shared" si="16"/>
        <v>-1.7733020982024245E-2</v>
      </c>
      <c r="O171">
        <f t="shared" si="16"/>
        <v>-5.7121690230039967E-3</v>
      </c>
    </row>
    <row r="172" spans="1:15" x14ac:dyDescent="0.35">
      <c r="A172" s="2">
        <v>45182</v>
      </c>
      <c r="B172">
        <v>172.35307312011719</v>
      </c>
      <c r="C172">
        <v>540.31976318359375</v>
      </c>
      <c r="D172">
        <v>153.0109558105469</v>
      </c>
      <c r="E172">
        <v>138.38114929199219</v>
      </c>
      <c r="F172">
        <v>63.961837768554688</v>
      </c>
      <c r="G172">
        <v>144.6137390136719</v>
      </c>
      <c r="H172">
        <v>4467.43994140625</v>
      </c>
      <c r="I172">
        <f t="shared" si="17"/>
        <v>-1.1925686392507228E-2</v>
      </c>
      <c r="J172">
        <f t="shared" si="17"/>
        <v>1.7344406849463224E-3</v>
      </c>
      <c r="K172">
        <f t="shared" si="17"/>
        <v>2.5032986733797336E-3</v>
      </c>
      <c r="L172">
        <f t="shared" si="16"/>
        <v>4.7833969724708682E-4</v>
      </c>
      <c r="M172">
        <f t="shared" si="16"/>
        <v>1.0281988380202698E-2</v>
      </c>
      <c r="N172">
        <f t="shared" si="16"/>
        <v>6.9479164567352062E-3</v>
      </c>
      <c r="O172">
        <f t="shared" si="16"/>
        <v>1.2408621175346041E-3</v>
      </c>
    </row>
    <row r="173" spans="1:15" x14ac:dyDescent="0.35">
      <c r="A173" s="2">
        <v>45183</v>
      </c>
      <c r="B173">
        <v>173.86680603027341</v>
      </c>
      <c r="C173">
        <v>545.15576171875</v>
      </c>
      <c r="D173">
        <v>152.7776794433594</v>
      </c>
      <c r="E173">
        <v>141.06541442871091</v>
      </c>
      <c r="F173">
        <v>64.756324768066406</v>
      </c>
      <c r="G173">
        <v>146.20072937011719</v>
      </c>
      <c r="H173">
        <v>4505.10009765625</v>
      </c>
      <c r="I173">
        <f t="shared" si="17"/>
        <v>8.7444000005529113E-3</v>
      </c>
      <c r="J173">
        <f t="shared" si="17"/>
        <v>8.9104368006464301E-3</v>
      </c>
      <c r="K173">
        <f t="shared" si="17"/>
        <v>-1.5257363129072489E-3</v>
      </c>
      <c r="L173">
        <f t="shared" si="16"/>
        <v>1.9211885544192911E-2</v>
      </c>
      <c r="M173">
        <f t="shared" si="16"/>
        <v>1.2344754980166473E-2</v>
      </c>
      <c r="N173">
        <f t="shared" si="16"/>
        <v>1.0914217017988899E-2</v>
      </c>
      <c r="O173">
        <f t="shared" si="16"/>
        <v>8.3945855336662496E-3</v>
      </c>
    </row>
    <row r="174" spans="1:15" x14ac:dyDescent="0.35">
      <c r="A174" s="2">
        <v>45184</v>
      </c>
      <c r="B174">
        <v>173.14457702636719</v>
      </c>
      <c r="C174">
        <v>537.03790283203125</v>
      </c>
      <c r="D174">
        <v>150.64100646972659</v>
      </c>
      <c r="E174">
        <v>140.6495666503906</v>
      </c>
      <c r="F174">
        <v>64.158111572265625</v>
      </c>
      <c r="G174">
        <v>144.97273254394531</v>
      </c>
      <c r="H174">
        <v>4450.31982421875</v>
      </c>
      <c r="I174">
        <f t="shared" si="17"/>
        <v>-4.1625726532849962E-3</v>
      </c>
      <c r="J174">
        <f t="shared" si="17"/>
        <v>-1.5002880575608106E-2</v>
      </c>
      <c r="K174">
        <f t="shared" si="17"/>
        <v>-1.4084223502867916E-2</v>
      </c>
      <c r="L174">
        <f t="shared" si="16"/>
        <v>-2.9522610318139216E-3</v>
      </c>
      <c r="M174">
        <f t="shared" si="16"/>
        <v>-9.2808456004832614E-3</v>
      </c>
      <c r="N174">
        <f t="shared" si="16"/>
        <v>-8.4348628393025333E-3</v>
      </c>
      <c r="O174">
        <f t="shared" si="16"/>
        <v>-1.2234145842493929E-2</v>
      </c>
    </row>
    <row r="175" spans="1:15" x14ac:dyDescent="0.35">
      <c r="A175" s="2">
        <v>45187</v>
      </c>
      <c r="B175">
        <v>176.0730285644531</v>
      </c>
      <c r="C175">
        <v>543.17694091796875</v>
      </c>
      <c r="D175">
        <v>151.59269714355469</v>
      </c>
      <c r="E175">
        <v>140.94255065917969</v>
      </c>
      <c r="F175">
        <v>63.78424072265625</v>
      </c>
      <c r="G175">
        <v>145.5205993652344</v>
      </c>
      <c r="H175">
        <v>4453.52978515625</v>
      </c>
      <c r="I175">
        <f t="shared" si="17"/>
        <v>1.677189315650774E-2</v>
      </c>
      <c r="J175">
        <f t="shared" si="17"/>
        <v>1.1366450324848766E-2</v>
      </c>
      <c r="K175">
        <f t="shared" si="17"/>
        <v>6.2977345537692624E-3</v>
      </c>
      <c r="L175">
        <f t="shared" si="16"/>
        <v>2.0809113359525383E-3</v>
      </c>
      <c r="M175">
        <f t="shared" si="16"/>
        <v>-5.8443808025748127E-3</v>
      </c>
      <c r="N175">
        <f t="shared" si="16"/>
        <v>3.7719796682970049E-3</v>
      </c>
      <c r="O175">
        <f t="shared" si="16"/>
        <v>7.2102769417551878E-4</v>
      </c>
    </row>
    <row r="176" spans="1:15" x14ac:dyDescent="0.35">
      <c r="A176" s="2">
        <v>45188</v>
      </c>
      <c r="B176">
        <v>177.16130065917969</v>
      </c>
      <c r="C176">
        <v>544.75030517578125</v>
      </c>
      <c r="D176">
        <v>151.3407897949219</v>
      </c>
      <c r="E176">
        <v>140.762939453125</v>
      </c>
      <c r="F176">
        <v>63.176681518554688</v>
      </c>
      <c r="G176">
        <v>145.09550476074219</v>
      </c>
      <c r="H176">
        <v>4443.9501953125</v>
      </c>
      <c r="I176">
        <f t="shared" si="17"/>
        <v>6.1617767466895373E-3</v>
      </c>
      <c r="J176">
        <f t="shared" si="17"/>
        <v>2.8924091392374335E-3</v>
      </c>
      <c r="K176">
        <f t="shared" si="17"/>
        <v>-1.6631202396447263E-3</v>
      </c>
      <c r="L176">
        <f t="shared" si="16"/>
        <v>-1.2751702518916871E-3</v>
      </c>
      <c r="M176">
        <f t="shared" si="16"/>
        <v>-9.5708794668313557E-3</v>
      </c>
      <c r="N176">
        <f t="shared" si="16"/>
        <v>-2.9254738580163381E-3</v>
      </c>
      <c r="O176">
        <f t="shared" si="16"/>
        <v>-2.1533273615331264E-3</v>
      </c>
    </row>
    <row r="177" spans="1:15" x14ac:dyDescent="0.35">
      <c r="A177" s="2">
        <v>45189</v>
      </c>
      <c r="B177">
        <v>173.61946105957031</v>
      </c>
      <c r="C177">
        <v>544.2484130859375</v>
      </c>
      <c r="D177">
        <v>152.00323486328119</v>
      </c>
      <c r="E177">
        <v>140.1675109863281</v>
      </c>
      <c r="F177">
        <v>62.952350616455078</v>
      </c>
      <c r="G177">
        <v>144.97273254394531</v>
      </c>
      <c r="H177">
        <v>4402.2001953125</v>
      </c>
      <c r="I177">
        <f t="shared" si="17"/>
        <v>-2.0194721927510227E-2</v>
      </c>
      <c r="J177">
        <f t="shared" si="17"/>
        <v>-9.2174970817194104E-4</v>
      </c>
      <c r="K177">
        <f t="shared" si="17"/>
        <v>4.3676226830529821E-3</v>
      </c>
      <c r="L177">
        <f t="shared" si="16"/>
        <v>-4.2389805552765746E-3</v>
      </c>
      <c r="M177">
        <f t="shared" si="16"/>
        <v>-3.5571689538710675E-3</v>
      </c>
      <c r="N177">
        <f t="shared" si="16"/>
        <v>-8.4650581028061442E-4</v>
      </c>
      <c r="O177">
        <f t="shared" si="16"/>
        <v>-9.4392042062910412E-3</v>
      </c>
    </row>
    <row r="178" spans="1:15" x14ac:dyDescent="0.35">
      <c r="A178" s="2">
        <v>45190</v>
      </c>
      <c r="B178">
        <v>172.07606506347659</v>
      </c>
      <c r="C178">
        <v>535.80230712890625</v>
      </c>
      <c r="D178">
        <v>150.8369445800781</v>
      </c>
      <c r="E178">
        <v>139.07112121582031</v>
      </c>
      <c r="F178">
        <v>62.541084289550781</v>
      </c>
      <c r="G178">
        <v>143.71635437011719</v>
      </c>
      <c r="H178">
        <v>4330</v>
      </c>
      <c r="I178">
        <f t="shared" si="17"/>
        <v>-8.9292810250362394E-3</v>
      </c>
      <c r="J178">
        <f t="shared" si="17"/>
        <v>-1.5640521276030099E-2</v>
      </c>
      <c r="K178">
        <f t="shared" si="17"/>
        <v>-7.7023864624536104E-3</v>
      </c>
      <c r="L178">
        <f t="shared" si="16"/>
        <v>-7.8527487116590924E-3</v>
      </c>
      <c r="M178">
        <f t="shared" si="16"/>
        <v>-6.55441138503073E-3</v>
      </c>
      <c r="N178">
        <f t="shared" si="16"/>
        <v>-8.7040775893791993E-3</v>
      </c>
      <c r="O178">
        <f t="shared" si="16"/>
        <v>-1.6536918318488084E-2</v>
      </c>
    </row>
    <row r="179" spans="1:15" x14ac:dyDescent="0.35">
      <c r="A179" s="2">
        <v>45191</v>
      </c>
      <c r="B179">
        <v>172.9269104003906</v>
      </c>
      <c r="C179">
        <v>539.1904296875</v>
      </c>
      <c r="D179">
        <v>149.7546081542969</v>
      </c>
      <c r="E179">
        <v>137.73841857910159</v>
      </c>
      <c r="F179">
        <v>63.279499053955078</v>
      </c>
      <c r="G179">
        <v>143.18736267089841</v>
      </c>
      <c r="H179">
        <v>4320.06005859375</v>
      </c>
      <c r="I179">
        <f t="shared" si="17"/>
        <v>4.9324041959914197E-3</v>
      </c>
      <c r="J179">
        <f t="shared" si="17"/>
        <v>6.3035472917869987E-3</v>
      </c>
      <c r="K179">
        <f t="shared" si="17"/>
        <v>-7.201407314695582E-3</v>
      </c>
      <c r="L179">
        <f t="shared" si="16"/>
        <v>-9.6290968511010752E-3</v>
      </c>
      <c r="M179">
        <f t="shared" si="16"/>
        <v>1.1737717671087469E-2</v>
      </c>
      <c r="N179">
        <f t="shared" si="16"/>
        <v>-3.6875945988136425E-3</v>
      </c>
      <c r="O179">
        <f t="shared" si="16"/>
        <v>-2.2982374027607495E-3</v>
      </c>
    </row>
    <row r="180" spans="1:15" x14ac:dyDescent="0.35">
      <c r="A180" s="2">
        <v>45194</v>
      </c>
      <c r="B180">
        <v>174.20317077636719</v>
      </c>
      <c r="C180">
        <v>539.2193603515625</v>
      </c>
      <c r="D180">
        <v>149.5306701660156</v>
      </c>
      <c r="E180">
        <v>138.4189453125</v>
      </c>
      <c r="F180">
        <v>63.064533233642578</v>
      </c>
      <c r="G180">
        <v>142.31829833984381</v>
      </c>
      <c r="H180">
        <v>4337.43994140625</v>
      </c>
      <c r="I180">
        <f t="shared" si="17"/>
        <v>7.3532441918184597E-3</v>
      </c>
      <c r="J180">
        <f t="shared" si="17"/>
        <v>5.3654305323715114E-5</v>
      </c>
      <c r="K180">
        <f t="shared" si="17"/>
        <v>-1.4964854357685689E-3</v>
      </c>
      <c r="L180">
        <f t="shared" si="16"/>
        <v>4.9285530636838824E-3</v>
      </c>
      <c r="M180">
        <f t="shared" si="16"/>
        <v>-3.4028679289951854E-3</v>
      </c>
      <c r="N180">
        <f t="shared" si="16"/>
        <v>-6.0879144191559216E-3</v>
      </c>
      <c r="O180">
        <f t="shared" si="16"/>
        <v>4.0149942038066174E-3</v>
      </c>
    </row>
    <row r="181" spans="1:15" x14ac:dyDescent="0.35">
      <c r="A181" s="2">
        <v>45195</v>
      </c>
      <c r="B181">
        <v>170.12709045410159</v>
      </c>
      <c r="C181">
        <v>533.7559814453125</v>
      </c>
      <c r="D181">
        <v>148.3736877441406</v>
      </c>
      <c r="E181">
        <v>136.9822998046875</v>
      </c>
      <c r="F181">
        <v>61.073589324951172</v>
      </c>
      <c r="G181">
        <v>141.052490234375</v>
      </c>
      <c r="H181">
        <v>4273.52978515625</v>
      </c>
      <c r="I181">
        <f t="shared" si="17"/>
        <v>-2.3676517533818421E-2</v>
      </c>
      <c r="J181">
        <f t="shared" si="17"/>
        <v>-1.0183693715060643E-2</v>
      </c>
      <c r="K181">
        <f t="shared" si="17"/>
        <v>-7.7675146958428162E-3</v>
      </c>
      <c r="L181">
        <f t="shared" si="16"/>
        <v>-1.0433202935998561E-2</v>
      </c>
      <c r="M181">
        <f t="shared" si="16"/>
        <v>-3.2079019703231383E-2</v>
      </c>
      <c r="N181">
        <f t="shared" si="16"/>
        <v>-8.9339944400429316E-3</v>
      </c>
      <c r="O181">
        <f t="shared" si="16"/>
        <v>-1.4844165482264943E-2</v>
      </c>
    </row>
    <row r="182" spans="1:15" x14ac:dyDescent="0.35">
      <c r="A182" s="2">
        <v>45196</v>
      </c>
      <c r="B182">
        <v>168.61335754394531</v>
      </c>
      <c r="C182">
        <v>543.95880126953125</v>
      </c>
      <c r="D182">
        <v>146.5915832519531</v>
      </c>
      <c r="E182">
        <v>137.78569030761719</v>
      </c>
      <c r="F182">
        <v>56.044887542724609</v>
      </c>
      <c r="G182">
        <v>139.18211364746091</v>
      </c>
      <c r="H182">
        <v>4274.509765625</v>
      </c>
      <c r="I182">
        <f t="shared" si="17"/>
        <v>-8.9374799810378047E-3</v>
      </c>
      <c r="J182">
        <f t="shared" si="17"/>
        <v>1.8934740092676174E-2</v>
      </c>
      <c r="K182">
        <f t="shared" si="17"/>
        <v>-1.2083633917294341E-2</v>
      </c>
      <c r="L182">
        <f t="shared" si="16"/>
        <v>5.8477902905557056E-3</v>
      </c>
      <c r="M182">
        <f t="shared" si="16"/>
        <v>-8.5926586537229302E-2</v>
      </c>
      <c r="N182">
        <f t="shared" si="16"/>
        <v>-1.3348846535879824E-2</v>
      </c>
      <c r="O182">
        <f t="shared" si="16"/>
        <v>2.2928777229479233E-4</v>
      </c>
    </row>
    <row r="183" spans="1:15" x14ac:dyDescent="0.35">
      <c r="A183" s="2">
        <v>45197</v>
      </c>
      <c r="B183">
        <v>168.8706359863281</v>
      </c>
      <c r="C183">
        <v>548.88165283203125</v>
      </c>
      <c r="D183">
        <v>146.3769836425781</v>
      </c>
      <c r="E183">
        <v>139.4964294433594</v>
      </c>
      <c r="F183">
        <v>53.352939605712891</v>
      </c>
      <c r="G183">
        <v>138.23748779296881</v>
      </c>
      <c r="H183">
        <v>4299.7001953125</v>
      </c>
      <c r="I183">
        <f t="shared" si="17"/>
        <v>1.5246855978682606E-3</v>
      </c>
      <c r="J183">
        <f t="shared" si="17"/>
        <v>9.0093386316761736E-3</v>
      </c>
      <c r="K183">
        <f t="shared" si="17"/>
        <v>-1.4650011776444389E-3</v>
      </c>
      <c r="L183">
        <f t="shared" si="16"/>
        <v>1.2339496279844058E-2</v>
      </c>
      <c r="M183">
        <f t="shared" si="16"/>
        <v>-4.9223856299785311E-2</v>
      </c>
      <c r="N183">
        <f t="shared" si="16"/>
        <v>-6.8101136356500426E-3</v>
      </c>
      <c r="O183">
        <f t="shared" si="16"/>
        <v>5.8758771430006979E-3</v>
      </c>
    </row>
    <row r="184" spans="1:15" x14ac:dyDescent="0.35">
      <c r="A184" s="2">
        <v>45198</v>
      </c>
      <c r="B184">
        <v>169.38507080078119</v>
      </c>
      <c r="C184">
        <v>545.33917236328125</v>
      </c>
      <c r="D184">
        <v>145.32261657714841</v>
      </c>
      <c r="E184">
        <v>137.06736755371091</v>
      </c>
      <c r="F184">
        <v>53.549228668212891</v>
      </c>
      <c r="G184">
        <v>137.7840881347656</v>
      </c>
      <c r="H184">
        <v>4288.0498046875</v>
      </c>
      <c r="I184">
        <f t="shared" si="17"/>
        <v>3.0416942020843338E-3</v>
      </c>
      <c r="J184">
        <f t="shared" si="17"/>
        <v>-6.4749139544217973E-3</v>
      </c>
      <c r="K184">
        <f t="shared" si="17"/>
        <v>-7.2291607973910734E-3</v>
      </c>
      <c r="L184">
        <f t="shared" si="16"/>
        <v>-1.7566466610458895E-2</v>
      </c>
      <c r="M184">
        <f t="shared" si="16"/>
        <v>3.6723162170412501E-3</v>
      </c>
      <c r="N184">
        <f t="shared" si="16"/>
        <v>-3.2852509045327642E-3</v>
      </c>
      <c r="O184">
        <f t="shared" si="16"/>
        <v>-2.713259648289315E-3</v>
      </c>
    </row>
    <row r="185" spans="1:15" x14ac:dyDescent="0.35">
      <c r="A185" s="2">
        <v>45201</v>
      </c>
      <c r="B185">
        <v>171.89801025390619</v>
      </c>
      <c r="C185">
        <v>551.4686279296875</v>
      </c>
      <c r="D185">
        <v>144.76277160644531</v>
      </c>
      <c r="E185">
        <v>135.8859558105469</v>
      </c>
      <c r="F185">
        <v>48.744846343994141</v>
      </c>
      <c r="G185">
        <v>137.15116882324219</v>
      </c>
      <c r="H185">
        <v>4288.39013671875</v>
      </c>
      <c r="I185">
        <f t="shared" si="17"/>
        <v>1.4726688832135185E-2</v>
      </c>
      <c r="J185">
        <f t="shared" si="17"/>
        <v>1.1177016383686711E-2</v>
      </c>
      <c r="K185">
        <f t="shared" si="17"/>
        <v>-3.8598680842433265E-3</v>
      </c>
      <c r="L185">
        <f t="shared" si="16"/>
        <v>-8.6565652041000734E-3</v>
      </c>
      <c r="M185">
        <f t="shared" si="16"/>
        <v>-9.4001917000187674E-2</v>
      </c>
      <c r="N185">
        <f t="shared" si="16"/>
        <v>-4.6041416192611276E-3</v>
      </c>
      <c r="O185">
        <f t="shared" si="16"/>
        <v>7.9364406152993244E-5</v>
      </c>
    </row>
    <row r="186" spans="1:15" x14ac:dyDescent="0.35">
      <c r="A186" s="2">
        <v>45202</v>
      </c>
      <c r="B186">
        <v>170.5623779296875</v>
      </c>
      <c r="C186">
        <v>545.4163818359375</v>
      </c>
      <c r="D186">
        <v>144.9400634765625</v>
      </c>
      <c r="E186">
        <v>134.8840637207031</v>
      </c>
      <c r="F186">
        <v>49.333705902099609</v>
      </c>
      <c r="G186">
        <v>137.43452453613281</v>
      </c>
      <c r="H186">
        <v>4229.4501953125</v>
      </c>
      <c r="I186">
        <f t="shared" si="17"/>
        <v>-7.8002545251663674E-3</v>
      </c>
      <c r="J186">
        <f t="shared" si="17"/>
        <v>-1.1035445758649794E-2</v>
      </c>
      <c r="K186">
        <f t="shared" si="17"/>
        <v>1.223956901901648E-3</v>
      </c>
      <c r="L186">
        <f t="shared" si="16"/>
        <v>-7.4003515158438315E-3</v>
      </c>
      <c r="M186">
        <f t="shared" si="16"/>
        <v>1.2008061302184531E-2</v>
      </c>
      <c r="N186">
        <f t="shared" si="16"/>
        <v>2.0638789297846576E-3</v>
      </c>
      <c r="O186">
        <f t="shared" si="16"/>
        <v>-1.3839395863449198E-2</v>
      </c>
    </row>
    <row r="187" spans="1:15" x14ac:dyDescent="0.35">
      <c r="A187" s="2">
        <v>45203</v>
      </c>
      <c r="B187">
        <v>171.8089599609375</v>
      </c>
      <c r="C187">
        <v>551.94158935546875</v>
      </c>
      <c r="D187">
        <v>145.1080017089844</v>
      </c>
      <c r="E187">
        <v>135.48895263671881</v>
      </c>
      <c r="F187">
        <v>47.314743041992188</v>
      </c>
      <c r="G187">
        <v>137.88798522949219</v>
      </c>
      <c r="H187">
        <v>4263.75</v>
      </c>
      <c r="I187">
        <f t="shared" si="17"/>
        <v>7.2820788541545604E-3</v>
      </c>
      <c r="J187">
        <f t="shared" si="17"/>
        <v>1.189271796319848E-2</v>
      </c>
      <c r="K187">
        <f t="shared" si="17"/>
        <v>1.1580029060436182E-3</v>
      </c>
      <c r="L187">
        <f t="shared" si="16"/>
        <v>4.4744844243112519E-3</v>
      </c>
      <c r="M187">
        <f t="shared" si="16"/>
        <v>-4.1785597985408512E-2</v>
      </c>
      <c r="N187">
        <f t="shared" si="16"/>
        <v>3.2940358111275977E-3</v>
      </c>
      <c r="O187">
        <f t="shared" si="16"/>
        <v>8.0770476078289456E-3</v>
      </c>
    </row>
    <row r="188" spans="1:15" x14ac:dyDescent="0.35">
      <c r="A188" s="2">
        <v>45204</v>
      </c>
      <c r="B188">
        <v>173.0456237792969</v>
      </c>
      <c r="C188">
        <v>549.7408447265625</v>
      </c>
      <c r="D188">
        <v>146.6195373535156</v>
      </c>
      <c r="E188">
        <v>136.06024169921881</v>
      </c>
      <c r="F188">
        <v>46.221145629882813</v>
      </c>
      <c r="G188">
        <v>135.838134765625</v>
      </c>
      <c r="H188">
        <v>4258.18994140625</v>
      </c>
      <c r="I188">
        <f t="shared" si="17"/>
        <v>7.1721193671559109E-3</v>
      </c>
      <c r="J188">
        <f t="shared" si="17"/>
        <v>-3.9952485184142272E-3</v>
      </c>
      <c r="K188">
        <f t="shared" si="17"/>
        <v>1.0362745840918718E-2</v>
      </c>
      <c r="L188">
        <f t="shared" si="16"/>
        <v>4.2076346921053375E-3</v>
      </c>
      <c r="M188">
        <f t="shared" si="16"/>
        <v>-2.3384548159066994E-2</v>
      </c>
      <c r="N188">
        <f t="shared" si="16"/>
        <v>-1.4977662957944357E-2</v>
      </c>
      <c r="O188">
        <f t="shared" si="16"/>
        <v>-1.3048811469951228E-3</v>
      </c>
    </row>
    <row r="189" spans="1:15" x14ac:dyDescent="0.35">
      <c r="A189" s="2">
        <v>45205</v>
      </c>
      <c r="B189">
        <v>175.59814453125</v>
      </c>
      <c r="C189">
        <v>538.1671142578125</v>
      </c>
      <c r="D189">
        <v>147.08607482910159</v>
      </c>
      <c r="E189">
        <v>138.1549377441406</v>
      </c>
      <c r="F189">
        <v>46.959560394287109</v>
      </c>
      <c r="G189">
        <v>136.11207580566409</v>
      </c>
      <c r="H189">
        <v>4308.5</v>
      </c>
      <c r="I189">
        <f t="shared" si="17"/>
        <v>1.4642833697400338E-2</v>
      </c>
      <c r="J189">
        <f t="shared" si="17"/>
        <v>-2.1277842548685678E-2</v>
      </c>
      <c r="K189">
        <f t="shared" si="17"/>
        <v>3.1769080917857426E-3</v>
      </c>
      <c r="L189">
        <f t="shared" si="16"/>
        <v>1.5278051303682287E-2</v>
      </c>
      <c r="M189">
        <f t="shared" si="16"/>
        <v>1.5849423203337081E-2</v>
      </c>
      <c r="N189">
        <f t="shared" si="16"/>
        <v>2.0146418134347264E-3</v>
      </c>
      <c r="O189">
        <f t="shared" si="16"/>
        <v>1.1745642093961117E-2</v>
      </c>
    </row>
    <row r="190" spans="1:15" x14ac:dyDescent="0.35">
      <c r="A190" s="2">
        <v>45208</v>
      </c>
      <c r="B190">
        <v>177.0821533203125</v>
      </c>
      <c r="C190">
        <v>539.55712890625</v>
      </c>
      <c r="D190">
        <v>147.92579650878909</v>
      </c>
      <c r="E190">
        <v>137.8407287597656</v>
      </c>
      <c r="F190">
        <v>46.099636077880859</v>
      </c>
      <c r="G190">
        <v>135.4224853515625</v>
      </c>
      <c r="H190">
        <v>4335.66015625</v>
      </c>
      <c r="I190">
        <f t="shared" si="17"/>
        <v>8.4156532509232131E-3</v>
      </c>
      <c r="J190">
        <f t="shared" si="17"/>
        <v>2.5795381852440975E-3</v>
      </c>
      <c r="K190">
        <f t="shared" si="17"/>
        <v>5.6928146226531097E-3</v>
      </c>
      <c r="L190">
        <f t="shared" si="16"/>
        <v>-2.2769134320273147E-3</v>
      </c>
      <c r="M190">
        <f t="shared" si="16"/>
        <v>-1.8481758413628709E-2</v>
      </c>
      <c r="N190">
        <f t="shared" si="16"/>
        <v>-5.0792203666020098E-3</v>
      </c>
      <c r="O190">
        <f t="shared" si="16"/>
        <v>6.2840681193874091E-3</v>
      </c>
    </row>
    <row r="191" spans="1:15" x14ac:dyDescent="0.35">
      <c r="A191" s="2">
        <v>45209</v>
      </c>
      <c r="B191">
        <v>176.4885559082031</v>
      </c>
      <c r="C191">
        <v>542.56890869140625</v>
      </c>
      <c r="D191">
        <v>147.75787353515619</v>
      </c>
      <c r="E191">
        <v>138.6786193847656</v>
      </c>
      <c r="F191">
        <v>48.212062835693359</v>
      </c>
      <c r="G191">
        <v>136.76387023925781</v>
      </c>
      <c r="H191">
        <v>4358.240234375</v>
      </c>
      <c r="I191">
        <f t="shared" si="17"/>
        <v>-3.3577327211721671E-3</v>
      </c>
      <c r="J191">
        <f t="shared" si="17"/>
        <v>5.566426566227199E-3</v>
      </c>
      <c r="K191">
        <f t="shared" si="17"/>
        <v>-1.1358286486444033E-3</v>
      </c>
      <c r="L191">
        <f t="shared" si="16"/>
        <v>6.060286161236981E-3</v>
      </c>
      <c r="M191">
        <f t="shared" si="16"/>
        <v>4.480420026355194E-2</v>
      </c>
      <c r="N191">
        <f t="shared" si="16"/>
        <v>9.8564510653216496E-3</v>
      </c>
      <c r="O191">
        <f t="shared" si="16"/>
        <v>5.1944760999853542E-3</v>
      </c>
    </row>
    <row r="192" spans="1:15" x14ac:dyDescent="0.35">
      <c r="A192" s="2">
        <v>45210</v>
      </c>
      <c r="B192">
        <v>177.88349914550781</v>
      </c>
      <c r="C192">
        <v>545.879638671875</v>
      </c>
      <c r="D192">
        <v>145.72380065917969</v>
      </c>
      <c r="E192">
        <v>139.15467834472659</v>
      </c>
      <c r="F192">
        <v>50.044075012207031</v>
      </c>
      <c r="G192">
        <v>135.08241271972659</v>
      </c>
      <c r="H192">
        <v>4376.9501953125</v>
      </c>
      <c r="I192">
        <f t="shared" si="17"/>
        <v>7.8728016072514683E-3</v>
      </c>
      <c r="J192">
        <f t="shared" si="17"/>
        <v>6.0834114735967724E-3</v>
      </c>
      <c r="K192">
        <f t="shared" si="17"/>
        <v>-1.3861890711844578E-2</v>
      </c>
      <c r="L192">
        <f t="shared" si="16"/>
        <v>3.4269429168635635E-3</v>
      </c>
      <c r="M192">
        <f t="shared" si="16"/>
        <v>3.7294861333256532E-2</v>
      </c>
      <c r="N192">
        <f t="shared" si="16"/>
        <v>-1.2370807096741748E-2</v>
      </c>
      <c r="O192">
        <f t="shared" si="16"/>
        <v>4.2838195000950733E-3</v>
      </c>
    </row>
    <row r="193" spans="1:15" x14ac:dyDescent="0.35">
      <c r="A193" s="2">
        <v>45211</v>
      </c>
      <c r="B193">
        <v>178.7838439941406</v>
      </c>
      <c r="C193">
        <v>544.2001953125</v>
      </c>
      <c r="D193">
        <v>145.86378479003909</v>
      </c>
      <c r="E193">
        <v>138.8309326171875</v>
      </c>
      <c r="F193">
        <v>49.539344787597663</v>
      </c>
      <c r="G193">
        <v>135.38471984863281</v>
      </c>
      <c r="H193">
        <v>4349.60986328125</v>
      </c>
      <c r="I193">
        <f t="shared" si="17"/>
        <v>5.0486638508276593E-3</v>
      </c>
      <c r="J193">
        <f t="shared" si="17"/>
        <v>-3.0813242036301898E-3</v>
      </c>
      <c r="K193">
        <f t="shared" si="17"/>
        <v>9.6015158805835236E-4</v>
      </c>
      <c r="L193">
        <f t="shared" si="16"/>
        <v>-2.3292275653188986E-3</v>
      </c>
      <c r="M193">
        <f t="shared" si="16"/>
        <v>-1.013691933193773E-2</v>
      </c>
      <c r="N193">
        <f t="shared" si="16"/>
        <v>2.2354454082954872E-3</v>
      </c>
      <c r="O193">
        <f t="shared" si="16"/>
        <v>-6.2660249406549179E-3</v>
      </c>
    </row>
    <row r="194" spans="1:15" x14ac:dyDescent="0.35">
      <c r="A194" s="2">
        <v>45212</v>
      </c>
      <c r="B194">
        <v>176.9436340332031</v>
      </c>
      <c r="C194">
        <v>547.1539306640625</v>
      </c>
      <c r="D194">
        <v>146.34895324707031</v>
      </c>
      <c r="E194">
        <v>140.91615295410159</v>
      </c>
      <c r="F194">
        <v>50.932052612304688</v>
      </c>
      <c r="G194">
        <v>136.67884826660159</v>
      </c>
      <c r="H194">
        <v>4327.77978515625</v>
      </c>
      <c r="I194">
        <f t="shared" si="17"/>
        <v>-1.0346270614803419E-2</v>
      </c>
      <c r="J194">
        <f t="shared" si="17"/>
        <v>5.4129864787144533E-3</v>
      </c>
      <c r="K194">
        <f t="shared" si="17"/>
        <v>3.320655397225653E-3</v>
      </c>
      <c r="L194">
        <f t="shared" si="16"/>
        <v>1.4908172881656471E-2</v>
      </c>
      <c r="M194">
        <f t="shared" si="16"/>
        <v>2.7725244654615556E-2</v>
      </c>
      <c r="N194">
        <f t="shared" si="16"/>
        <v>9.5134985365530906E-3</v>
      </c>
      <c r="O194">
        <f t="shared" si="16"/>
        <v>-5.0314956602198922E-3</v>
      </c>
    </row>
    <row r="195" spans="1:15" x14ac:dyDescent="0.35">
      <c r="A195" s="2">
        <v>45215</v>
      </c>
      <c r="B195">
        <v>176.8150329589844</v>
      </c>
      <c r="C195">
        <v>552.36627197265625</v>
      </c>
      <c r="D195">
        <v>146.98345947265619</v>
      </c>
      <c r="E195">
        <v>140.7733459472656</v>
      </c>
      <c r="F195">
        <v>50.829235076904297</v>
      </c>
      <c r="G195">
        <v>137.98243713378909</v>
      </c>
      <c r="H195">
        <v>4373.6298828125</v>
      </c>
      <c r="I195">
        <f t="shared" si="17"/>
        <v>-7.2705543005971711E-4</v>
      </c>
      <c r="J195">
        <f t="shared" si="17"/>
        <v>9.4811906904642487E-3</v>
      </c>
      <c r="K195">
        <f t="shared" si="17"/>
        <v>4.3261991357906532E-3</v>
      </c>
      <c r="L195">
        <f t="shared" si="16"/>
        <v>-1.0139321460505427E-3</v>
      </c>
      <c r="M195">
        <f t="shared" si="16"/>
        <v>-2.0207600104689919E-3</v>
      </c>
      <c r="N195">
        <f t="shared" si="16"/>
        <v>9.4924091954627105E-3</v>
      </c>
      <c r="O195">
        <f t="shared" si="16"/>
        <v>1.0538642302589985E-2</v>
      </c>
    </row>
    <row r="196" spans="1:15" x14ac:dyDescent="0.35">
      <c r="A196" s="2">
        <v>45216</v>
      </c>
      <c r="B196">
        <v>175.26171875</v>
      </c>
      <c r="C196">
        <v>554.3934326171875</v>
      </c>
      <c r="D196">
        <v>145.63983154296881</v>
      </c>
      <c r="E196">
        <v>140.4686279296875</v>
      </c>
      <c r="F196">
        <v>50.632953643798828</v>
      </c>
      <c r="G196">
        <v>138.16191101074219</v>
      </c>
      <c r="H196">
        <v>4373.2001953125</v>
      </c>
      <c r="I196">
        <f t="shared" si="17"/>
        <v>-8.8237821994182133E-3</v>
      </c>
      <c r="J196">
        <f t="shared" si="17"/>
        <v>3.6632394602926846E-3</v>
      </c>
      <c r="K196">
        <f t="shared" si="17"/>
        <v>-9.1833932144186631E-3</v>
      </c>
      <c r="L196">
        <f t="shared" si="16"/>
        <v>-2.1669463673228734E-3</v>
      </c>
      <c r="M196">
        <f t="shared" si="16"/>
        <v>-3.8690605916407092E-3</v>
      </c>
      <c r="N196">
        <f t="shared" si="16"/>
        <v>1.299855698147003E-3</v>
      </c>
      <c r="O196">
        <f t="shared" si="16"/>
        <v>-9.8249879443765073E-5</v>
      </c>
    </row>
    <row r="197" spans="1:15" x14ac:dyDescent="0.35">
      <c r="A197" s="2">
        <v>45217</v>
      </c>
      <c r="B197">
        <v>173.96571350097659</v>
      </c>
      <c r="C197">
        <v>554.6829833984375</v>
      </c>
      <c r="D197">
        <v>142.50477600097659</v>
      </c>
      <c r="E197">
        <v>138.9261779785156</v>
      </c>
      <c r="F197">
        <v>49.763671875</v>
      </c>
      <c r="G197">
        <v>141.7231750488281</v>
      </c>
      <c r="H197">
        <v>4314.60009765625</v>
      </c>
      <c r="I197">
        <f t="shared" si="17"/>
        <v>-7.4221614851070327E-3</v>
      </c>
      <c r="J197">
        <f t="shared" si="17"/>
        <v>5.2214758811438937E-4</v>
      </c>
      <c r="K197">
        <f t="shared" si="17"/>
        <v>-2.1761151695834754E-2</v>
      </c>
      <c r="L197">
        <f t="shared" si="16"/>
        <v>-1.1041476713735789E-2</v>
      </c>
      <c r="M197">
        <f t="shared" si="16"/>
        <v>-1.7317384691073703E-2</v>
      </c>
      <c r="N197">
        <f t="shared" si="16"/>
        <v>2.5449417811617393E-2</v>
      </c>
      <c r="O197">
        <f t="shared" si="16"/>
        <v>-1.3490408251151898E-2</v>
      </c>
    </row>
    <row r="198" spans="1:15" x14ac:dyDescent="0.35">
      <c r="A198" s="2">
        <v>45218</v>
      </c>
      <c r="B198">
        <v>173.58979797363281</v>
      </c>
      <c r="C198">
        <v>545.98590087890625</v>
      </c>
      <c r="D198">
        <v>142.12223815917969</v>
      </c>
      <c r="E198">
        <v>138.33583068847659</v>
      </c>
      <c r="F198">
        <v>48.969173431396477</v>
      </c>
      <c r="G198">
        <v>140.92561340332031</v>
      </c>
      <c r="H198">
        <v>4278</v>
      </c>
      <c r="I198">
        <f t="shared" si="17"/>
        <v>-2.1631978865066966E-3</v>
      </c>
      <c r="J198">
        <f t="shared" si="17"/>
        <v>-1.5803596619659254E-2</v>
      </c>
      <c r="K198">
        <f t="shared" si="17"/>
        <v>-2.687995538691079E-3</v>
      </c>
      <c r="L198">
        <f t="shared" si="16"/>
        <v>-4.2584138014037281E-3</v>
      </c>
      <c r="M198">
        <f t="shared" si="16"/>
        <v>-1.6094250917980456E-2</v>
      </c>
      <c r="N198">
        <f t="shared" si="16"/>
        <v>-5.6434967697762718E-3</v>
      </c>
      <c r="O198">
        <f t="shared" si="16"/>
        <v>-8.5190323280579759E-3</v>
      </c>
    </row>
    <row r="199" spans="1:15" x14ac:dyDescent="0.35">
      <c r="A199" s="2">
        <v>45219</v>
      </c>
      <c r="B199">
        <v>171.03727722167969</v>
      </c>
      <c r="C199">
        <v>533.72698974609375</v>
      </c>
      <c r="D199">
        <v>142.75672912597659</v>
      </c>
      <c r="E199">
        <v>136.10784912109381</v>
      </c>
      <c r="F199">
        <v>48.567245483398438</v>
      </c>
      <c r="G199">
        <v>140.73553466796881</v>
      </c>
      <c r="H199">
        <v>4224.16015625</v>
      </c>
      <c r="I199">
        <f t="shared" si="17"/>
        <v>-1.4813504872861949E-2</v>
      </c>
      <c r="J199">
        <f t="shared" si="17"/>
        <v>-2.2708699777803286E-2</v>
      </c>
      <c r="K199">
        <f t="shared" si="17"/>
        <v>4.4544672566647998E-3</v>
      </c>
      <c r="L199">
        <f t="shared" si="16"/>
        <v>-1.6236704854858411E-2</v>
      </c>
      <c r="M199">
        <f t="shared" si="16"/>
        <v>-8.2416440451042877E-3</v>
      </c>
      <c r="N199">
        <f t="shared" si="16"/>
        <v>-1.3496981426682109E-3</v>
      </c>
      <c r="O199">
        <f t="shared" si="16"/>
        <v>-1.2665149196155915E-2</v>
      </c>
    </row>
    <row r="200" spans="1:15" x14ac:dyDescent="0.35">
      <c r="A200" s="2">
        <v>45222</v>
      </c>
      <c r="B200">
        <v>171.156005859375</v>
      </c>
      <c r="C200">
        <v>533.109130859375</v>
      </c>
      <c r="D200">
        <v>141.2545471191406</v>
      </c>
      <c r="E200">
        <v>134.25117492675781</v>
      </c>
      <c r="F200">
        <v>48.155975341796882</v>
      </c>
      <c r="G200">
        <v>140.8305969238281</v>
      </c>
      <c r="H200">
        <v>4217.0400390625</v>
      </c>
      <c r="I200">
        <f t="shared" si="17"/>
        <v>6.9392736988083885E-4</v>
      </c>
      <c r="J200">
        <f t="shared" si="17"/>
        <v>-1.1583015307878976E-3</v>
      </c>
      <c r="K200">
        <f t="shared" si="17"/>
        <v>-1.0578425159049141E-2</v>
      </c>
      <c r="L200">
        <f t="shared" si="16"/>
        <v>-1.3735094581625397E-2</v>
      </c>
      <c r="M200">
        <f t="shared" si="16"/>
        <v>-8.504113421285233E-3</v>
      </c>
      <c r="N200">
        <f t="shared" si="16"/>
        <v>6.7523930476886239E-4</v>
      </c>
      <c r="O200">
        <f t="shared" si="16"/>
        <v>-1.6869920654349177E-3</v>
      </c>
    </row>
    <row r="201" spans="1:15" x14ac:dyDescent="0.35">
      <c r="A201" s="2">
        <v>45223</v>
      </c>
      <c r="B201">
        <v>171.59130859375</v>
      </c>
      <c r="C201">
        <v>532.67486572265625</v>
      </c>
      <c r="D201">
        <v>141.105224609375</v>
      </c>
      <c r="E201">
        <v>134.41304016113281</v>
      </c>
      <c r="F201">
        <v>51.520919799804688</v>
      </c>
      <c r="G201">
        <v>142.49412536621091</v>
      </c>
      <c r="H201">
        <v>4247.68017578125</v>
      </c>
      <c r="I201">
        <f t="shared" si="17"/>
        <v>2.5400809871709697E-3</v>
      </c>
      <c r="J201">
        <f t="shared" si="17"/>
        <v>-8.1492152658378799E-4</v>
      </c>
      <c r="K201">
        <f t="shared" si="17"/>
        <v>-1.057675622641349E-3</v>
      </c>
      <c r="L201">
        <f t="shared" si="16"/>
        <v>1.2049632579976865E-3</v>
      </c>
      <c r="M201">
        <f t="shared" si="16"/>
        <v>6.7542705869567995E-2</v>
      </c>
      <c r="N201">
        <f t="shared" si="16"/>
        <v>1.1743045544949439E-2</v>
      </c>
      <c r="O201">
        <f t="shared" si="16"/>
        <v>7.2395235196288195E-3</v>
      </c>
    </row>
    <row r="202" spans="1:15" x14ac:dyDescent="0.35">
      <c r="A202" s="2">
        <v>45224</v>
      </c>
      <c r="B202">
        <v>169.2762451171875</v>
      </c>
      <c r="C202">
        <v>530.88897705078125</v>
      </c>
      <c r="D202">
        <v>141.42247009277341</v>
      </c>
      <c r="E202">
        <v>133.6799011230469</v>
      </c>
      <c r="F202">
        <v>52.773418426513672</v>
      </c>
      <c r="G202">
        <v>143.15953063964841</v>
      </c>
      <c r="H202">
        <v>4186.77001953125</v>
      </c>
      <c r="I202">
        <f t="shared" si="17"/>
        <v>-1.3583569617748753E-2</v>
      </c>
      <c r="J202">
        <f t="shared" si="17"/>
        <v>-3.3583133960164414E-3</v>
      </c>
      <c r="K202">
        <f t="shared" si="17"/>
        <v>2.2457665048916907E-3</v>
      </c>
      <c r="L202">
        <f t="shared" si="16"/>
        <v>-5.4693037580391202E-3</v>
      </c>
      <c r="M202">
        <f t="shared" si="16"/>
        <v>2.4019690158712689E-2</v>
      </c>
      <c r="N202">
        <f t="shared" si="16"/>
        <v>4.6588339619251613E-3</v>
      </c>
      <c r="O202">
        <f t="shared" si="16"/>
        <v>-1.4443434657238052E-2</v>
      </c>
    </row>
    <row r="203" spans="1:15" x14ac:dyDescent="0.35">
      <c r="A203" s="2">
        <v>45225</v>
      </c>
      <c r="B203">
        <v>165.11112976074219</v>
      </c>
      <c r="C203">
        <v>528.58209228515625</v>
      </c>
      <c r="D203">
        <v>139.0245361328125</v>
      </c>
      <c r="E203">
        <v>134.02264404296881</v>
      </c>
      <c r="F203">
        <v>53.810939788818359</v>
      </c>
      <c r="G203">
        <v>142.3990478515625</v>
      </c>
      <c r="H203">
        <v>4137.22998046875</v>
      </c>
      <c r="I203">
        <f t="shared" si="17"/>
        <v>-2.4913206039343081E-2</v>
      </c>
      <c r="J203">
        <f t="shared" si="17"/>
        <v>-4.3547926471626062E-3</v>
      </c>
      <c r="K203">
        <f t="shared" si="17"/>
        <v>-1.7101215890411466E-2</v>
      </c>
      <c r="L203">
        <f t="shared" si="16"/>
        <v>2.5606264369602643E-3</v>
      </c>
      <c r="M203">
        <f t="shared" si="16"/>
        <v>1.9469163243672899E-2</v>
      </c>
      <c r="N203">
        <f t="shared" si="16"/>
        <v>-5.3262948006972694E-3</v>
      </c>
      <c r="O203">
        <f t="shared" si="16"/>
        <v>-1.1903081205584871E-2</v>
      </c>
    </row>
    <row r="204" spans="1:15" x14ac:dyDescent="0.35">
      <c r="A204" s="2">
        <v>45226</v>
      </c>
      <c r="B204">
        <v>166.42692565917969</v>
      </c>
      <c r="C204">
        <v>524.17083740234375</v>
      </c>
      <c r="D204">
        <v>135.85215759277341</v>
      </c>
      <c r="E204">
        <v>129.19532775878909</v>
      </c>
      <c r="F204">
        <v>52.567783355712891</v>
      </c>
      <c r="G204">
        <v>139.8894958496094</v>
      </c>
      <c r="H204">
        <v>4117.3701171875</v>
      </c>
      <c r="I204">
        <f t="shared" si="17"/>
        <v>7.9375672589833968E-3</v>
      </c>
      <c r="J204">
        <f t="shared" si="17"/>
        <v>-8.3804672037927543E-3</v>
      </c>
      <c r="K204">
        <f t="shared" si="17"/>
        <v>-2.3083218578072582E-2</v>
      </c>
      <c r="L204">
        <f t="shared" si="16"/>
        <v>-3.6683343232837388E-2</v>
      </c>
      <c r="M204">
        <f t="shared" si="16"/>
        <v>-2.337333992900912E-2</v>
      </c>
      <c r="N204">
        <f t="shared" si="16"/>
        <v>-1.7780516943878239E-2</v>
      </c>
      <c r="O204">
        <f t="shared" si="16"/>
        <v>-4.81183857862075E-3</v>
      </c>
    </row>
    <row r="205" spans="1:15" x14ac:dyDescent="0.35">
      <c r="A205" s="2">
        <v>45229</v>
      </c>
      <c r="B205">
        <v>168.474853515625</v>
      </c>
      <c r="C205">
        <v>535.60919189453125</v>
      </c>
      <c r="D205">
        <v>137.18638610839841</v>
      </c>
      <c r="E205">
        <v>130.842529296875</v>
      </c>
      <c r="F205">
        <v>53.465103149414063</v>
      </c>
      <c r="G205">
        <v>141.8857116699219</v>
      </c>
      <c r="H205">
        <v>4166.81982421875</v>
      </c>
      <c r="I205">
        <f t="shared" si="17"/>
        <v>1.2230173206961722E-2</v>
      </c>
      <c r="J205">
        <f t="shared" si="17"/>
        <v>2.158711877083281E-2</v>
      </c>
      <c r="K205">
        <f t="shared" si="17"/>
        <v>9.7732658372454428E-3</v>
      </c>
      <c r="L205">
        <f t="shared" si="16"/>
        <v>1.266910586678122E-2</v>
      </c>
      <c r="M205">
        <f t="shared" si="16"/>
        <v>1.692571512815565E-2</v>
      </c>
      <c r="N205">
        <f t="shared" si="16"/>
        <v>1.416909056680102E-2</v>
      </c>
      <c r="O205">
        <f t="shared" si="16"/>
        <v>1.1938474300285915E-2</v>
      </c>
    </row>
    <row r="206" spans="1:15" x14ac:dyDescent="0.35">
      <c r="A206" s="2">
        <v>45230</v>
      </c>
      <c r="B206">
        <v>168.94976806640619</v>
      </c>
      <c r="C206">
        <v>533.25396728515625</v>
      </c>
      <c r="D206">
        <v>138.40870666503909</v>
      </c>
      <c r="E206">
        <v>132.4040222167969</v>
      </c>
      <c r="F206">
        <v>54.493278503417969</v>
      </c>
      <c r="G206">
        <v>142.61769104003909</v>
      </c>
      <c r="H206">
        <v>4193.7998046875</v>
      </c>
      <c r="I206">
        <f t="shared" si="17"/>
        <v>2.8149390056464323E-3</v>
      </c>
      <c r="J206">
        <f t="shared" si="17"/>
        <v>-4.4069783881522584E-3</v>
      </c>
      <c r="K206">
        <f t="shared" si="17"/>
        <v>8.8704668810006427E-3</v>
      </c>
      <c r="L206">
        <f t="shared" si="16"/>
        <v>1.1863488618688921E-2</v>
      </c>
      <c r="M206">
        <f t="shared" si="16"/>
        <v>1.9048200355546611E-2</v>
      </c>
      <c r="N206">
        <f t="shared" si="16"/>
        <v>5.1456747318643099E-3</v>
      </c>
      <c r="O206">
        <f t="shared" si="16"/>
        <v>6.454084821688244E-3</v>
      </c>
    </row>
    <row r="207" spans="1:15" x14ac:dyDescent="0.35">
      <c r="A207" s="2">
        <v>45231</v>
      </c>
      <c r="B207">
        <v>172.1156311035156</v>
      </c>
      <c r="C207">
        <v>537.46246337890625</v>
      </c>
      <c r="D207">
        <v>138.73529052734381</v>
      </c>
      <c r="E207">
        <v>132.2897644042969</v>
      </c>
      <c r="F207">
        <v>54.614784240722663</v>
      </c>
      <c r="G207">
        <v>142.21846008300781</v>
      </c>
      <c r="H207">
        <v>4237.85986328125</v>
      </c>
      <c r="I207">
        <f t="shared" si="17"/>
        <v>1.8565084431184101E-2</v>
      </c>
      <c r="J207">
        <f t="shared" si="17"/>
        <v>7.8611248431478698E-3</v>
      </c>
      <c r="K207">
        <f t="shared" si="17"/>
        <v>2.3567821549703282E-3</v>
      </c>
      <c r="L207">
        <f t="shared" si="16"/>
        <v>-8.6332075304912349E-4</v>
      </c>
      <c r="M207">
        <f t="shared" si="16"/>
        <v>2.2272558870148904E-3</v>
      </c>
      <c r="N207">
        <f t="shared" si="16"/>
        <v>-2.8032341884339671E-3</v>
      </c>
      <c r="O207">
        <f t="shared" si="16"/>
        <v>1.0451194990191868E-2</v>
      </c>
    </row>
    <row r="208" spans="1:15" x14ac:dyDescent="0.35">
      <c r="A208" s="2">
        <v>45232</v>
      </c>
      <c r="B208">
        <v>175.6772766113281</v>
      </c>
      <c r="C208">
        <v>537.646240234375</v>
      </c>
      <c r="D208">
        <v>140.18150329589841</v>
      </c>
      <c r="E208">
        <v>134.65107727050781</v>
      </c>
      <c r="F208">
        <v>55.998153686523438</v>
      </c>
      <c r="G208">
        <v>143.95802307128909</v>
      </c>
      <c r="H208">
        <v>4317.77978515625</v>
      </c>
      <c r="I208">
        <f t="shared" si="17"/>
        <v>2.0482131420050401E-2</v>
      </c>
      <c r="J208">
        <f t="shared" si="17"/>
        <v>3.4187586174513207E-4</v>
      </c>
      <c r="K208">
        <f t="shared" si="17"/>
        <v>1.0370302265173605E-2</v>
      </c>
      <c r="L208">
        <f t="shared" si="16"/>
        <v>1.76921181798806E-2</v>
      </c>
      <c r="M208">
        <f t="shared" si="16"/>
        <v>2.5014100570217791E-2</v>
      </c>
      <c r="N208">
        <f t="shared" si="16"/>
        <v>1.2157423944138003E-2</v>
      </c>
      <c r="O208">
        <f t="shared" si="16"/>
        <v>1.8682938934086474E-2</v>
      </c>
    </row>
    <row r="209" spans="1:15" x14ac:dyDescent="0.35">
      <c r="A209" s="2">
        <v>45233</v>
      </c>
      <c r="B209">
        <v>174.76707458496091</v>
      </c>
      <c r="C209">
        <v>542.413818359375</v>
      </c>
      <c r="D209">
        <v>141.2078552246094</v>
      </c>
      <c r="E209">
        <v>136.15547180175781</v>
      </c>
      <c r="F209">
        <v>55.502758026123047</v>
      </c>
      <c r="G209">
        <v>142.65571594238281</v>
      </c>
      <c r="H209">
        <v>4358.33984375</v>
      </c>
      <c r="I209">
        <f t="shared" si="17"/>
        <v>-5.1945712348766349E-3</v>
      </c>
      <c r="J209">
        <f t="shared" si="17"/>
        <v>8.8284147771333643E-3</v>
      </c>
      <c r="K209">
        <f t="shared" si="17"/>
        <v>7.2949203596065085E-3</v>
      </c>
      <c r="L209">
        <f t="shared" si="16"/>
        <v>1.1110588072739683E-2</v>
      </c>
      <c r="M209">
        <f t="shared" si="16"/>
        <v>-8.8860066260666726E-3</v>
      </c>
      <c r="N209">
        <f t="shared" si="16"/>
        <v>-9.0876040758739104E-3</v>
      </c>
      <c r="O209">
        <f t="shared" si="16"/>
        <v>9.3498835445514593E-3</v>
      </c>
    </row>
    <row r="210" spans="1:15" x14ac:dyDescent="0.35">
      <c r="A210" s="2">
        <v>45236</v>
      </c>
      <c r="B210">
        <v>177.31956481933591</v>
      </c>
      <c r="C210">
        <v>551.03985595703125</v>
      </c>
      <c r="D210">
        <v>141.54376220703119</v>
      </c>
      <c r="E210">
        <v>137.18376159667969</v>
      </c>
      <c r="F210">
        <v>55.184959411621087</v>
      </c>
      <c r="G210">
        <v>143.4827575683594</v>
      </c>
      <c r="H210">
        <v>4365.97998046875</v>
      </c>
      <c r="I210">
        <f t="shared" si="17"/>
        <v>1.4499470681579474E-2</v>
      </c>
      <c r="J210">
        <f t="shared" si="17"/>
        <v>1.5777927769306737E-2</v>
      </c>
      <c r="K210">
        <f t="shared" si="17"/>
        <v>2.3759874019328268E-3</v>
      </c>
      <c r="L210">
        <f t="shared" si="16"/>
        <v>7.5239447558823041E-3</v>
      </c>
      <c r="M210">
        <f t="shared" si="16"/>
        <v>-5.7422719540597073E-3</v>
      </c>
      <c r="N210">
        <f t="shared" si="16"/>
        <v>5.7807251077926563E-3</v>
      </c>
      <c r="O210">
        <f t="shared" si="16"/>
        <v>1.7514577241005862E-3</v>
      </c>
    </row>
    <row r="211" spans="1:15" x14ac:dyDescent="0.35">
      <c r="A211" s="2">
        <v>45237</v>
      </c>
      <c r="B211">
        <v>179.8819885253906</v>
      </c>
      <c r="C211">
        <v>552.4420166015625</v>
      </c>
      <c r="D211">
        <v>140.79730224609381</v>
      </c>
      <c r="E211">
        <v>137.11712646484381</v>
      </c>
      <c r="F211">
        <v>54.642826080322273</v>
      </c>
      <c r="G211">
        <v>143.1500244140625</v>
      </c>
      <c r="H211">
        <v>4378.3798828125</v>
      </c>
      <c r="I211">
        <f t="shared" si="17"/>
        <v>1.4347460911493921E-2</v>
      </c>
      <c r="J211">
        <f t="shared" si="17"/>
        <v>2.5413401598053374E-3</v>
      </c>
      <c r="K211">
        <f t="shared" si="17"/>
        <v>-5.2876594596201624E-3</v>
      </c>
      <c r="L211">
        <f t="shared" si="16"/>
        <v>-4.8585430122074298E-4</v>
      </c>
      <c r="M211">
        <f t="shared" si="16"/>
        <v>-9.8725059815689912E-3</v>
      </c>
      <c r="N211">
        <f t="shared" si="16"/>
        <v>-2.3216695693522704E-3</v>
      </c>
      <c r="O211">
        <f t="shared" si="16"/>
        <v>2.8360934017119537E-3</v>
      </c>
    </row>
    <row r="212" spans="1:15" x14ac:dyDescent="0.35">
      <c r="A212" s="2">
        <v>45238</v>
      </c>
      <c r="B212">
        <v>180.9405822753906</v>
      </c>
      <c r="C212">
        <v>548.6802978515625</v>
      </c>
      <c r="D212">
        <v>140.2841491699219</v>
      </c>
      <c r="E212">
        <v>137.7931213378906</v>
      </c>
      <c r="F212">
        <v>53.745510101318359</v>
      </c>
      <c r="G212">
        <v>142.59869384765619</v>
      </c>
      <c r="H212">
        <v>4382.77978515625</v>
      </c>
      <c r="I212">
        <f t="shared" si="17"/>
        <v>5.8676860757787327E-3</v>
      </c>
      <c r="J212">
        <f t="shared" si="17"/>
        <v>-6.8325440958660125E-3</v>
      </c>
      <c r="K212">
        <f t="shared" si="17"/>
        <v>-3.6512807493582285E-3</v>
      </c>
      <c r="L212">
        <f t="shared" si="16"/>
        <v>4.9179413348553365E-3</v>
      </c>
      <c r="M212">
        <f t="shared" si="16"/>
        <v>-1.6557805226456442E-2</v>
      </c>
      <c r="N212">
        <f t="shared" si="16"/>
        <v>-3.8588537082784513E-3</v>
      </c>
      <c r="O212">
        <f t="shared" si="16"/>
        <v>1.0044110324198868E-3</v>
      </c>
    </row>
    <row r="213" spans="1:15" x14ac:dyDescent="0.35">
      <c r="A213" s="2">
        <v>45239</v>
      </c>
      <c r="B213">
        <v>180.46568298339841</v>
      </c>
      <c r="C213">
        <v>544.7056884765625</v>
      </c>
      <c r="D213">
        <v>137.55029296875</v>
      </c>
      <c r="E213">
        <v>137.38371276855469</v>
      </c>
      <c r="F213">
        <v>51.14703369140625</v>
      </c>
      <c r="G213">
        <v>142.921875</v>
      </c>
      <c r="H213">
        <v>4347.35009765625</v>
      </c>
      <c r="I213">
        <f t="shared" si="17"/>
        <v>-2.6280649284557522E-3</v>
      </c>
      <c r="J213">
        <f t="shared" si="17"/>
        <v>-7.2703088058084188E-3</v>
      </c>
      <c r="K213">
        <f t="shared" si="17"/>
        <v>-1.968038533141056E-2</v>
      </c>
      <c r="L213">
        <f t="shared" si="16"/>
        <v>-2.9756056518957757E-3</v>
      </c>
      <c r="M213">
        <f t="shared" si="16"/>
        <v>-4.9555632151828358E-2</v>
      </c>
      <c r="N213">
        <f t="shared" si="16"/>
        <v>2.2638039120491233E-3</v>
      </c>
      <c r="O213">
        <f t="shared" si="16"/>
        <v>-8.116690699068705E-3</v>
      </c>
    </row>
    <row r="214" spans="1:15" x14ac:dyDescent="0.35">
      <c r="A214" s="2">
        <v>45240</v>
      </c>
      <c r="B214">
        <v>184.6560974121094</v>
      </c>
      <c r="C214">
        <v>558.09918212890625</v>
      </c>
      <c r="D214">
        <v>137.3916931152344</v>
      </c>
      <c r="E214">
        <v>139.42127990722659</v>
      </c>
      <c r="F214">
        <v>51.539608001708977</v>
      </c>
      <c r="G214">
        <v>143.92950439453119</v>
      </c>
      <c r="H214">
        <v>4415.240234375</v>
      </c>
      <c r="I214">
        <f t="shared" si="17"/>
        <v>2.2954524488948955E-2</v>
      </c>
      <c r="J214">
        <f t="shared" si="17"/>
        <v>2.429106468174597E-2</v>
      </c>
      <c r="K214">
        <f t="shared" si="17"/>
        <v>-1.1536969916172261E-3</v>
      </c>
      <c r="L214">
        <f t="shared" si="16"/>
        <v>1.4722306283356445E-2</v>
      </c>
      <c r="M214">
        <f t="shared" si="16"/>
        <v>7.6461011172011366E-3</v>
      </c>
      <c r="N214">
        <f t="shared" si="16"/>
        <v>7.025474593449238E-3</v>
      </c>
      <c r="O214">
        <f t="shared" si="16"/>
        <v>1.5495759270772258E-2</v>
      </c>
    </row>
    <row r="215" spans="1:15" x14ac:dyDescent="0.35">
      <c r="A215" s="2">
        <v>45243</v>
      </c>
      <c r="B215">
        <v>183.07110595703119</v>
      </c>
      <c r="C215">
        <v>559.17266845703125</v>
      </c>
      <c r="D215">
        <v>137.7462463378906</v>
      </c>
      <c r="E215">
        <v>138.80238342285159</v>
      </c>
      <c r="F215">
        <v>50.941402435302727</v>
      </c>
      <c r="G215">
        <v>144.92762756347659</v>
      </c>
      <c r="H215">
        <v>4411.5498046875</v>
      </c>
      <c r="I215">
        <f t="shared" si="17"/>
        <v>-8.6205276958884209E-3</v>
      </c>
      <c r="J215">
        <f t="shared" si="17"/>
        <v>1.9216212381867543E-3</v>
      </c>
      <c r="K215">
        <f t="shared" si="17"/>
        <v>2.5772775620600784E-3</v>
      </c>
      <c r="L215">
        <f t="shared" si="16"/>
        <v>-4.448920683307862E-3</v>
      </c>
      <c r="M215">
        <f t="shared" si="16"/>
        <v>-1.167459919202485E-2</v>
      </c>
      <c r="N215">
        <f t="shared" si="16"/>
        <v>6.9108706765713098E-3</v>
      </c>
      <c r="O215">
        <f t="shared" si="16"/>
        <v>-8.3618844137008466E-4</v>
      </c>
    </row>
    <row r="216" spans="1:15" x14ac:dyDescent="0.35">
      <c r="A216" s="2">
        <v>45244</v>
      </c>
      <c r="B216">
        <v>185.6864013671875</v>
      </c>
      <c r="C216">
        <v>571.32830810546875</v>
      </c>
      <c r="D216">
        <v>137.77424621582031</v>
      </c>
      <c r="E216">
        <v>141.3350830078125</v>
      </c>
      <c r="F216">
        <v>53.792247772216797</v>
      </c>
      <c r="G216">
        <v>144.60444641113281</v>
      </c>
      <c r="H216">
        <v>4495.7001953125</v>
      </c>
      <c r="I216">
        <f t="shared" si="17"/>
        <v>1.4184602121937773E-2</v>
      </c>
      <c r="J216">
        <f t="shared" si="17"/>
        <v>2.1505701260913463E-2</v>
      </c>
      <c r="K216">
        <f t="shared" si="17"/>
        <v>2.0325078375547817E-4</v>
      </c>
      <c r="L216">
        <f t="shared" si="16"/>
        <v>1.8082326699826762E-2</v>
      </c>
      <c r="M216">
        <f t="shared" si="16"/>
        <v>5.4453363038743659E-2</v>
      </c>
      <c r="N216">
        <f t="shared" si="16"/>
        <v>-2.2324385836033412E-3</v>
      </c>
      <c r="O216">
        <f t="shared" si="16"/>
        <v>1.8895370474577251E-2</v>
      </c>
    </row>
    <row r="217" spans="1:15" x14ac:dyDescent="0.35">
      <c r="A217" s="2">
        <v>45245</v>
      </c>
      <c r="B217">
        <v>186.2510681152344</v>
      </c>
      <c r="C217">
        <v>577.11126708984375</v>
      </c>
      <c r="D217">
        <v>138.8379211425781</v>
      </c>
      <c r="E217">
        <v>142.5728454589844</v>
      </c>
      <c r="F217">
        <v>53.278163909912109</v>
      </c>
      <c r="G217">
        <v>143.9389953613281</v>
      </c>
      <c r="H217">
        <v>4502.8798828125</v>
      </c>
      <c r="I217">
        <f t="shared" si="17"/>
        <v>3.0363554532928335E-3</v>
      </c>
      <c r="J217">
        <f t="shared" si="17"/>
        <v>1.0071070325249782E-2</v>
      </c>
      <c r="K217">
        <f t="shared" si="17"/>
        <v>7.6907692077190695E-3</v>
      </c>
      <c r="L217">
        <f t="shared" si="16"/>
        <v>8.7195190363596447E-3</v>
      </c>
      <c r="M217">
        <f t="shared" si="16"/>
        <v>-9.6027988440239506E-3</v>
      </c>
      <c r="N217">
        <f t="shared" si="16"/>
        <v>-4.612492493405178E-3</v>
      </c>
      <c r="O217">
        <f t="shared" si="16"/>
        <v>1.5957382078471765E-3</v>
      </c>
    </row>
    <row r="218" spans="1:15" x14ac:dyDescent="0.35">
      <c r="A218" s="2">
        <v>45246</v>
      </c>
      <c r="B218">
        <v>187.9351501464844</v>
      </c>
      <c r="C218">
        <v>559.5111083984375</v>
      </c>
      <c r="D218">
        <v>140.0509033203125</v>
      </c>
      <c r="E218">
        <v>144.20100402832031</v>
      </c>
      <c r="F218">
        <v>52.904281616210938</v>
      </c>
      <c r="G218">
        <v>145.27935791015619</v>
      </c>
      <c r="H218">
        <v>4508.240234375</v>
      </c>
      <c r="I218">
        <f t="shared" si="17"/>
        <v>9.0013652029234115E-3</v>
      </c>
      <c r="J218">
        <f t="shared" si="17"/>
        <v>-3.0971703453892649E-2</v>
      </c>
      <c r="K218">
        <f t="shared" si="17"/>
        <v>8.6987338321579417E-3</v>
      </c>
      <c r="L218">
        <f t="shared" si="16"/>
        <v>1.1355122279178828E-2</v>
      </c>
      <c r="M218">
        <f t="shared" si="16"/>
        <v>-7.0422909744873637E-3</v>
      </c>
      <c r="N218">
        <f t="shared" si="16"/>
        <v>9.2689286822298621E-3</v>
      </c>
      <c r="O218">
        <f t="shared" ref="O218:O281" si="18">LN(H218/H217)</f>
        <v>1.1897193967137305E-3</v>
      </c>
    </row>
    <row r="219" spans="1:15" x14ac:dyDescent="0.35">
      <c r="A219" s="2">
        <v>45247</v>
      </c>
      <c r="B219">
        <v>187.91532897949219</v>
      </c>
      <c r="C219">
        <v>558.128173828125</v>
      </c>
      <c r="D219">
        <v>139.7616271972656</v>
      </c>
      <c r="E219">
        <v>145.50544738769531</v>
      </c>
      <c r="F219">
        <v>53.624004364013672</v>
      </c>
      <c r="G219">
        <v>143.6063232421875</v>
      </c>
      <c r="H219">
        <v>4514.02001953125</v>
      </c>
      <c r="I219">
        <f t="shared" si="17"/>
        <v>-1.0547368228284224E-4</v>
      </c>
      <c r="J219">
        <f t="shared" si="17"/>
        <v>-2.4747435028516416E-3</v>
      </c>
      <c r="K219">
        <f t="shared" si="17"/>
        <v>-2.0676431149812737E-3</v>
      </c>
      <c r="L219">
        <f t="shared" si="17"/>
        <v>9.0053374263952476E-3</v>
      </c>
      <c r="M219">
        <f t="shared" si="17"/>
        <v>1.351253692383028E-2</v>
      </c>
      <c r="N219">
        <f t="shared" si="17"/>
        <v>-1.1582805807298039E-2</v>
      </c>
      <c r="O219">
        <f t="shared" si="18"/>
        <v>1.2812279371779871E-3</v>
      </c>
    </row>
    <row r="220" spans="1:15" x14ac:dyDescent="0.35">
      <c r="A220" s="2">
        <v>45250</v>
      </c>
      <c r="B220">
        <v>189.65887451171881</v>
      </c>
      <c r="C220">
        <v>561.65789794921875</v>
      </c>
      <c r="D220">
        <v>140.99372863769531</v>
      </c>
      <c r="E220">
        <v>145.95292663574219</v>
      </c>
      <c r="F220">
        <v>53.595962524414063</v>
      </c>
      <c r="G220">
        <v>142.8458251953125</v>
      </c>
      <c r="H220">
        <v>4547.3798828125</v>
      </c>
      <c r="I220">
        <f t="shared" ref="I220:N262" si="19">LN(B220/B219)</f>
        <v>9.2355775855102844E-3</v>
      </c>
      <c r="J220">
        <f t="shared" si="19"/>
        <v>6.3043038318961412E-3</v>
      </c>
      <c r="K220">
        <f t="shared" si="19"/>
        <v>8.7771030874465115E-3</v>
      </c>
      <c r="L220">
        <f t="shared" si="19"/>
        <v>3.0706244151882584E-3</v>
      </c>
      <c r="M220">
        <f t="shared" si="19"/>
        <v>-5.2307123482231758E-4</v>
      </c>
      <c r="N220">
        <f t="shared" si="19"/>
        <v>-5.3097862089832078E-3</v>
      </c>
      <c r="O220">
        <f t="shared" si="18"/>
        <v>7.3631037937956327E-3</v>
      </c>
    </row>
    <row r="221" spans="1:15" x14ac:dyDescent="0.35">
      <c r="A221" s="2">
        <v>45251</v>
      </c>
      <c r="B221">
        <v>188.85646057128909</v>
      </c>
      <c r="C221">
        <v>565.04254150390625</v>
      </c>
      <c r="D221">
        <v>142.1317443847656</v>
      </c>
      <c r="E221">
        <v>145.64825439453119</v>
      </c>
      <c r="F221">
        <v>54.194175720214837</v>
      </c>
      <c r="G221">
        <v>142.21846008300781</v>
      </c>
      <c r="H221">
        <v>4538.18994140625</v>
      </c>
      <c r="I221">
        <f t="shared" si="19"/>
        <v>-4.2398025552359718E-3</v>
      </c>
      <c r="J221">
        <f t="shared" si="19"/>
        <v>6.0080809724801154E-3</v>
      </c>
      <c r="K221">
        <f t="shared" si="19"/>
        <v>8.0389931972064121E-3</v>
      </c>
      <c r="L221">
        <f t="shared" si="19"/>
        <v>-2.0896510158204882E-3</v>
      </c>
      <c r="M221">
        <f t="shared" si="19"/>
        <v>1.1099704432281072E-2</v>
      </c>
      <c r="N221">
        <f t="shared" si="19"/>
        <v>-4.4015764694359527E-3</v>
      </c>
      <c r="O221">
        <f t="shared" si="18"/>
        <v>-2.0229759317579679E-3</v>
      </c>
    </row>
    <row r="222" spans="1:15" x14ac:dyDescent="0.35">
      <c r="A222" s="2">
        <v>45252</v>
      </c>
      <c r="B222">
        <v>189.52018737792969</v>
      </c>
      <c r="C222">
        <v>569.6650390625</v>
      </c>
      <c r="D222">
        <v>141.84959411621091</v>
      </c>
      <c r="E222">
        <v>145.99102783203119</v>
      </c>
      <c r="F222">
        <v>54.154598236083977</v>
      </c>
      <c r="G222">
        <v>143.55877685546881</v>
      </c>
      <c r="H222">
        <v>4556.6201171875</v>
      </c>
      <c r="I222">
        <f t="shared" si="19"/>
        <v>3.5082899063972979E-3</v>
      </c>
      <c r="J222">
        <f t="shared" si="19"/>
        <v>8.1475143175479946E-3</v>
      </c>
      <c r="K222">
        <f t="shared" si="19"/>
        <v>-1.9871049477071636E-3</v>
      </c>
      <c r="L222">
        <f t="shared" si="19"/>
        <v>2.3506682139657837E-3</v>
      </c>
      <c r="M222">
        <f t="shared" si="19"/>
        <v>-7.3055715253546305E-4</v>
      </c>
      <c r="N222">
        <f t="shared" si="19"/>
        <v>9.3802194640312409E-3</v>
      </c>
      <c r="O222">
        <f t="shared" si="18"/>
        <v>4.0529050943133244E-3</v>
      </c>
    </row>
    <row r="223" spans="1:15" x14ac:dyDescent="0.35">
      <c r="A223" s="2">
        <v>45254</v>
      </c>
      <c r="B223">
        <v>188.19273376464841</v>
      </c>
      <c r="C223">
        <v>571.869873046875</v>
      </c>
      <c r="D223">
        <v>143.42967224121091</v>
      </c>
      <c r="E223">
        <v>146.19096374511719</v>
      </c>
      <c r="F223">
        <v>54.229976654052727</v>
      </c>
      <c r="G223">
        <v>143.90098571777341</v>
      </c>
      <c r="H223">
        <v>4559.33984375</v>
      </c>
      <c r="I223">
        <f t="shared" si="19"/>
        <v>-7.0289312560190597E-3</v>
      </c>
      <c r="J223">
        <f t="shared" si="19"/>
        <v>3.8629334989994037E-3</v>
      </c>
      <c r="K223">
        <f t="shared" si="19"/>
        <v>1.1077526263769561E-2</v>
      </c>
      <c r="L223">
        <f t="shared" si="19"/>
        <v>1.3685713018330467E-3</v>
      </c>
      <c r="M223">
        <f t="shared" si="19"/>
        <v>1.3909438718230618E-3</v>
      </c>
      <c r="N223">
        <f t="shared" si="19"/>
        <v>2.380917738885087E-3</v>
      </c>
      <c r="O223">
        <f t="shared" si="18"/>
        <v>5.9669560964503222E-4</v>
      </c>
    </row>
    <row r="224" spans="1:15" x14ac:dyDescent="0.35">
      <c r="A224" s="2">
        <v>45257</v>
      </c>
      <c r="B224">
        <v>188.01438903808591</v>
      </c>
      <c r="C224">
        <v>575.293212890625</v>
      </c>
      <c r="D224">
        <v>142.28224182128909</v>
      </c>
      <c r="E224">
        <v>145.85772705078119</v>
      </c>
      <c r="F224">
        <v>54.258251190185547</v>
      </c>
      <c r="G224">
        <v>143.76792907714841</v>
      </c>
      <c r="H224">
        <v>4550.43017578125</v>
      </c>
      <c r="I224">
        <f t="shared" si="19"/>
        <v>-9.4811995367772531E-4</v>
      </c>
      <c r="J224">
        <f t="shared" si="19"/>
        <v>5.9683754607385755E-3</v>
      </c>
      <c r="K224">
        <f t="shared" si="19"/>
        <v>-8.0321227944078928E-3</v>
      </c>
      <c r="L224">
        <f t="shared" si="19"/>
        <v>-2.2820635699300289E-3</v>
      </c>
      <c r="M224">
        <f t="shared" si="19"/>
        <v>5.2124617269243636E-4</v>
      </c>
      <c r="N224">
        <f t="shared" si="19"/>
        <v>-9.250679741220298E-4</v>
      </c>
      <c r="O224">
        <f t="shared" si="18"/>
        <v>-1.9560693168983586E-3</v>
      </c>
    </row>
    <row r="225" spans="1:15" x14ac:dyDescent="0.35">
      <c r="A225" s="2">
        <v>45258</v>
      </c>
      <c r="B225">
        <v>188.61869812011719</v>
      </c>
      <c r="C225">
        <v>574.4229736328125</v>
      </c>
      <c r="D225">
        <v>142.61143493652341</v>
      </c>
      <c r="E225">
        <v>146.19096374511719</v>
      </c>
      <c r="F225">
        <v>54.804790496826172</v>
      </c>
      <c r="G225">
        <v>144.76603698730469</v>
      </c>
      <c r="H225">
        <v>4554.89013671875</v>
      </c>
      <c r="I225">
        <f t="shared" si="19"/>
        <v>3.2090096235348618E-3</v>
      </c>
      <c r="J225">
        <f t="shared" si="19"/>
        <v>-1.5138334733501343E-3</v>
      </c>
      <c r="K225">
        <f t="shared" si="19"/>
        <v>2.3109902998909122E-3</v>
      </c>
      <c r="L225">
        <f t="shared" si="19"/>
        <v>2.2820635699301725E-3</v>
      </c>
      <c r="M225">
        <f t="shared" si="19"/>
        <v>1.002253143173162E-2</v>
      </c>
      <c r="N225">
        <f t="shared" si="19"/>
        <v>6.918505332523737E-3</v>
      </c>
      <c r="O225">
        <f t="shared" si="18"/>
        <v>9.7963852805029177E-4</v>
      </c>
    </row>
    <row r="226" spans="1:15" x14ac:dyDescent="0.35">
      <c r="A226" s="2">
        <v>45259</v>
      </c>
      <c r="B226">
        <v>187.59832763671881</v>
      </c>
      <c r="C226">
        <v>568.4852294921875</v>
      </c>
      <c r="D226">
        <v>143.06285095214841</v>
      </c>
      <c r="E226">
        <v>146.93363952636719</v>
      </c>
      <c r="F226">
        <v>54.993255615234382</v>
      </c>
      <c r="G226">
        <v>143.66334533691409</v>
      </c>
      <c r="H226">
        <v>4550.580078125</v>
      </c>
      <c r="I226">
        <f t="shared" si="19"/>
        <v>-5.4243849453054788E-3</v>
      </c>
      <c r="J226">
        <f t="shared" si="19"/>
        <v>-1.0390681504073206E-2</v>
      </c>
      <c r="K226">
        <f t="shared" si="19"/>
        <v>3.1603571875145654E-3</v>
      </c>
      <c r="L226">
        <f t="shared" si="19"/>
        <v>5.0673151427294959E-3</v>
      </c>
      <c r="M226">
        <f t="shared" si="19"/>
        <v>3.4329445772828967E-3</v>
      </c>
      <c r="N226">
        <f t="shared" si="19"/>
        <v>-7.6462183836721381E-3</v>
      </c>
      <c r="O226">
        <f t="shared" si="18"/>
        <v>-9.4669661510193815E-4</v>
      </c>
    </row>
    <row r="227" spans="1:15" x14ac:dyDescent="0.35">
      <c r="A227" s="2">
        <v>45260</v>
      </c>
      <c r="B227">
        <v>188.17289733886719</v>
      </c>
      <c r="C227">
        <v>573.204345703125</v>
      </c>
      <c r="D227">
        <v>145.4612121582031</v>
      </c>
      <c r="E227">
        <v>148.6094055175781</v>
      </c>
      <c r="F227">
        <v>55.134590148925781</v>
      </c>
      <c r="G227">
        <v>145.9352722167969</v>
      </c>
      <c r="H227">
        <v>4567.7998046875</v>
      </c>
      <c r="I227">
        <f t="shared" si="19"/>
        <v>3.0580848757717186E-3</v>
      </c>
      <c r="J227">
        <f t="shared" si="19"/>
        <v>8.2669460941855507E-3</v>
      </c>
      <c r="K227">
        <f t="shared" si="19"/>
        <v>1.6625417118393018E-2</v>
      </c>
      <c r="L227">
        <f t="shared" si="19"/>
        <v>1.1340371417711527E-2</v>
      </c>
      <c r="M227">
        <f t="shared" si="19"/>
        <v>2.5667370555555093E-3</v>
      </c>
      <c r="N227">
        <f t="shared" si="19"/>
        <v>1.5690499558960912E-2</v>
      </c>
      <c r="O227">
        <f t="shared" si="18"/>
        <v>3.7769312649946051E-3</v>
      </c>
    </row>
    <row r="228" spans="1:15" x14ac:dyDescent="0.35">
      <c r="A228" s="2">
        <v>45261</v>
      </c>
      <c r="B228">
        <v>189.4508361816406</v>
      </c>
      <c r="C228">
        <v>576.59869384765625</v>
      </c>
      <c r="D228">
        <v>148.95994567871091</v>
      </c>
      <c r="E228">
        <v>149.33299255371091</v>
      </c>
      <c r="F228">
        <v>55.756519317626953</v>
      </c>
      <c r="G228">
        <v>145.1177673339844</v>
      </c>
      <c r="H228">
        <v>4594.6298828125</v>
      </c>
      <c r="I228">
        <f t="shared" si="19"/>
        <v>6.7683442957294868E-3</v>
      </c>
      <c r="J228">
        <f t="shared" si="19"/>
        <v>5.9042425326265718E-3</v>
      </c>
      <c r="K228">
        <f t="shared" si="19"/>
        <v>2.3767980891560913E-2</v>
      </c>
      <c r="L228">
        <f t="shared" si="19"/>
        <v>4.857237260852635E-3</v>
      </c>
      <c r="M228">
        <f t="shared" si="19"/>
        <v>1.1217052344845147E-2</v>
      </c>
      <c r="N228">
        <f t="shared" si="19"/>
        <v>-5.6175811386229508E-3</v>
      </c>
      <c r="O228">
        <f t="shared" si="18"/>
        <v>5.8565589538466366E-3</v>
      </c>
    </row>
    <row r="229" spans="1:15" x14ac:dyDescent="0.35">
      <c r="A229" s="2">
        <v>45264</v>
      </c>
      <c r="B229">
        <v>187.6577453613281</v>
      </c>
      <c r="C229">
        <v>579.33551025390625</v>
      </c>
      <c r="D229">
        <v>149.4302062988281</v>
      </c>
      <c r="E229">
        <v>150.427978515625</v>
      </c>
      <c r="F229">
        <v>55.285362243652337</v>
      </c>
      <c r="G229">
        <v>144.54740905761719</v>
      </c>
      <c r="H229">
        <v>4569.77978515625</v>
      </c>
      <c r="I229">
        <f t="shared" si="19"/>
        <v>-9.5097508849588466E-3</v>
      </c>
      <c r="J229">
        <f t="shared" si="19"/>
        <v>4.7352548448245328E-3</v>
      </c>
      <c r="K229">
        <f t="shared" si="19"/>
        <v>3.15198746565946E-3</v>
      </c>
      <c r="L229">
        <f t="shared" si="19"/>
        <v>7.3057598414513576E-3</v>
      </c>
      <c r="M229">
        <f t="shared" si="19"/>
        <v>-8.4861656679133847E-3</v>
      </c>
      <c r="N229">
        <f t="shared" si="19"/>
        <v>-3.9380571774562086E-3</v>
      </c>
      <c r="O229">
        <f t="shared" si="18"/>
        <v>-5.4231880638269427E-3</v>
      </c>
    </row>
    <row r="230" spans="1:15" x14ac:dyDescent="0.35">
      <c r="A230" s="2">
        <v>45265</v>
      </c>
      <c r="B230">
        <v>191.61042785644531</v>
      </c>
      <c r="C230">
        <v>585.39874267578125</v>
      </c>
      <c r="D230">
        <v>149.11981201171881</v>
      </c>
      <c r="E230">
        <v>150.4089660644531</v>
      </c>
      <c r="F230">
        <v>54.870750427246087</v>
      </c>
      <c r="G230">
        <v>139.5092468261719</v>
      </c>
      <c r="H230">
        <v>4567.18017578125</v>
      </c>
      <c r="I230">
        <f t="shared" si="19"/>
        <v>2.0844488891281519E-2</v>
      </c>
      <c r="J230">
        <f t="shared" si="19"/>
        <v>1.0411451671278027E-2</v>
      </c>
      <c r="K230">
        <f t="shared" si="19"/>
        <v>-2.0793460385827201E-3</v>
      </c>
      <c r="L230">
        <f t="shared" si="19"/>
        <v>-1.2639705022770561E-4</v>
      </c>
      <c r="M230">
        <f t="shared" si="19"/>
        <v>-7.5277488330372233E-3</v>
      </c>
      <c r="N230">
        <f t="shared" si="19"/>
        <v>-3.5476659549839605E-2</v>
      </c>
      <c r="O230">
        <f t="shared" si="18"/>
        <v>-5.6903159393480261E-4</v>
      </c>
    </row>
    <row r="231" spans="1:15" x14ac:dyDescent="0.35">
      <c r="A231" s="2">
        <v>45266</v>
      </c>
      <c r="B231">
        <v>190.520751953125</v>
      </c>
      <c r="C231">
        <v>587.4102783203125</v>
      </c>
      <c r="D231">
        <v>147.30461120605469</v>
      </c>
      <c r="E231">
        <v>148.8283996582031</v>
      </c>
      <c r="F231">
        <v>56.727104187011719</v>
      </c>
      <c r="G231">
        <v>139.4046936035156</v>
      </c>
      <c r="H231">
        <v>4549.33984375</v>
      </c>
      <c r="I231">
        <f t="shared" si="19"/>
        <v>-5.7031664227871212E-3</v>
      </c>
      <c r="J231">
        <f t="shared" si="19"/>
        <v>3.4302901512172847E-3</v>
      </c>
      <c r="K231">
        <f t="shared" si="19"/>
        <v>-1.224746244566193E-2</v>
      </c>
      <c r="L231">
        <f t="shared" si="19"/>
        <v>-1.0564062423127431E-2</v>
      </c>
      <c r="M231">
        <f t="shared" si="19"/>
        <v>3.327169706906774E-2</v>
      </c>
      <c r="N231">
        <f t="shared" si="19"/>
        <v>-7.4971675773873882E-4</v>
      </c>
      <c r="O231">
        <f t="shared" si="18"/>
        <v>-3.9138519449437468E-3</v>
      </c>
    </row>
    <row r="232" spans="1:15" x14ac:dyDescent="0.35">
      <c r="A232" s="2">
        <v>45267</v>
      </c>
      <c r="B232">
        <v>192.45249938964841</v>
      </c>
      <c r="C232">
        <v>590.8143310546875</v>
      </c>
      <c r="D232">
        <v>146.15718078613281</v>
      </c>
      <c r="E232">
        <v>149.285400390625</v>
      </c>
      <c r="F232">
        <v>56.397285461425781</v>
      </c>
      <c r="G232">
        <v>139.2620849609375</v>
      </c>
      <c r="H232">
        <v>4585.58984375</v>
      </c>
      <c r="I232">
        <f t="shared" si="19"/>
        <v>1.0088244090051516E-2</v>
      </c>
      <c r="J232">
        <f t="shared" si="19"/>
        <v>5.7782907922245916E-3</v>
      </c>
      <c r="K232">
        <f t="shared" si="19"/>
        <v>-7.8200045019615905E-3</v>
      </c>
      <c r="L232">
        <f t="shared" si="19"/>
        <v>3.0659505888887256E-3</v>
      </c>
      <c r="M232">
        <f t="shared" si="19"/>
        <v>-5.8310972751922695E-3</v>
      </c>
      <c r="N232">
        <f t="shared" si="19"/>
        <v>-1.0235066825122021E-3</v>
      </c>
      <c r="O232">
        <f t="shared" si="18"/>
        <v>7.9366106848219216E-3</v>
      </c>
    </row>
    <row r="233" spans="1:15" x14ac:dyDescent="0.35">
      <c r="A233" s="2">
        <v>45268</v>
      </c>
      <c r="B233">
        <v>193.87901306152341</v>
      </c>
      <c r="C233">
        <v>590.6497802734375</v>
      </c>
      <c r="D233">
        <v>145.2355041503906</v>
      </c>
      <c r="E233">
        <v>150.9326171875</v>
      </c>
      <c r="F233">
        <v>56.255947113037109</v>
      </c>
      <c r="G233">
        <v>137.97880554199219</v>
      </c>
      <c r="H233">
        <v>4604.3701171875</v>
      </c>
      <c r="I233">
        <f t="shared" si="19"/>
        <v>7.3849536426912419E-3</v>
      </c>
      <c r="J233">
        <f t="shared" si="19"/>
        <v>-2.7855400893893258E-4</v>
      </c>
      <c r="K233">
        <f t="shared" si="19"/>
        <v>-6.3260318949399609E-3</v>
      </c>
      <c r="L233">
        <f t="shared" si="19"/>
        <v>1.0973580732286001E-2</v>
      </c>
      <c r="M233">
        <f t="shared" si="19"/>
        <v>-2.50926527928286E-3</v>
      </c>
      <c r="N233">
        <f t="shared" si="19"/>
        <v>-9.2575707835734853E-3</v>
      </c>
      <c r="O233">
        <f t="shared" si="18"/>
        <v>4.0871341465037936E-3</v>
      </c>
    </row>
    <row r="234" spans="1:15" x14ac:dyDescent="0.35">
      <c r="A234" s="2">
        <v>45271</v>
      </c>
      <c r="B234">
        <v>191.3726806640625</v>
      </c>
      <c r="C234">
        <v>603.29876708984375</v>
      </c>
      <c r="D234">
        <v>145.83741760253909</v>
      </c>
      <c r="E234">
        <v>151.4848327636719</v>
      </c>
      <c r="F234">
        <v>56.265365600585938</v>
      </c>
      <c r="G234">
        <v>138.6156921386719</v>
      </c>
      <c r="H234">
        <v>4622.43994140625</v>
      </c>
      <c r="I234">
        <f t="shared" si="19"/>
        <v>-1.3011585924941301E-2</v>
      </c>
      <c r="J234">
        <f t="shared" si="19"/>
        <v>2.1189288447828032E-2</v>
      </c>
      <c r="K234">
        <f t="shared" si="19"/>
        <v>4.1358317119024202E-3</v>
      </c>
      <c r="L234">
        <f t="shared" si="19"/>
        <v>3.6520127394207959E-3</v>
      </c>
      <c r="M234">
        <f t="shared" si="19"/>
        <v>1.6740806419130203E-4</v>
      </c>
      <c r="N234">
        <f t="shared" si="19"/>
        <v>4.6052089076828355E-3</v>
      </c>
      <c r="O234">
        <f t="shared" si="18"/>
        <v>3.9168135477814919E-3</v>
      </c>
    </row>
    <row r="235" spans="1:15" x14ac:dyDescent="0.35">
      <c r="A235" s="2">
        <v>45272</v>
      </c>
      <c r="B235">
        <v>192.88836669921881</v>
      </c>
      <c r="C235">
        <v>608.75286865234375</v>
      </c>
      <c r="D235">
        <v>145.84681701660159</v>
      </c>
      <c r="E235">
        <v>152.8368835449219</v>
      </c>
      <c r="F235">
        <v>56.086330413818359</v>
      </c>
      <c r="G235">
        <v>138.72978210449219</v>
      </c>
      <c r="H235">
        <v>4643.7001953125</v>
      </c>
      <c r="I235">
        <f t="shared" si="19"/>
        <v>7.8888760970967729E-3</v>
      </c>
      <c r="J235">
        <f t="shared" si="19"/>
        <v>8.999844916718085E-3</v>
      </c>
      <c r="K235">
        <f t="shared" si="19"/>
        <v>6.444924305239381E-5</v>
      </c>
      <c r="L235">
        <f t="shared" si="19"/>
        <v>8.8857258936115638E-3</v>
      </c>
      <c r="M235">
        <f t="shared" si="19"/>
        <v>-3.187051814285604E-3</v>
      </c>
      <c r="N235">
        <f t="shared" si="19"/>
        <v>8.2272820616279842E-4</v>
      </c>
      <c r="O235">
        <f t="shared" si="18"/>
        <v>4.5888127956924003E-3</v>
      </c>
    </row>
    <row r="236" spans="1:15" x14ac:dyDescent="0.35">
      <c r="A236" s="2">
        <v>45273</v>
      </c>
      <c r="B236">
        <v>196.10797119140619</v>
      </c>
      <c r="C236">
        <v>620.8409423828125</v>
      </c>
      <c r="D236">
        <v>146.52398681640619</v>
      </c>
      <c r="E236">
        <v>153.3510437011719</v>
      </c>
      <c r="F236">
        <v>58.903835296630859</v>
      </c>
      <c r="G236">
        <v>141.23933410644531</v>
      </c>
      <c r="H236">
        <v>4707.08984375</v>
      </c>
      <c r="I236">
        <f t="shared" si="19"/>
        <v>1.6553770305092617E-2</v>
      </c>
      <c r="J236">
        <f t="shared" si="19"/>
        <v>1.9662530946636284E-2</v>
      </c>
      <c r="K236">
        <f t="shared" si="19"/>
        <v>4.6322751917588691E-3</v>
      </c>
      <c r="L236">
        <f t="shared" si="19"/>
        <v>3.3584644839148906E-3</v>
      </c>
      <c r="M236">
        <f t="shared" si="19"/>
        <v>4.9014085730559272E-2</v>
      </c>
      <c r="N236">
        <f t="shared" si="19"/>
        <v>1.7927828977713216E-2</v>
      </c>
      <c r="O236">
        <f t="shared" si="18"/>
        <v>1.3558345175019811E-2</v>
      </c>
    </row>
    <row r="237" spans="1:15" x14ac:dyDescent="0.35">
      <c r="A237" s="2">
        <v>45274</v>
      </c>
      <c r="B237">
        <v>196.25657653808591</v>
      </c>
      <c r="C237">
        <v>609.99072265625</v>
      </c>
      <c r="D237">
        <v>147.53973388671881</v>
      </c>
      <c r="E237">
        <v>156.1407775878906</v>
      </c>
      <c r="F237">
        <v>59.158267974853523</v>
      </c>
      <c r="G237">
        <v>137.51300048828119</v>
      </c>
      <c r="H237">
        <v>4719.5498046875</v>
      </c>
      <c r="I237">
        <f t="shared" si="19"/>
        <v>7.5748614213626069E-4</v>
      </c>
      <c r="J237">
        <f t="shared" si="19"/>
        <v>-1.7631169406122332E-2</v>
      </c>
      <c r="K237">
        <f t="shared" si="19"/>
        <v>6.9083741962122393E-3</v>
      </c>
      <c r="L237">
        <f t="shared" si="19"/>
        <v>1.8028324204122783E-2</v>
      </c>
      <c r="M237">
        <f t="shared" si="19"/>
        <v>4.3101565204201114E-3</v>
      </c>
      <c r="N237">
        <f t="shared" si="19"/>
        <v>-2.6737394781808529E-2</v>
      </c>
      <c r="O237">
        <f t="shared" si="18"/>
        <v>2.6435651851544322E-3</v>
      </c>
    </row>
    <row r="238" spans="1:15" x14ac:dyDescent="0.35">
      <c r="A238" s="2">
        <v>45275</v>
      </c>
      <c r="B238">
        <v>195.72163391113281</v>
      </c>
      <c r="C238">
        <v>637.10662841796875</v>
      </c>
      <c r="D238">
        <v>145.9314880371094</v>
      </c>
      <c r="E238">
        <v>157.3214111328125</v>
      </c>
      <c r="F238">
        <v>57.952106475830078</v>
      </c>
      <c r="G238">
        <v>136.84757995605469</v>
      </c>
      <c r="H238">
        <v>4719.18994140625</v>
      </c>
      <c r="I238">
        <f t="shared" si="19"/>
        <v>-2.7294525297528035E-3</v>
      </c>
      <c r="J238">
        <f t="shared" si="19"/>
        <v>4.3493284823275496E-2</v>
      </c>
      <c r="K238">
        <f t="shared" si="19"/>
        <v>-1.0960270234223373E-2</v>
      </c>
      <c r="L238">
        <f t="shared" si="19"/>
        <v>7.5328965998086445E-3</v>
      </c>
      <c r="M238">
        <f t="shared" si="19"/>
        <v>-2.059944144073832E-2</v>
      </c>
      <c r="N238">
        <f t="shared" si="19"/>
        <v>-4.8507102288035831E-3</v>
      </c>
      <c r="O238">
        <f t="shared" si="18"/>
        <v>-7.6252400448594777E-5</v>
      </c>
    </row>
    <row r="239" spans="1:15" x14ac:dyDescent="0.35">
      <c r="A239" s="2">
        <v>45278</v>
      </c>
      <c r="B239">
        <v>194.05735778808591</v>
      </c>
      <c r="C239">
        <v>658.7874755859375</v>
      </c>
      <c r="D239">
        <v>146.19480895996091</v>
      </c>
      <c r="E239">
        <v>158.2735900878906</v>
      </c>
      <c r="F239">
        <v>57.480949401855469</v>
      </c>
      <c r="G239">
        <v>138.9483947753906</v>
      </c>
      <c r="H239">
        <v>4740.56005859375</v>
      </c>
      <c r="I239">
        <f t="shared" si="19"/>
        <v>-8.5396405269960399E-3</v>
      </c>
      <c r="J239">
        <f t="shared" si="19"/>
        <v>3.3463954057735237E-2</v>
      </c>
      <c r="K239">
        <f t="shared" si="19"/>
        <v>1.8027887038958535E-3</v>
      </c>
      <c r="L239">
        <f t="shared" si="19"/>
        <v>6.0342010525424932E-3</v>
      </c>
      <c r="M239">
        <f t="shared" si="19"/>
        <v>-8.1633408539143679E-3</v>
      </c>
      <c r="N239">
        <f t="shared" si="19"/>
        <v>1.5234852173680695E-2</v>
      </c>
      <c r="O239">
        <f t="shared" si="18"/>
        <v>4.5181222634005152E-3</v>
      </c>
    </row>
    <row r="240" spans="1:15" x14ac:dyDescent="0.35">
      <c r="A240" s="2">
        <v>45279</v>
      </c>
      <c r="B240">
        <v>195.09751892089841</v>
      </c>
      <c r="C240">
        <v>655.40289306640625</v>
      </c>
      <c r="D240">
        <v>147.1541442871094</v>
      </c>
      <c r="E240">
        <v>160.38731384277341</v>
      </c>
      <c r="F240">
        <v>58.01806640625</v>
      </c>
      <c r="G240">
        <v>138.9483947753906</v>
      </c>
      <c r="H240">
        <v>4768.3701171875</v>
      </c>
      <c r="I240">
        <f t="shared" si="19"/>
        <v>5.345756520769445E-3</v>
      </c>
      <c r="J240">
        <f t="shared" si="19"/>
        <v>-5.1508367179135288E-3</v>
      </c>
      <c r="K240">
        <f t="shared" si="19"/>
        <v>6.5405977182540747E-3</v>
      </c>
      <c r="L240">
        <f t="shared" si="19"/>
        <v>1.326648314823514E-2</v>
      </c>
      <c r="M240">
        <f t="shared" si="19"/>
        <v>9.3008736503786844E-3</v>
      </c>
      <c r="N240">
        <f t="shared" si="19"/>
        <v>0</v>
      </c>
      <c r="O240">
        <f t="shared" si="18"/>
        <v>5.8492674508189039E-3</v>
      </c>
    </row>
    <row r="241" spans="1:15" x14ac:dyDescent="0.35">
      <c r="A241" s="2">
        <v>45280</v>
      </c>
      <c r="B241">
        <v>193.00724792480469</v>
      </c>
      <c r="C241">
        <v>639.2147216796875</v>
      </c>
      <c r="D241">
        <v>144.15386962890619</v>
      </c>
      <c r="E241">
        <v>158.5782775878906</v>
      </c>
      <c r="F241">
        <v>56.387870788574219</v>
      </c>
      <c r="G241">
        <v>136.800048828125</v>
      </c>
      <c r="H241">
        <v>4698.35009765625</v>
      </c>
      <c r="I241">
        <f t="shared" si="19"/>
        <v>-1.0771788372867259E-2</v>
      </c>
      <c r="J241">
        <f t="shared" si="19"/>
        <v>-2.5009724853929067E-2</v>
      </c>
      <c r="K241">
        <f t="shared" si="19"/>
        <v>-2.0599369789662404E-2</v>
      </c>
      <c r="L241">
        <f t="shared" si="19"/>
        <v>-1.1343265234773066E-2</v>
      </c>
      <c r="M241">
        <f t="shared" si="19"/>
        <v>-2.8500373370705975E-2</v>
      </c>
      <c r="N241">
        <f t="shared" si="19"/>
        <v>-1.5582241468584267E-2</v>
      </c>
      <c r="O241">
        <f t="shared" si="18"/>
        <v>-1.4793147965305628E-2</v>
      </c>
    </row>
    <row r="242" spans="1:15" x14ac:dyDescent="0.35">
      <c r="A242" s="2">
        <v>45281</v>
      </c>
      <c r="B242">
        <v>192.858642578125</v>
      </c>
      <c r="C242">
        <v>643.237548828125</v>
      </c>
      <c r="D242">
        <v>145.63050842285159</v>
      </c>
      <c r="E242">
        <v>159.4827880859375</v>
      </c>
      <c r="F242">
        <v>56.161720275878913</v>
      </c>
      <c r="G242">
        <v>137.13273620605469</v>
      </c>
      <c r="H242">
        <v>4746.75</v>
      </c>
      <c r="I242">
        <f t="shared" si="19"/>
        <v>-7.7024353633840272E-4</v>
      </c>
      <c r="J242">
        <f t="shared" si="19"/>
        <v>6.2736687133730087E-3</v>
      </c>
      <c r="K242">
        <f t="shared" si="19"/>
        <v>1.019138150015873E-2</v>
      </c>
      <c r="L242">
        <f t="shared" si="19"/>
        <v>5.6876684010765477E-3</v>
      </c>
      <c r="M242">
        <f t="shared" si="19"/>
        <v>-4.0186874943644833E-3</v>
      </c>
      <c r="N242">
        <f t="shared" si="19"/>
        <v>2.428972066682931E-3</v>
      </c>
      <c r="O242">
        <f t="shared" si="18"/>
        <v>1.0248769307271876E-2</v>
      </c>
    </row>
    <row r="243" spans="1:15" x14ac:dyDescent="0.35">
      <c r="A243" s="2">
        <v>45282</v>
      </c>
      <c r="B243">
        <v>191.78875732421881</v>
      </c>
      <c r="C243">
        <v>649.46533203125</v>
      </c>
      <c r="D243">
        <v>146.213623046875</v>
      </c>
      <c r="E243">
        <v>159.38755798339841</v>
      </c>
      <c r="F243">
        <v>56.303058624267578</v>
      </c>
      <c r="G243">
        <v>138.10235595703119</v>
      </c>
      <c r="H243">
        <v>4754.6298828125</v>
      </c>
      <c r="I243">
        <f t="shared" si="19"/>
        <v>-5.5629546086806373E-3</v>
      </c>
      <c r="J243">
        <f t="shared" si="19"/>
        <v>9.63536397678166E-3</v>
      </c>
      <c r="K243">
        <f t="shared" si="19"/>
        <v>3.9960741855415106E-3</v>
      </c>
      <c r="L243">
        <f t="shared" si="19"/>
        <v>-5.9729671663861345E-4</v>
      </c>
      <c r="M243">
        <f t="shared" si="19"/>
        <v>2.5134699802018623E-3</v>
      </c>
      <c r="N243">
        <f t="shared" si="19"/>
        <v>7.0457858741554101E-3</v>
      </c>
      <c r="O243">
        <f t="shared" si="18"/>
        <v>1.6586821527610754E-3</v>
      </c>
    </row>
    <row r="244" spans="1:15" x14ac:dyDescent="0.35">
      <c r="A244" s="2">
        <v>45286</v>
      </c>
      <c r="B244">
        <v>191.24391174316409</v>
      </c>
      <c r="C244">
        <v>652.38580322265625</v>
      </c>
      <c r="D244">
        <v>146.85319519042969</v>
      </c>
      <c r="E244">
        <v>160.33018493652341</v>
      </c>
      <c r="F244">
        <v>56.736526489257813</v>
      </c>
      <c r="G244">
        <v>138.72978210449219</v>
      </c>
      <c r="H244">
        <v>4774.75</v>
      </c>
      <c r="I244">
        <f t="shared" si="19"/>
        <v>-2.8449058920036402E-3</v>
      </c>
      <c r="J244">
        <f t="shared" si="19"/>
        <v>4.4866513711420003E-3</v>
      </c>
      <c r="K244">
        <f t="shared" si="19"/>
        <v>4.3646917296908264E-3</v>
      </c>
      <c r="L244">
        <f t="shared" si="19"/>
        <v>5.8966366758479343E-3</v>
      </c>
      <c r="M244">
        <f t="shared" si="19"/>
        <v>7.6693485601231062E-3</v>
      </c>
      <c r="N244">
        <f t="shared" si="19"/>
        <v>4.532907386964216E-3</v>
      </c>
      <c r="O244">
        <f t="shared" si="18"/>
        <v>4.2227610469785593E-3</v>
      </c>
    </row>
    <row r="245" spans="1:15" x14ac:dyDescent="0.35">
      <c r="A245" s="2">
        <v>45287</v>
      </c>
      <c r="B245">
        <v>191.34297180175781</v>
      </c>
      <c r="C245">
        <v>659.48699951171875</v>
      </c>
      <c r="D245">
        <v>147.0506896972656</v>
      </c>
      <c r="E245">
        <v>161.2918395996094</v>
      </c>
      <c r="F245">
        <v>57.085178375244141</v>
      </c>
      <c r="G245">
        <v>138.84382629394531</v>
      </c>
      <c r="H245">
        <v>4781.580078125</v>
      </c>
      <c r="I245">
        <f t="shared" si="19"/>
        <v>5.1784347591608186E-4</v>
      </c>
      <c r="J245">
        <f t="shared" si="19"/>
        <v>1.0826149657813079E-2</v>
      </c>
      <c r="K245">
        <f t="shared" si="19"/>
        <v>1.3439396123474288E-3</v>
      </c>
      <c r="L245">
        <f t="shared" si="19"/>
        <v>5.9800477301263835E-3</v>
      </c>
      <c r="M245">
        <f t="shared" si="19"/>
        <v>6.1263003722300813E-3</v>
      </c>
      <c r="N245">
        <f t="shared" si="19"/>
        <v>8.2172218409593792E-4</v>
      </c>
      <c r="O245">
        <f t="shared" si="18"/>
        <v>1.4294356164229985E-3</v>
      </c>
    </row>
    <row r="246" spans="1:15" x14ac:dyDescent="0.35">
      <c r="A246" s="2">
        <v>45288</v>
      </c>
      <c r="B246">
        <v>191.7689514160156</v>
      </c>
      <c r="C246">
        <v>655.82757568359375</v>
      </c>
      <c r="D246">
        <v>147.26701354980469</v>
      </c>
      <c r="E246">
        <v>162.1487731933594</v>
      </c>
      <c r="F246">
        <v>57.499797821044922</v>
      </c>
      <c r="G246">
        <v>138.53013610839841</v>
      </c>
      <c r="H246">
        <v>4783.35009765625</v>
      </c>
      <c r="I246">
        <f t="shared" si="19"/>
        <v>2.2237876922610619E-3</v>
      </c>
      <c r="J246">
        <f t="shared" si="19"/>
        <v>-5.5643468703853735E-3</v>
      </c>
      <c r="K246">
        <f t="shared" si="19"/>
        <v>1.470002579573981E-3</v>
      </c>
      <c r="L246">
        <f t="shared" si="19"/>
        <v>5.2988744452101772E-3</v>
      </c>
      <c r="M246">
        <f t="shared" si="19"/>
        <v>7.236921787411945E-3</v>
      </c>
      <c r="N246">
        <f t="shared" si="19"/>
        <v>-2.2618584424197218E-3</v>
      </c>
      <c r="O246">
        <f t="shared" si="18"/>
        <v>3.701061103271183E-4</v>
      </c>
    </row>
    <row r="247" spans="1:15" x14ac:dyDescent="0.35">
      <c r="A247" s="2">
        <v>45289</v>
      </c>
      <c r="B247">
        <v>190.72877502441409</v>
      </c>
      <c r="C247">
        <v>652.8408203125</v>
      </c>
      <c r="D247">
        <v>147.41749572753909</v>
      </c>
      <c r="E247">
        <v>161.9583740234375</v>
      </c>
      <c r="F247">
        <v>57.235946655273438</v>
      </c>
      <c r="G247">
        <v>139.30010986328119</v>
      </c>
      <c r="H247">
        <v>4769.830078125</v>
      </c>
      <c r="I247">
        <f t="shared" si="19"/>
        <v>-5.4388765414870362E-3</v>
      </c>
      <c r="J247">
        <f t="shared" si="19"/>
        <v>-4.5645796384789815E-3</v>
      </c>
      <c r="K247">
        <f t="shared" si="19"/>
        <v>1.0213104936108292E-3</v>
      </c>
      <c r="L247">
        <f t="shared" si="19"/>
        <v>-1.1749151073006492E-3</v>
      </c>
      <c r="M247">
        <f t="shared" si="19"/>
        <v>-4.5992926108611512E-3</v>
      </c>
      <c r="N247">
        <f t="shared" si="19"/>
        <v>5.5427782779739884E-3</v>
      </c>
      <c r="O247">
        <f t="shared" si="18"/>
        <v>-2.8304770367338357E-3</v>
      </c>
    </row>
    <row r="248" spans="1:15" x14ac:dyDescent="0.35">
      <c r="A248" s="2">
        <v>45293</v>
      </c>
      <c r="B248">
        <v>183.9032287597656</v>
      </c>
      <c r="C248">
        <v>643.51422119140625</v>
      </c>
      <c r="D248">
        <v>150.45538330078119</v>
      </c>
      <c r="E248">
        <v>163.8435974121094</v>
      </c>
      <c r="F248">
        <v>58.01806640625</v>
      </c>
      <c r="G248">
        <v>141.39141845703119</v>
      </c>
      <c r="H248">
        <v>4742.830078125</v>
      </c>
      <c r="I248">
        <f t="shared" si="19"/>
        <v>-3.6442704198449576E-2</v>
      </c>
      <c r="J248">
        <f t="shared" si="19"/>
        <v>-1.4389206265340067E-2</v>
      </c>
      <c r="K248">
        <f t="shared" si="19"/>
        <v>2.0397915478799558E-2</v>
      </c>
      <c r="L248">
        <f t="shared" si="19"/>
        <v>1.1572946728766652E-2</v>
      </c>
      <c r="M248">
        <f t="shared" si="19"/>
        <v>1.3572312775964608E-2</v>
      </c>
      <c r="N248">
        <f t="shared" si="19"/>
        <v>1.4901392317071912E-2</v>
      </c>
      <c r="O248">
        <f t="shared" si="18"/>
        <v>-5.6766607997231619E-3</v>
      </c>
    </row>
    <row r="249" spans="1:15" x14ac:dyDescent="0.35">
      <c r="A249" s="2">
        <v>45294</v>
      </c>
      <c r="B249">
        <v>182.52622985839841</v>
      </c>
      <c r="C249">
        <v>637.6195068359375</v>
      </c>
      <c r="D249">
        <v>151.39591979980469</v>
      </c>
      <c r="E249">
        <v>163.1294860839844</v>
      </c>
      <c r="F249">
        <v>58.413841247558587</v>
      </c>
      <c r="G249">
        <v>140.535888671875</v>
      </c>
      <c r="H249">
        <v>4704.81005859375</v>
      </c>
      <c r="I249">
        <f t="shared" si="19"/>
        <v>-7.5158006589412683E-3</v>
      </c>
      <c r="J249">
        <f t="shared" si="19"/>
        <v>-9.2024053782674021E-3</v>
      </c>
      <c r="K249">
        <f t="shared" si="19"/>
        <v>6.2318070732476742E-3</v>
      </c>
      <c r="L249">
        <f t="shared" si="19"/>
        <v>-4.3680198743101155E-3</v>
      </c>
      <c r="M249">
        <f t="shared" si="19"/>
        <v>6.7984176094904201E-3</v>
      </c>
      <c r="N249">
        <f t="shared" si="19"/>
        <v>-6.0691702409023584E-3</v>
      </c>
      <c r="O249">
        <f t="shared" si="18"/>
        <v>-8.0486183271976479E-3</v>
      </c>
    </row>
    <row r="250" spans="1:15" x14ac:dyDescent="0.35">
      <c r="A250" s="2">
        <v>45295</v>
      </c>
      <c r="B250">
        <v>180.20811462402341</v>
      </c>
      <c r="C250">
        <v>641.23944091796875</v>
      </c>
      <c r="D250">
        <v>151.07609558105469</v>
      </c>
      <c r="E250">
        <v>164.21202087402341</v>
      </c>
      <c r="F250">
        <v>58.234794616699219</v>
      </c>
      <c r="G250">
        <v>141.30586242675781</v>
      </c>
      <c r="H250">
        <v>4688.68017578125</v>
      </c>
      <c r="I250">
        <f t="shared" si="19"/>
        <v>-1.2781512576300022E-2</v>
      </c>
      <c r="J250">
        <f t="shared" si="19"/>
        <v>5.6612087774164004E-3</v>
      </c>
      <c r="K250">
        <f t="shared" si="19"/>
        <v>-2.1147367139936766E-3</v>
      </c>
      <c r="L250">
        <f t="shared" si="19"/>
        <v>6.6141244752901595E-3</v>
      </c>
      <c r="M250">
        <f t="shared" si="19"/>
        <v>-3.0698476693454125E-3</v>
      </c>
      <c r="N250">
        <f t="shared" si="19"/>
        <v>5.4638865068812933E-3</v>
      </c>
      <c r="O250">
        <f t="shared" si="18"/>
        <v>-3.4342716633174288E-3</v>
      </c>
    </row>
    <row r="251" spans="1:15" x14ac:dyDescent="0.35">
      <c r="A251" s="2">
        <v>45296</v>
      </c>
      <c r="B251">
        <v>179.48493957519531</v>
      </c>
      <c r="C251">
        <v>648.81536865234375</v>
      </c>
      <c r="D251">
        <v>151.54638671875</v>
      </c>
      <c r="E251">
        <v>165.03590393066409</v>
      </c>
      <c r="F251">
        <v>58.498645782470703</v>
      </c>
      <c r="G251">
        <v>140.13664245605469</v>
      </c>
      <c r="H251">
        <v>4697.240234375</v>
      </c>
      <c r="I251">
        <f t="shared" si="19"/>
        <v>-4.0210730499517728E-3</v>
      </c>
      <c r="J251">
        <f t="shared" si="19"/>
        <v>1.1745260387845697E-2</v>
      </c>
      <c r="K251">
        <f t="shared" si="19"/>
        <v>3.1081069239700236E-3</v>
      </c>
      <c r="L251">
        <f t="shared" si="19"/>
        <v>5.0046467369143097E-3</v>
      </c>
      <c r="M251">
        <f t="shared" si="19"/>
        <v>4.5205832056422496E-3</v>
      </c>
      <c r="N251">
        <f t="shared" si="19"/>
        <v>-8.3088138925039769E-3</v>
      </c>
      <c r="O251">
        <f t="shared" si="18"/>
        <v>1.8240216394339805E-3</v>
      </c>
    </row>
    <row r="252" spans="1:15" x14ac:dyDescent="0.35">
      <c r="A252" s="2">
        <v>45299</v>
      </c>
      <c r="B252">
        <v>183.823974609375</v>
      </c>
      <c r="C252">
        <v>654.43316650390625</v>
      </c>
      <c r="D252">
        <v>151.922607421875</v>
      </c>
      <c r="E252">
        <v>164.79643249511719</v>
      </c>
      <c r="F252">
        <v>59.290184020996087</v>
      </c>
      <c r="G252">
        <v>141.3439025878906</v>
      </c>
      <c r="H252">
        <v>4763.5400390625</v>
      </c>
      <c r="I252">
        <f t="shared" si="19"/>
        <v>2.3887337666045016E-2</v>
      </c>
      <c r="J252">
        <f t="shared" si="19"/>
        <v>8.6212759820773789E-3</v>
      </c>
      <c r="K252">
        <f t="shared" si="19"/>
        <v>2.4794684342192689E-3</v>
      </c>
      <c r="L252">
        <f t="shared" si="19"/>
        <v>-1.4520800490320672E-3</v>
      </c>
      <c r="M252">
        <f t="shared" si="19"/>
        <v>1.3440156506428087E-2</v>
      </c>
      <c r="N252">
        <f t="shared" si="19"/>
        <v>8.5779820721448956E-3</v>
      </c>
      <c r="O252">
        <f t="shared" si="18"/>
        <v>1.4015945436353141E-2</v>
      </c>
    </row>
    <row r="253" spans="1:15" x14ac:dyDescent="0.35">
      <c r="A253" s="2">
        <v>45300</v>
      </c>
      <c r="B253">
        <v>183.40791320800781</v>
      </c>
      <c r="C253">
        <v>659.86285400390625</v>
      </c>
      <c r="D253">
        <v>152.01666259765619</v>
      </c>
      <c r="E253">
        <v>163.49351501464841</v>
      </c>
      <c r="F253">
        <v>58.432682037353523</v>
      </c>
      <c r="G253">
        <v>141.92375183105469</v>
      </c>
      <c r="H253">
        <v>4756.5</v>
      </c>
      <c r="I253">
        <f t="shared" si="19"/>
        <v>-2.2659338319488587E-3</v>
      </c>
      <c r="J253">
        <f t="shared" si="19"/>
        <v>8.2625501493097577E-3</v>
      </c>
      <c r="K253">
        <f t="shared" si="19"/>
        <v>6.1890770993462815E-4</v>
      </c>
      <c r="L253">
        <f t="shared" si="19"/>
        <v>-7.9376437282562707E-3</v>
      </c>
      <c r="M253">
        <f t="shared" si="19"/>
        <v>-1.4568404228307371E-2</v>
      </c>
      <c r="N253">
        <f t="shared" si="19"/>
        <v>4.0940082216802806E-3</v>
      </c>
      <c r="O253">
        <f t="shared" si="18"/>
        <v>-1.4789938523175842E-3</v>
      </c>
    </row>
    <row r="254" spans="1:15" x14ac:dyDescent="0.35">
      <c r="A254" s="2">
        <v>45301</v>
      </c>
      <c r="B254">
        <v>184.44805908203119</v>
      </c>
      <c r="C254">
        <v>665.3817138671875</v>
      </c>
      <c r="D254">
        <v>152.24237060546881</v>
      </c>
      <c r="E254">
        <v>163.8384094238281</v>
      </c>
      <c r="F254">
        <v>58.687103271484382</v>
      </c>
      <c r="G254">
        <v>142.53215026855469</v>
      </c>
      <c r="H254">
        <v>4783.4501953125</v>
      </c>
      <c r="I254">
        <f t="shared" si="19"/>
        <v>5.6551951006373596E-3</v>
      </c>
      <c r="J254">
        <f t="shared" si="19"/>
        <v>8.328865328937821E-3</v>
      </c>
      <c r="K254">
        <f t="shared" si="19"/>
        <v>1.4836571775012877E-3</v>
      </c>
      <c r="L254">
        <f t="shared" si="19"/>
        <v>2.1073076657811543E-3</v>
      </c>
      <c r="M254">
        <f t="shared" si="19"/>
        <v>4.344639697933062E-3</v>
      </c>
      <c r="N254">
        <f t="shared" si="19"/>
        <v>4.2776357299935917E-3</v>
      </c>
      <c r="O254">
        <f t="shared" si="18"/>
        <v>5.6499806504959121E-3</v>
      </c>
    </row>
    <row r="255" spans="1:15" x14ac:dyDescent="0.35">
      <c r="A255" s="2">
        <v>45302</v>
      </c>
      <c r="B255">
        <v>183.85368347167969</v>
      </c>
      <c r="C255">
        <v>666.19268798828125</v>
      </c>
      <c r="D255">
        <v>151.56517028808591</v>
      </c>
      <c r="E255">
        <v>163.1486511230469</v>
      </c>
      <c r="F255">
        <v>57.217105865478523</v>
      </c>
      <c r="G255">
        <v>143.07398986816409</v>
      </c>
      <c r="H255">
        <v>4780.240234375</v>
      </c>
      <c r="I255">
        <f t="shared" si="19"/>
        <v>-3.2276585075939842E-3</v>
      </c>
      <c r="J255">
        <f t="shared" si="19"/>
        <v>1.2180682059270117E-3</v>
      </c>
      <c r="K255">
        <f t="shared" si="19"/>
        <v>-4.4580949964693082E-3</v>
      </c>
      <c r="L255">
        <f t="shared" si="19"/>
        <v>-4.2188784027573237E-3</v>
      </c>
      <c r="M255">
        <f t="shared" si="19"/>
        <v>-2.5367089657905451E-2</v>
      </c>
      <c r="N255">
        <f t="shared" si="19"/>
        <v>3.794317933186448E-3</v>
      </c>
      <c r="O255">
        <f t="shared" si="18"/>
        <v>-6.7128083696116466E-4</v>
      </c>
    </row>
    <row r="256" spans="1:15" x14ac:dyDescent="0.35">
      <c r="A256" s="2">
        <v>45303</v>
      </c>
      <c r="B256">
        <v>184.18060302734381</v>
      </c>
      <c r="C256">
        <v>675.7467041015625</v>
      </c>
      <c r="D256">
        <v>152.73143005371091</v>
      </c>
      <c r="E256">
        <v>161.95112609863281</v>
      </c>
      <c r="F256">
        <v>57.518646240234382</v>
      </c>
      <c r="G256">
        <v>143.15953063964841</v>
      </c>
      <c r="H256">
        <v>4783.830078125</v>
      </c>
      <c r="I256">
        <f t="shared" si="19"/>
        <v>1.7765716599911334E-3</v>
      </c>
      <c r="J256">
        <f t="shared" si="19"/>
        <v>1.4239357752710973E-2</v>
      </c>
      <c r="K256">
        <f t="shared" si="19"/>
        <v>7.6653204460157146E-3</v>
      </c>
      <c r="L256">
        <f t="shared" si="19"/>
        <v>-7.3671563293489801E-3</v>
      </c>
      <c r="M256">
        <f t="shared" si="19"/>
        <v>5.2562704035561377E-3</v>
      </c>
      <c r="N256">
        <f t="shared" si="19"/>
        <v>5.9769920643207113E-4</v>
      </c>
      <c r="O256">
        <f t="shared" si="18"/>
        <v>7.5069375303395949E-4</v>
      </c>
    </row>
    <row r="257" spans="1:15" x14ac:dyDescent="0.35">
      <c r="A257" s="2">
        <v>45307</v>
      </c>
      <c r="B257">
        <v>181.91203308105469</v>
      </c>
      <c r="C257">
        <v>674.0159912109375</v>
      </c>
      <c r="D257">
        <v>150.97265625</v>
      </c>
      <c r="E257">
        <v>160.9356689453125</v>
      </c>
      <c r="F257">
        <v>56.868446350097663</v>
      </c>
      <c r="G257">
        <v>142.38954162597659</v>
      </c>
      <c r="H257">
        <v>4765.97998046875</v>
      </c>
      <c r="I257">
        <f t="shared" si="19"/>
        <v>-1.2393578893999951E-2</v>
      </c>
      <c r="J257">
        <f t="shared" si="19"/>
        <v>-2.5644712883828458E-3</v>
      </c>
      <c r="K257">
        <f t="shared" si="19"/>
        <v>-1.1582283838162385E-2</v>
      </c>
      <c r="L257">
        <f t="shared" si="19"/>
        <v>-6.2898855992472857E-3</v>
      </c>
      <c r="M257">
        <f t="shared" si="19"/>
        <v>-1.1368536051507483E-2</v>
      </c>
      <c r="N257">
        <f t="shared" si="19"/>
        <v>-5.3930546776072407E-3</v>
      </c>
      <c r="O257">
        <f t="shared" si="18"/>
        <v>-3.7383190523568345E-3</v>
      </c>
    </row>
    <row r="258" spans="1:15" x14ac:dyDescent="0.35">
      <c r="A258" s="2">
        <v>45308</v>
      </c>
      <c r="B258">
        <v>180.9709167480469</v>
      </c>
      <c r="C258">
        <v>676.686279296875</v>
      </c>
      <c r="D258">
        <v>150.8880310058594</v>
      </c>
      <c r="E258">
        <v>160.07342529296881</v>
      </c>
      <c r="F258">
        <v>54.908443450927727</v>
      </c>
      <c r="G258">
        <v>142.53215026855469</v>
      </c>
      <c r="H258">
        <v>4739.2099609375</v>
      </c>
      <c r="I258">
        <f t="shared" si="19"/>
        <v>-5.1868981081970049E-3</v>
      </c>
      <c r="J258">
        <f t="shared" si="19"/>
        <v>3.9539306671585546E-3</v>
      </c>
      <c r="K258">
        <f t="shared" si="19"/>
        <v>-5.6069074199027139E-4</v>
      </c>
      <c r="L258">
        <f t="shared" si="19"/>
        <v>-5.3720953173750875E-3</v>
      </c>
      <c r="M258">
        <f t="shared" si="19"/>
        <v>-3.5073508012159943E-2</v>
      </c>
      <c r="N258">
        <f t="shared" si="19"/>
        <v>1.0010375379886202E-3</v>
      </c>
      <c r="O258">
        <f t="shared" si="18"/>
        <v>-5.6327312711078213E-3</v>
      </c>
    </row>
    <row r="259" spans="1:15" x14ac:dyDescent="0.35">
      <c r="A259" s="2">
        <v>45309</v>
      </c>
      <c r="B259">
        <v>186.8652648925781</v>
      </c>
      <c r="C259">
        <v>679.77215576171875</v>
      </c>
      <c r="D259">
        <v>151.62164306640619</v>
      </c>
      <c r="E259">
        <v>160.38957214355469</v>
      </c>
      <c r="F259">
        <v>54.324211120605469</v>
      </c>
      <c r="G259">
        <v>141.7104187011719</v>
      </c>
      <c r="H259">
        <v>4780.93994140625</v>
      </c>
      <c r="I259">
        <f t="shared" si="19"/>
        <v>3.205151116244017E-2</v>
      </c>
      <c r="J259">
        <f t="shared" si="19"/>
        <v>4.5499098367541933E-3</v>
      </c>
      <c r="K259">
        <f t="shared" si="19"/>
        <v>4.8501820706163953E-3</v>
      </c>
      <c r="L259">
        <f t="shared" si="19"/>
        <v>1.973063696449404E-3</v>
      </c>
      <c r="M259">
        <f t="shared" si="19"/>
        <v>-1.0697129053135732E-2</v>
      </c>
      <c r="N259">
        <f t="shared" si="19"/>
        <v>-5.7819197146153183E-3</v>
      </c>
      <c r="O259">
        <f t="shared" si="18"/>
        <v>8.7667207262431476E-3</v>
      </c>
    </row>
    <row r="260" spans="1:15" x14ac:dyDescent="0.35">
      <c r="A260" s="2">
        <v>45310</v>
      </c>
      <c r="B260">
        <v>189.76783752441409</v>
      </c>
      <c r="C260">
        <v>687.34808349609375</v>
      </c>
      <c r="D260">
        <v>152.06365966796881</v>
      </c>
      <c r="E260">
        <v>163.158203125</v>
      </c>
      <c r="F260">
        <v>53.956699371337891</v>
      </c>
      <c r="G260">
        <v>141.1651611328125</v>
      </c>
      <c r="H260">
        <v>4839.81005859375</v>
      </c>
      <c r="I260">
        <f t="shared" si="19"/>
        <v>1.5413568688583488E-2</v>
      </c>
      <c r="J260">
        <f t="shared" si="19"/>
        <v>1.1083158696132616E-2</v>
      </c>
      <c r="K260">
        <f t="shared" si="19"/>
        <v>2.9110194646979779E-3</v>
      </c>
      <c r="L260">
        <f t="shared" si="19"/>
        <v>1.7114619680756987E-2</v>
      </c>
      <c r="M260">
        <f t="shared" si="19"/>
        <v>-6.7881431511399356E-3</v>
      </c>
      <c r="N260">
        <f t="shared" si="19"/>
        <v>-3.8551100379537241E-3</v>
      </c>
      <c r="O260">
        <f t="shared" si="18"/>
        <v>1.2238308232548512E-2</v>
      </c>
    </row>
    <row r="261" spans="1:15" x14ac:dyDescent="0.35">
      <c r="A261" s="2">
        <v>45313</v>
      </c>
      <c r="B261">
        <v>192.07603454589841</v>
      </c>
      <c r="C261">
        <v>684.9150390625</v>
      </c>
      <c r="D261">
        <v>152.8066711425781</v>
      </c>
      <c r="E261">
        <v>162.96662902832031</v>
      </c>
      <c r="F261">
        <v>53.570354461669922</v>
      </c>
      <c r="G261">
        <v>141.4425964355469</v>
      </c>
      <c r="H261">
        <v>4850.43017578125</v>
      </c>
      <c r="I261">
        <f t="shared" si="19"/>
        <v>1.2089889638848326E-2</v>
      </c>
      <c r="J261">
        <f t="shared" si="19"/>
        <v>-3.5460356590456717E-3</v>
      </c>
      <c r="K261">
        <f t="shared" si="19"/>
        <v>4.8742883160503049E-3</v>
      </c>
      <c r="L261">
        <f t="shared" si="19"/>
        <v>-1.1748514668459898E-3</v>
      </c>
      <c r="M261">
        <f t="shared" si="19"/>
        <v>-7.1860347407703097E-3</v>
      </c>
      <c r="N261">
        <f t="shared" si="19"/>
        <v>1.9633954442427322E-3</v>
      </c>
      <c r="O261">
        <f t="shared" si="18"/>
        <v>2.1919211872316853E-3</v>
      </c>
    </row>
    <row r="262" spans="1:15" x14ac:dyDescent="0.35">
      <c r="A262" s="2">
        <v>45314</v>
      </c>
      <c r="B262">
        <v>193.35394287109381</v>
      </c>
      <c r="C262">
        <v>680.04901123046875</v>
      </c>
      <c r="D262">
        <v>150.3049011230469</v>
      </c>
      <c r="E262">
        <v>161.89363098144531</v>
      </c>
      <c r="F262">
        <v>54.069786071777337</v>
      </c>
      <c r="G262">
        <v>147.29693603515619</v>
      </c>
      <c r="H262">
        <v>4864.60009765625</v>
      </c>
      <c r="I262">
        <f t="shared" si="19"/>
        <v>6.6311033531344099E-3</v>
      </c>
      <c r="J262">
        <f t="shared" si="19"/>
        <v>-7.129929092330586E-3</v>
      </c>
      <c r="K262">
        <f t="shared" si="19"/>
        <v>-1.6507629926402739E-2</v>
      </c>
      <c r="L262">
        <f t="shared" ref="L262:O325" si="20">LN(E262/E261)</f>
        <v>-6.605929262164972E-3</v>
      </c>
      <c r="M262">
        <f t="shared" si="20"/>
        <v>9.2797202158716174E-3</v>
      </c>
      <c r="N262">
        <f t="shared" si="20"/>
        <v>4.0556566532079376E-2</v>
      </c>
      <c r="O262">
        <f t="shared" si="18"/>
        <v>2.9171153407644861E-3</v>
      </c>
    </row>
    <row r="263" spans="1:15" x14ac:dyDescent="0.35">
      <c r="A263" s="2">
        <v>45315</v>
      </c>
      <c r="B263">
        <v>192.6803283691406</v>
      </c>
      <c r="C263">
        <v>678.98101806640625</v>
      </c>
      <c r="D263">
        <v>149.50544738769531</v>
      </c>
      <c r="E263">
        <v>163.34022521972659</v>
      </c>
      <c r="F263">
        <v>53.72113037109375</v>
      </c>
      <c r="G263">
        <v>145.51768493652341</v>
      </c>
      <c r="H263">
        <v>4868.5498046875</v>
      </c>
      <c r="I263">
        <f t="shared" ref="I263:O326" si="21">LN(B263/B262)</f>
        <v>-3.4899242675194534E-3</v>
      </c>
      <c r="J263">
        <f t="shared" si="21"/>
        <v>-1.5716994634252912E-3</v>
      </c>
      <c r="K263">
        <f t="shared" si="21"/>
        <v>-5.3330756202391019E-3</v>
      </c>
      <c r="L263">
        <f t="shared" si="20"/>
        <v>8.8957760722173252E-3</v>
      </c>
      <c r="M263">
        <f t="shared" si="20"/>
        <v>-6.4691335432748064E-3</v>
      </c>
      <c r="N263">
        <f t="shared" si="20"/>
        <v>-1.2152897223772639E-2</v>
      </c>
      <c r="O263">
        <f t="shared" si="18"/>
        <v>8.1159897621686534E-4</v>
      </c>
    </row>
    <row r="264" spans="1:15" x14ac:dyDescent="0.35">
      <c r="A264" s="2">
        <v>45316</v>
      </c>
      <c r="B264">
        <v>192.35343933105469</v>
      </c>
      <c r="C264">
        <v>672.443359375</v>
      </c>
      <c r="D264">
        <v>150.06976318359381</v>
      </c>
      <c r="E264">
        <v>165.67778015136719</v>
      </c>
      <c r="F264">
        <v>54.635166168212891</v>
      </c>
      <c r="G264">
        <v>148.86576843261719</v>
      </c>
      <c r="H264">
        <v>4894.16015625</v>
      </c>
      <c r="I264">
        <f t="shared" si="21"/>
        <v>-1.6979763545253072E-3</v>
      </c>
      <c r="J264">
        <f t="shared" si="21"/>
        <v>-9.6752874970887047E-3</v>
      </c>
      <c r="K264">
        <f t="shared" si="21"/>
        <v>3.7674443242258562E-3</v>
      </c>
      <c r="L264">
        <f t="shared" si="20"/>
        <v>1.4209521817997731E-2</v>
      </c>
      <c r="M264">
        <f t="shared" si="20"/>
        <v>1.6871331104453637E-2</v>
      </c>
      <c r="N264">
        <f t="shared" si="20"/>
        <v>2.2747391722993743E-2</v>
      </c>
      <c r="O264">
        <f t="shared" si="18"/>
        <v>5.2465781349779802E-3</v>
      </c>
    </row>
    <row r="265" spans="1:15" x14ac:dyDescent="0.35">
      <c r="A265" s="2">
        <v>45317</v>
      </c>
      <c r="B265">
        <v>190.61981201171881</v>
      </c>
      <c r="C265">
        <v>679.346923828125</v>
      </c>
      <c r="D265">
        <v>150.0133361816406</v>
      </c>
      <c r="E265">
        <v>165.04547119140619</v>
      </c>
      <c r="F265">
        <v>55.106327056884773</v>
      </c>
      <c r="G265">
        <v>149.36320495605469</v>
      </c>
      <c r="H265">
        <v>4890.97021484375</v>
      </c>
      <c r="I265">
        <f t="shared" si="21"/>
        <v>-9.053578311109766E-3</v>
      </c>
      <c r="J265">
        <f t="shared" si="21"/>
        <v>1.0214046598310076E-2</v>
      </c>
      <c r="K265">
        <f t="shared" si="21"/>
        <v>-3.7607584524166249E-4</v>
      </c>
      <c r="L265">
        <f t="shared" si="20"/>
        <v>-3.8237996743968232E-3</v>
      </c>
      <c r="M265">
        <f t="shared" si="20"/>
        <v>8.5867937428509549E-3</v>
      </c>
      <c r="N265">
        <f t="shared" si="20"/>
        <v>3.3359400268541586E-3</v>
      </c>
      <c r="O265">
        <f t="shared" si="18"/>
        <v>-6.5199775542636477E-4</v>
      </c>
    </row>
    <row r="266" spans="1:15" x14ac:dyDescent="0.35">
      <c r="A266" s="2">
        <v>45320</v>
      </c>
      <c r="B266">
        <v>189.9362487792969</v>
      </c>
      <c r="C266">
        <v>686.39862060546875</v>
      </c>
      <c r="D266">
        <v>149.88166809082031</v>
      </c>
      <c r="E266">
        <v>165.4765930175781</v>
      </c>
      <c r="F266">
        <v>56.133441925048828</v>
      </c>
      <c r="G266">
        <v>149.38233947753909</v>
      </c>
      <c r="H266">
        <v>4927.93017578125</v>
      </c>
      <c r="I266">
        <f t="shared" si="21"/>
        <v>-3.592448198854951E-3</v>
      </c>
      <c r="J266">
        <f t="shared" si="21"/>
        <v>1.0326608014745248E-2</v>
      </c>
      <c r="K266">
        <f t="shared" si="21"/>
        <v>-8.7809464915850251E-4</v>
      </c>
      <c r="L266">
        <f t="shared" si="20"/>
        <v>2.6087339839374955E-3</v>
      </c>
      <c r="M266">
        <f t="shared" si="20"/>
        <v>1.8467209484828082E-2</v>
      </c>
      <c r="N266">
        <f t="shared" si="20"/>
        <v>1.2809912560759955E-4</v>
      </c>
      <c r="O266">
        <f t="shared" si="18"/>
        <v>7.5283655052462038E-3</v>
      </c>
    </row>
    <row r="267" spans="1:15" x14ac:dyDescent="0.35">
      <c r="A267" s="2">
        <v>45321</v>
      </c>
      <c r="B267">
        <v>186.28076171875</v>
      </c>
      <c r="C267">
        <v>693.05487060546875</v>
      </c>
      <c r="D267">
        <v>149.32673645019531</v>
      </c>
      <c r="E267">
        <v>168.8679504394531</v>
      </c>
      <c r="F267">
        <v>55.860176086425781</v>
      </c>
      <c r="G267">
        <v>150.65461730957031</v>
      </c>
      <c r="H267">
        <v>4924.97021484375</v>
      </c>
      <c r="I267">
        <f t="shared" si="21"/>
        <v>-1.943347590396995E-2</v>
      </c>
      <c r="J267">
        <f t="shared" si="21"/>
        <v>9.6506358540159719E-3</v>
      </c>
      <c r="K267">
        <f t="shared" si="21"/>
        <v>-3.7093361582511068E-3</v>
      </c>
      <c r="L267">
        <f t="shared" si="20"/>
        <v>2.0287298260380608E-2</v>
      </c>
      <c r="M267">
        <f t="shared" si="20"/>
        <v>-4.8800348767685789E-3</v>
      </c>
      <c r="N267">
        <f t="shared" si="20"/>
        <v>8.4808583006365113E-3</v>
      </c>
      <c r="O267">
        <f t="shared" si="18"/>
        <v>-6.0083039697861622E-4</v>
      </c>
    </row>
    <row r="268" spans="1:15" x14ac:dyDescent="0.35">
      <c r="A268" s="2">
        <v>45322</v>
      </c>
      <c r="B268">
        <v>182.6748046875</v>
      </c>
      <c r="C268">
        <v>687.259033203125</v>
      </c>
      <c r="D268">
        <v>149.4490051269531</v>
      </c>
      <c r="E268">
        <v>167.03814697265619</v>
      </c>
      <c r="F268">
        <v>55.247673034667969</v>
      </c>
      <c r="G268">
        <v>150.3197937011719</v>
      </c>
      <c r="H268">
        <v>4845.64990234375</v>
      </c>
      <c r="I268">
        <f t="shared" si="21"/>
        <v>-1.9547458715796957E-2</v>
      </c>
      <c r="J268">
        <f t="shared" si="21"/>
        <v>-8.3979034751821766E-3</v>
      </c>
      <c r="K268">
        <f t="shared" si="21"/>
        <v>8.184645978140426E-4</v>
      </c>
      <c r="L268">
        <f t="shared" si="20"/>
        <v>-1.089483983939875E-2</v>
      </c>
      <c r="M268">
        <f t="shared" si="20"/>
        <v>-1.1025490301894193E-2</v>
      </c>
      <c r="N268">
        <f t="shared" si="20"/>
        <v>-2.2249316504860312E-3</v>
      </c>
      <c r="O268">
        <f t="shared" si="18"/>
        <v>-1.6236851740733683E-2</v>
      </c>
    </row>
    <row r="269" spans="1:15" x14ac:dyDescent="0.35">
      <c r="A269" s="2">
        <v>45323</v>
      </c>
      <c r="B269">
        <v>185.11183166503909</v>
      </c>
      <c r="C269">
        <v>697.77801513671875</v>
      </c>
      <c r="D269">
        <v>148.94114685058591</v>
      </c>
      <c r="E269">
        <v>166.43458557128909</v>
      </c>
      <c r="F269">
        <v>56.303058624267578</v>
      </c>
      <c r="G269">
        <v>152.27125549316409</v>
      </c>
      <c r="H269">
        <v>4906.18994140625</v>
      </c>
      <c r="I269">
        <f t="shared" si="21"/>
        <v>1.3252589434751261E-2</v>
      </c>
      <c r="J269">
        <f t="shared" si="21"/>
        <v>1.5189751346904784E-2</v>
      </c>
      <c r="K269">
        <f t="shared" si="21"/>
        <v>-3.403991474835842E-3</v>
      </c>
      <c r="L269">
        <f t="shared" si="20"/>
        <v>-3.6198585462760289E-3</v>
      </c>
      <c r="M269">
        <f t="shared" si="20"/>
        <v>1.8922638430285924E-2</v>
      </c>
      <c r="N269">
        <f t="shared" si="20"/>
        <v>1.2898523289529644E-2</v>
      </c>
      <c r="O269">
        <f t="shared" si="18"/>
        <v>1.2416286114049784E-2</v>
      </c>
    </row>
    <row r="270" spans="1:15" x14ac:dyDescent="0.35">
      <c r="A270" s="2">
        <v>45324</v>
      </c>
      <c r="B270">
        <v>184.11128234863281</v>
      </c>
      <c r="C270">
        <v>702.73040771484375</v>
      </c>
      <c r="D270">
        <v>147.29522705078119</v>
      </c>
      <c r="E270">
        <v>167.3926086425781</v>
      </c>
      <c r="F270">
        <v>54.795368194580078</v>
      </c>
      <c r="G270">
        <v>151.22857666015619</v>
      </c>
      <c r="H270">
        <v>4958.60986328125</v>
      </c>
      <c r="I270">
        <f t="shared" si="21"/>
        <v>-5.4197677642479182E-3</v>
      </c>
      <c r="J270">
        <f t="shared" si="21"/>
        <v>7.0723076555729127E-3</v>
      </c>
      <c r="K270">
        <f t="shared" si="21"/>
        <v>-1.1112320307667413E-2</v>
      </c>
      <c r="L270">
        <f t="shared" si="20"/>
        <v>5.7396504416205108E-3</v>
      </c>
      <c r="M270">
        <f t="shared" si="20"/>
        <v>-2.7143192536546675E-2</v>
      </c>
      <c r="N270">
        <f t="shared" si="20"/>
        <v>-6.8710610335943993E-3</v>
      </c>
      <c r="O270">
        <f t="shared" si="18"/>
        <v>1.062777072263312E-2</v>
      </c>
    </row>
    <row r="271" spans="1:15" x14ac:dyDescent="0.35">
      <c r="A271" s="2">
        <v>45327</v>
      </c>
      <c r="B271">
        <v>185.92414855957031</v>
      </c>
      <c r="C271">
        <v>704.39447021484375</v>
      </c>
      <c r="D271">
        <v>146.5334167480469</v>
      </c>
      <c r="E271">
        <v>167.1722717285156</v>
      </c>
      <c r="F271">
        <v>52.741130828857422</v>
      </c>
      <c r="G271">
        <v>151.34336853027341</v>
      </c>
      <c r="H271">
        <v>4942.81005859375</v>
      </c>
      <c r="I271">
        <f t="shared" si="21"/>
        <v>9.7984169286182646E-3</v>
      </c>
      <c r="J271">
        <f t="shared" si="21"/>
        <v>2.3651962975738683E-3</v>
      </c>
      <c r="K271">
        <f t="shared" si="21"/>
        <v>-5.1854169143079262E-3</v>
      </c>
      <c r="L271">
        <f t="shared" si="20"/>
        <v>-1.3171552595316203E-3</v>
      </c>
      <c r="M271">
        <f t="shared" si="20"/>
        <v>-3.8210046111158386E-2</v>
      </c>
      <c r="N271">
        <f t="shared" si="20"/>
        <v>7.5877408629186518E-4</v>
      </c>
      <c r="O271">
        <f t="shared" si="18"/>
        <v>-3.1914247092839714E-3</v>
      </c>
    </row>
    <row r="272" spans="1:15" x14ac:dyDescent="0.35">
      <c r="A272" s="2">
        <v>45328</v>
      </c>
      <c r="B272">
        <v>187.52899169921881</v>
      </c>
      <c r="C272">
        <v>704.02801513671875</v>
      </c>
      <c r="D272">
        <v>148.65898132324219</v>
      </c>
      <c r="E272">
        <v>167.74708557128909</v>
      </c>
      <c r="F272">
        <v>52.986125946044922</v>
      </c>
      <c r="G272">
        <v>152.0608215332031</v>
      </c>
      <c r="H272">
        <v>4954.22998046875</v>
      </c>
      <c r="I272">
        <f t="shared" si="21"/>
        <v>8.5946687578951318E-3</v>
      </c>
      <c r="J272">
        <f t="shared" si="21"/>
        <v>-5.2037664863453261E-4</v>
      </c>
      <c r="K272">
        <f t="shared" si="21"/>
        <v>1.4401463765190805E-2</v>
      </c>
      <c r="L272">
        <f t="shared" si="20"/>
        <v>3.4325541037672769E-3</v>
      </c>
      <c r="M272">
        <f t="shared" si="20"/>
        <v>4.634482406331613E-3</v>
      </c>
      <c r="N272">
        <f t="shared" si="20"/>
        <v>4.7293634280029372E-3</v>
      </c>
      <c r="O272">
        <f t="shared" si="18"/>
        <v>2.3077459317481074E-3</v>
      </c>
    </row>
    <row r="273" spans="1:15" x14ac:dyDescent="0.35">
      <c r="A273" s="2">
        <v>45329</v>
      </c>
      <c r="B273">
        <v>187.6379699707031</v>
      </c>
      <c r="C273">
        <v>712.93255615234375</v>
      </c>
      <c r="D273">
        <v>148.583740234375</v>
      </c>
      <c r="E273">
        <v>168.06321716308591</v>
      </c>
      <c r="F273">
        <v>53.127471923828118</v>
      </c>
      <c r="G273">
        <v>152.21385192871091</v>
      </c>
      <c r="H273">
        <v>4995.06005859375</v>
      </c>
      <c r="I273">
        <f t="shared" si="21"/>
        <v>5.8095880332502718E-4</v>
      </c>
      <c r="J273">
        <f t="shared" si="21"/>
        <v>1.2568674693964889E-2</v>
      </c>
      <c r="K273">
        <f t="shared" si="21"/>
        <v>-5.0626027160515169E-4</v>
      </c>
      <c r="L273">
        <f t="shared" si="20"/>
        <v>1.8827992030704753E-3</v>
      </c>
      <c r="M273">
        <f t="shared" si="20"/>
        <v>2.6640518127170119E-3</v>
      </c>
      <c r="N273">
        <f t="shared" si="20"/>
        <v>1.005870167696827E-3</v>
      </c>
      <c r="O273">
        <f t="shared" si="18"/>
        <v>8.2076825940086279E-3</v>
      </c>
    </row>
    <row r="274" spans="1:15" x14ac:dyDescent="0.35">
      <c r="A274" s="2">
        <v>45330</v>
      </c>
      <c r="B274">
        <v>186.55815124511719</v>
      </c>
      <c r="C274">
        <v>717.2708740234375</v>
      </c>
      <c r="D274">
        <v>147.0976867675781</v>
      </c>
      <c r="E274">
        <v>167.45967102050781</v>
      </c>
      <c r="F274">
        <v>53.04266357421875</v>
      </c>
      <c r="G274">
        <v>151.75471496582031</v>
      </c>
      <c r="H274">
        <v>4997.91015625</v>
      </c>
      <c r="I274">
        <f t="shared" si="21"/>
        <v>-5.771421250492105E-3</v>
      </c>
      <c r="J274">
        <f t="shared" si="21"/>
        <v>6.0667330054228665E-3</v>
      </c>
      <c r="K274">
        <f t="shared" si="21"/>
        <v>-1.0051804702531109E-2</v>
      </c>
      <c r="L274">
        <f t="shared" si="20"/>
        <v>-3.5976490118102221E-3</v>
      </c>
      <c r="M274">
        <f t="shared" si="20"/>
        <v>-1.5975936594523157E-3</v>
      </c>
      <c r="N274">
        <f t="shared" si="20"/>
        <v>-3.0209525725692732E-3</v>
      </c>
      <c r="O274">
        <f t="shared" si="18"/>
        <v>5.7042054009059505E-4</v>
      </c>
    </row>
    <row r="275" spans="1:15" x14ac:dyDescent="0.35">
      <c r="A275" s="2">
        <v>45331</v>
      </c>
      <c r="B275">
        <v>187.3219299316406</v>
      </c>
      <c r="C275">
        <v>716.51812744140625</v>
      </c>
      <c r="D275">
        <v>147.43629455566409</v>
      </c>
      <c r="E275">
        <v>167.6608581542969</v>
      </c>
      <c r="F275">
        <v>53.315933227539063</v>
      </c>
      <c r="G275">
        <v>150.58766174316409</v>
      </c>
      <c r="H275">
        <v>5026.60986328125</v>
      </c>
      <c r="I275">
        <f t="shared" si="21"/>
        <v>4.0856937154403758E-3</v>
      </c>
      <c r="J275">
        <f t="shared" si="21"/>
        <v>-1.050010357761418E-3</v>
      </c>
      <c r="K275">
        <f t="shared" si="21"/>
        <v>2.2992792596684859E-3</v>
      </c>
      <c r="L275">
        <f t="shared" si="20"/>
        <v>1.2006853680646354E-3</v>
      </c>
      <c r="M275">
        <f t="shared" si="20"/>
        <v>5.1386585168094823E-3</v>
      </c>
      <c r="N275">
        <f t="shared" si="20"/>
        <v>-7.7201153985490996E-3</v>
      </c>
      <c r="O275">
        <f t="shared" si="18"/>
        <v>5.7259171287955156E-3</v>
      </c>
    </row>
    <row r="276" spans="1:15" x14ac:dyDescent="0.35">
      <c r="A276" s="2">
        <v>45334</v>
      </c>
      <c r="B276">
        <v>185.63566589355469</v>
      </c>
      <c r="C276">
        <v>715.53753662109375</v>
      </c>
      <c r="D276">
        <v>148.46147155761719</v>
      </c>
      <c r="E276">
        <v>168.40809631347659</v>
      </c>
      <c r="F276">
        <v>54.229976654052727</v>
      </c>
      <c r="G276">
        <v>150.29109191894531</v>
      </c>
      <c r="H276">
        <v>5021.83984375</v>
      </c>
      <c r="I276">
        <f t="shared" si="21"/>
        <v>-9.0427198563064227E-3</v>
      </c>
      <c r="J276">
        <f t="shared" si="21"/>
        <v>-1.369487231786082E-3</v>
      </c>
      <c r="K276">
        <f t="shared" si="21"/>
        <v>6.929292623013868E-3</v>
      </c>
      <c r="L276">
        <f t="shared" si="20"/>
        <v>4.4469409069131712E-3</v>
      </c>
      <c r="M276">
        <f t="shared" si="20"/>
        <v>1.6998609003807594E-2</v>
      </c>
      <c r="N276">
        <f t="shared" si="20"/>
        <v>-1.9713583405579094E-3</v>
      </c>
      <c r="O276">
        <f t="shared" si="18"/>
        <v>-9.4940414265244156E-4</v>
      </c>
    </row>
    <row r="277" spans="1:15" x14ac:dyDescent="0.35">
      <c r="A277" s="2">
        <v>45335</v>
      </c>
      <c r="B277">
        <v>183.5427551269531</v>
      </c>
      <c r="C277">
        <v>707.4552001953125</v>
      </c>
      <c r="D277">
        <v>147.16352844238281</v>
      </c>
      <c r="E277">
        <v>166.94232177734381</v>
      </c>
      <c r="F277">
        <v>52.062660217285163</v>
      </c>
      <c r="G277">
        <v>149.48756408691409</v>
      </c>
      <c r="H277">
        <v>4953.169921875</v>
      </c>
      <c r="I277">
        <f t="shared" si="21"/>
        <v>-1.1338328943594394E-2</v>
      </c>
      <c r="J277">
        <f t="shared" si="21"/>
        <v>-1.1359753470601449E-2</v>
      </c>
      <c r="K277">
        <f t="shared" si="21"/>
        <v>-8.7810669278989596E-3</v>
      </c>
      <c r="L277">
        <f t="shared" si="20"/>
        <v>-8.7418043424660648E-3</v>
      </c>
      <c r="M277">
        <f t="shared" si="20"/>
        <v>-4.0785833028963034E-2</v>
      </c>
      <c r="N277">
        <f t="shared" si="20"/>
        <v>-5.3608203270899494E-3</v>
      </c>
      <c r="O277">
        <f t="shared" si="18"/>
        <v>-1.3768609419845444E-2</v>
      </c>
    </row>
    <row r="278" spans="1:15" x14ac:dyDescent="0.35">
      <c r="A278" s="2">
        <v>45336</v>
      </c>
      <c r="B278">
        <v>182.65992736816409</v>
      </c>
      <c r="C278">
        <v>715.3096923828125</v>
      </c>
      <c r="D278">
        <v>146.47697448730469</v>
      </c>
      <c r="E278">
        <v>168.63801574707031</v>
      </c>
      <c r="F278">
        <v>52.778823852539063</v>
      </c>
      <c r="G278">
        <v>148.8753356933594</v>
      </c>
      <c r="H278">
        <v>5000.6201171875</v>
      </c>
      <c r="I278">
        <f t="shared" si="21"/>
        <v>-4.8215346924591418E-3</v>
      </c>
      <c r="J278">
        <f t="shared" si="21"/>
        <v>1.1041278883533677E-2</v>
      </c>
      <c r="K278">
        <f t="shared" si="21"/>
        <v>-4.6761614918336032E-3</v>
      </c>
      <c r="L278">
        <f t="shared" si="20"/>
        <v>1.0106124897014923E-2</v>
      </c>
      <c r="M278">
        <f t="shared" si="20"/>
        <v>1.3662049540736429E-2</v>
      </c>
      <c r="N278">
        <f t="shared" si="20"/>
        <v>-4.1039234655344137E-3</v>
      </c>
      <c r="O278">
        <f t="shared" si="18"/>
        <v>9.5341683042168071E-3</v>
      </c>
    </row>
    <row r="279" spans="1:15" x14ac:dyDescent="0.35">
      <c r="A279" s="2">
        <v>45337</v>
      </c>
      <c r="B279">
        <v>182.3722839355469</v>
      </c>
      <c r="C279">
        <v>717.6175537109375</v>
      </c>
      <c r="D279">
        <v>148.52729797363281</v>
      </c>
      <c r="E279">
        <v>172.31675720214841</v>
      </c>
      <c r="F279">
        <v>53.966133117675781</v>
      </c>
      <c r="G279">
        <v>150.1954345703125</v>
      </c>
      <c r="H279">
        <v>5029.72998046875</v>
      </c>
      <c r="I279">
        <f t="shared" si="21"/>
        <v>-1.5759896428093275E-3</v>
      </c>
      <c r="J279">
        <f t="shared" si="21"/>
        <v>3.2211870211215263E-3</v>
      </c>
      <c r="K279">
        <f t="shared" si="21"/>
        <v>1.3900520717939513E-2</v>
      </c>
      <c r="L279">
        <f t="shared" si="20"/>
        <v>2.1579895688152221E-2</v>
      </c>
      <c r="M279">
        <f t="shared" si="20"/>
        <v>2.2246638460975198E-2</v>
      </c>
      <c r="N279">
        <f t="shared" si="20"/>
        <v>8.8280606575649179E-3</v>
      </c>
      <c r="O279">
        <f t="shared" si="18"/>
        <v>5.8043726740400403E-3</v>
      </c>
    </row>
    <row r="280" spans="1:15" x14ac:dyDescent="0.35">
      <c r="A280" s="2">
        <v>45338</v>
      </c>
      <c r="B280">
        <v>180.8348388671875</v>
      </c>
      <c r="C280">
        <v>717.1024169921875</v>
      </c>
      <c r="D280">
        <v>148.3567199707031</v>
      </c>
      <c r="E280">
        <v>171.51202392578119</v>
      </c>
      <c r="F280">
        <v>53.739978790283203</v>
      </c>
      <c r="G280">
        <v>150.67372131347659</v>
      </c>
      <c r="H280">
        <v>5005.56982421875</v>
      </c>
      <c r="I280">
        <f t="shared" si="21"/>
        <v>-8.46599174191069E-3</v>
      </c>
      <c r="J280">
        <f t="shared" si="21"/>
        <v>-7.1810074635570928E-4</v>
      </c>
      <c r="K280">
        <f t="shared" si="21"/>
        <v>-1.149122292814957E-3</v>
      </c>
      <c r="L280">
        <f t="shared" si="20"/>
        <v>-4.6810202634369451E-3</v>
      </c>
      <c r="M280">
        <f t="shared" si="20"/>
        <v>-4.1994768124167733E-3</v>
      </c>
      <c r="N280">
        <f t="shared" si="20"/>
        <v>3.1793697473013042E-3</v>
      </c>
      <c r="O280">
        <f t="shared" si="18"/>
        <v>-4.8150435759610425E-3</v>
      </c>
    </row>
    <row r="281" spans="1:15" x14ac:dyDescent="0.35">
      <c r="A281" s="2">
        <v>45342</v>
      </c>
      <c r="B281">
        <v>180.09089660644531</v>
      </c>
      <c r="C281">
        <v>718.7862548828125</v>
      </c>
      <c r="D281">
        <v>149.59815979003909</v>
      </c>
      <c r="E281">
        <v>172.18263244628909</v>
      </c>
      <c r="F281">
        <v>53.344207763671882</v>
      </c>
      <c r="G281">
        <v>151.6303405761719</v>
      </c>
      <c r="H281">
        <v>4975.509765625</v>
      </c>
      <c r="I281">
        <f t="shared" si="21"/>
        <v>-4.1224176676244112E-3</v>
      </c>
      <c r="J281">
        <f t="shared" si="21"/>
        <v>2.3453610234085106E-3</v>
      </c>
      <c r="K281">
        <f t="shared" si="21"/>
        <v>8.3331208014872735E-3</v>
      </c>
      <c r="L281">
        <f t="shared" si="20"/>
        <v>3.9023555303990165E-3</v>
      </c>
      <c r="M281">
        <f t="shared" si="20"/>
        <v>-7.3918071637688616E-3</v>
      </c>
      <c r="N281">
        <f t="shared" si="20"/>
        <v>6.3288759654942786E-3</v>
      </c>
      <c r="O281">
        <f t="shared" si="18"/>
        <v>-6.0234264658172495E-3</v>
      </c>
    </row>
    <row r="282" spans="1:15" x14ac:dyDescent="0.35">
      <c r="A282" s="2">
        <v>45343</v>
      </c>
      <c r="B282">
        <v>180.8447570800781</v>
      </c>
      <c r="C282">
        <v>716.14178466796875</v>
      </c>
      <c r="D282">
        <v>150.375244140625</v>
      </c>
      <c r="E282">
        <v>173.3034973144531</v>
      </c>
      <c r="F282">
        <v>53.805934906005859</v>
      </c>
      <c r="G282">
        <v>153.43829345703119</v>
      </c>
      <c r="H282">
        <v>4981.7998046875</v>
      </c>
      <c r="I282">
        <f t="shared" si="21"/>
        <v>4.177262967189144E-3</v>
      </c>
      <c r="J282">
        <f t="shared" si="21"/>
        <v>-3.6858617796035899E-3</v>
      </c>
      <c r="K282">
        <f t="shared" si="21"/>
        <v>5.1810332428304639E-3</v>
      </c>
      <c r="L282">
        <f t="shared" si="20"/>
        <v>6.4886471798015479E-3</v>
      </c>
      <c r="M282">
        <f t="shared" si="20"/>
        <v>8.6183739709090254E-3</v>
      </c>
      <c r="N282">
        <f t="shared" si="20"/>
        <v>1.1852900271673591E-2</v>
      </c>
      <c r="O282">
        <f t="shared" si="20"/>
        <v>1.2634014951035982E-3</v>
      </c>
    </row>
    <row r="283" spans="1:15" x14ac:dyDescent="0.35">
      <c r="A283" s="2">
        <v>45344</v>
      </c>
      <c r="B283">
        <v>182.87818908691409</v>
      </c>
      <c r="C283">
        <v>727.41351318359375</v>
      </c>
      <c r="D283">
        <v>152.05262756347659</v>
      </c>
      <c r="E283">
        <v>175.38238525390619</v>
      </c>
      <c r="F283">
        <v>53.400745391845703</v>
      </c>
      <c r="G283">
        <v>153.59136962890619</v>
      </c>
      <c r="H283">
        <v>5087.02978515625</v>
      </c>
      <c r="I283">
        <f t="shared" si="21"/>
        <v>1.1181330260062364E-2</v>
      </c>
      <c r="J283">
        <f t="shared" si="21"/>
        <v>1.5616939120821934E-2</v>
      </c>
      <c r="K283">
        <f t="shared" si="21"/>
        <v>1.1092897052539253E-2</v>
      </c>
      <c r="L283">
        <f t="shared" si="20"/>
        <v>1.1924271535564437E-2</v>
      </c>
      <c r="M283">
        <f t="shared" si="20"/>
        <v>-7.559070804073708E-3</v>
      </c>
      <c r="N283">
        <f t="shared" si="20"/>
        <v>9.971426410073053E-4</v>
      </c>
      <c r="O283">
        <f t="shared" si="20"/>
        <v>2.090288866640342E-2</v>
      </c>
    </row>
    <row r="284" spans="1:15" x14ac:dyDescent="0.35">
      <c r="A284" s="2">
        <v>45345</v>
      </c>
      <c r="B284">
        <v>181.04316711425781</v>
      </c>
      <c r="C284">
        <v>730.90985107421875</v>
      </c>
      <c r="D284">
        <v>153.369873046875</v>
      </c>
      <c r="E284">
        <v>176.26374816894531</v>
      </c>
      <c r="F284">
        <v>53.504398345947273</v>
      </c>
      <c r="G284">
        <v>154.04095458984381</v>
      </c>
      <c r="H284">
        <v>5088.7998046875</v>
      </c>
      <c r="I284">
        <f t="shared" si="21"/>
        <v>-1.0084802629295642E-2</v>
      </c>
      <c r="J284">
        <f t="shared" si="21"/>
        <v>4.7950196442850231E-3</v>
      </c>
      <c r="K284">
        <f t="shared" si="21"/>
        <v>8.6257800137570385E-3</v>
      </c>
      <c r="L284">
        <f t="shared" si="20"/>
        <v>5.0127936971219042E-3</v>
      </c>
      <c r="M284">
        <f t="shared" si="20"/>
        <v>1.9391580789902842E-3</v>
      </c>
      <c r="N284">
        <f t="shared" si="20"/>
        <v>2.922874130041859E-3</v>
      </c>
      <c r="O284">
        <f t="shared" si="20"/>
        <v>3.47887026502183E-4</v>
      </c>
    </row>
    <row r="285" spans="1:15" x14ac:dyDescent="0.35">
      <c r="A285" s="2">
        <v>45348</v>
      </c>
      <c r="B285">
        <v>179.69413757324219</v>
      </c>
      <c r="C285">
        <v>738.25927734375</v>
      </c>
      <c r="D285">
        <v>152.37480163574219</v>
      </c>
      <c r="E285">
        <v>175.66020202636719</v>
      </c>
      <c r="F285">
        <v>52.444107055664063</v>
      </c>
      <c r="G285">
        <v>153.26612854003909</v>
      </c>
      <c r="H285">
        <v>5069.52978515625</v>
      </c>
      <c r="I285">
        <f t="shared" si="21"/>
        <v>-7.4793253275482795E-3</v>
      </c>
      <c r="J285">
        <f t="shared" si="21"/>
        <v>1.0004957813543882E-2</v>
      </c>
      <c r="K285">
        <f t="shared" si="21"/>
        <v>-6.509188920830673E-3</v>
      </c>
      <c r="L285">
        <f t="shared" si="20"/>
        <v>-3.4299838584964217E-3</v>
      </c>
      <c r="M285">
        <f t="shared" si="20"/>
        <v>-2.0015887628514754E-2</v>
      </c>
      <c r="N285">
        <f t="shared" si="20"/>
        <v>-5.0426933464580532E-3</v>
      </c>
      <c r="O285">
        <f t="shared" si="20"/>
        <v>-3.7939392446684839E-3</v>
      </c>
    </row>
    <row r="286" spans="1:15" x14ac:dyDescent="0.35">
      <c r="A286" s="2">
        <v>45349</v>
      </c>
      <c r="B286">
        <v>181.1522521972656</v>
      </c>
      <c r="C286">
        <v>737.6253662109375</v>
      </c>
      <c r="D286">
        <v>152.55487060546881</v>
      </c>
      <c r="E286">
        <v>175.74641418457031</v>
      </c>
      <c r="F286">
        <v>52.833988189697273</v>
      </c>
      <c r="G286">
        <v>152.38604736328119</v>
      </c>
      <c r="H286">
        <v>5078.18017578125</v>
      </c>
      <c r="I286">
        <f t="shared" si="21"/>
        <v>8.0816801917451917E-3</v>
      </c>
      <c r="J286">
        <f t="shared" si="21"/>
        <v>-8.5902536429578551E-4</v>
      </c>
      <c r="K286">
        <f t="shared" si="21"/>
        <v>1.1810525970426145E-3</v>
      </c>
      <c r="L286">
        <f t="shared" si="20"/>
        <v>4.9066896270975988E-4</v>
      </c>
      <c r="M286">
        <f t="shared" si="20"/>
        <v>7.4067243620887287E-3</v>
      </c>
      <c r="N286">
        <f t="shared" si="20"/>
        <v>-5.7587262798177753E-3</v>
      </c>
      <c r="O286">
        <f t="shared" si="20"/>
        <v>1.704895538720964E-3</v>
      </c>
    </row>
    <row r="287" spans="1:15" x14ac:dyDescent="0.35">
      <c r="A287" s="2">
        <v>45350</v>
      </c>
      <c r="B287">
        <v>179.9520568847656</v>
      </c>
      <c r="C287">
        <v>740.84454345703125</v>
      </c>
      <c r="D287">
        <v>153.09503173828119</v>
      </c>
      <c r="E287">
        <v>176.63737487792969</v>
      </c>
      <c r="F287">
        <v>52.339504241943359</v>
      </c>
      <c r="G287">
        <v>153.103515625</v>
      </c>
      <c r="H287">
        <v>5069.759765625</v>
      </c>
      <c r="I287">
        <f t="shared" si="21"/>
        <v>-6.6473852668226963E-3</v>
      </c>
      <c r="J287">
        <f t="shared" si="21"/>
        <v>4.3547485307210542E-3</v>
      </c>
      <c r="K287">
        <f t="shared" si="21"/>
        <v>3.5345124667996906E-3</v>
      </c>
      <c r="L287">
        <f t="shared" si="20"/>
        <v>5.0567740036464217E-3</v>
      </c>
      <c r="M287">
        <f t="shared" si="20"/>
        <v>-9.4032741502233282E-3</v>
      </c>
      <c r="N287">
        <f t="shared" si="20"/>
        <v>4.6971790057546235E-3</v>
      </c>
      <c r="O287">
        <f t="shared" si="20"/>
        <v>-1.6595313211122439E-3</v>
      </c>
    </row>
    <row r="288" spans="1:15" x14ac:dyDescent="0.35">
      <c r="A288" s="2">
        <v>45351</v>
      </c>
      <c r="B288">
        <v>179.28746032714841</v>
      </c>
      <c r="C288">
        <v>736.813232421875</v>
      </c>
      <c r="D288">
        <v>152.9339294433594</v>
      </c>
      <c r="E288">
        <v>178.24684143066409</v>
      </c>
      <c r="F288">
        <v>52.482143402099609</v>
      </c>
      <c r="G288">
        <v>152.04168701171881</v>
      </c>
      <c r="H288">
        <v>5096.27001953125</v>
      </c>
      <c r="I288">
        <f t="shared" si="21"/>
        <v>-3.7000234327143298E-3</v>
      </c>
      <c r="J288">
        <f t="shared" si="21"/>
        <v>-5.4563662880786961E-3</v>
      </c>
      <c r="K288">
        <f t="shared" si="21"/>
        <v>-1.0528566262595503E-3</v>
      </c>
      <c r="L288">
        <f t="shared" si="20"/>
        <v>9.0704376997993719E-3</v>
      </c>
      <c r="M288">
        <f t="shared" si="20"/>
        <v>2.7215608875635956E-3</v>
      </c>
      <c r="N288">
        <f t="shared" si="20"/>
        <v>-6.9595254318783632E-3</v>
      </c>
      <c r="O288">
        <f t="shared" si="20"/>
        <v>5.2154704557999644E-3</v>
      </c>
    </row>
    <row r="289" spans="1:15" x14ac:dyDescent="0.35">
      <c r="A289" s="2">
        <v>45352</v>
      </c>
      <c r="B289">
        <v>178.206298828125</v>
      </c>
      <c r="C289">
        <v>742.31036376953125</v>
      </c>
      <c r="D289">
        <v>153.63519287109381</v>
      </c>
      <c r="E289">
        <v>177.50917053222659</v>
      </c>
      <c r="F289">
        <v>52.50115966796875</v>
      </c>
      <c r="G289">
        <v>151.9555969238281</v>
      </c>
      <c r="H289">
        <v>5137.080078125</v>
      </c>
      <c r="I289">
        <f t="shared" si="21"/>
        <v>-6.0485799684784616E-3</v>
      </c>
      <c r="J289">
        <f t="shared" si="21"/>
        <v>7.4329916326201081E-3</v>
      </c>
      <c r="K289">
        <f t="shared" si="21"/>
        <v>4.5749203021750087E-3</v>
      </c>
      <c r="L289">
        <f t="shared" si="20"/>
        <v>-4.1470667021613556E-3</v>
      </c>
      <c r="M289">
        <f t="shared" si="20"/>
        <v>3.6227219988361716E-4</v>
      </c>
      <c r="N289">
        <f t="shared" si="20"/>
        <v>-5.6638723265959733E-4</v>
      </c>
      <c r="O289">
        <f t="shared" si="20"/>
        <v>7.975936433387976E-3</v>
      </c>
    </row>
    <row r="290" spans="1:15" x14ac:dyDescent="0.35">
      <c r="A290" s="2">
        <v>45355</v>
      </c>
      <c r="B290">
        <v>173.68318176269531</v>
      </c>
      <c r="C290">
        <v>751.95770263671875</v>
      </c>
      <c r="D290">
        <v>151.47454833984381</v>
      </c>
      <c r="E290">
        <v>178.84075927734381</v>
      </c>
      <c r="F290">
        <v>52.272945404052727</v>
      </c>
      <c r="G290">
        <v>152.634765625</v>
      </c>
      <c r="H290">
        <v>5130.9501953125</v>
      </c>
      <c r="I290">
        <f t="shared" si="21"/>
        <v>-2.5709016285087448E-2</v>
      </c>
      <c r="J290">
        <f t="shared" si="21"/>
        <v>1.2912640148694029E-2</v>
      </c>
      <c r="K290">
        <f t="shared" si="21"/>
        <v>-1.4163301644638452E-2</v>
      </c>
      <c r="L290">
        <f t="shared" si="20"/>
        <v>7.4735243733864186E-3</v>
      </c>
      <c r="M290">
        <f t="shared" si="20"/>
        <v>-4.3563173299432665E-3</v>
      </c>
      <c r="N290">
        <f t="shared" si="20"/>
        <v>4.4595621547566687E-3</v>
      </c>
      <c r="O290">
        <f t="shared" si="20"/>
        <v>-1.1939745749630112E-3</v>
      </c>
    </row>
    <row r="291" spans="1:15" x14ac:dyDescent="0.35">
      <c r="A291" s="2">
        <v>45356</v>
      </c>
      <c r="B291">
        <v>168.74346923828119</v>
      </c>
      <c r="C291">
        <v>752.7203369140625</v>
      </c>
      <c r="D291">
        <v>151.59770202636719</v>
      </c>
      <c r="E291">
        <v>180.63227844238281</v>
      </c>
      <c r="F291">
        <v>52.681838989257813</v>
      </c>
      <c r="G291">
        <v>152.40519714355469</v>
      </c>
      <c r="H291">
        <v>5078.64990234375</v>
      </c>
      <c r="I291">
        <f t="shared" si="21"/>
        <v>-2.8853216892549466E-2</v>
      </c>
      <c r="J291">
        <f t="shared" si="21"/>
        <v>1.0136844196591422E-3</v>
      </c>
      <c r="K291">
        <f t="shared" si="21"/>
        <v>8.1270187655254624E-4</v>
      </c>
      <c r="L291">
        <f t="shared" si="20"/>
        <v>9.9675570050645097E-3</v>
      </c>
      <c r="M291">
        <f t="shared" si="20"/>
        <v>7.791844008330503E-3</v>
      </c>
      <c r="N291">
        <f t="shared" si="20"/>
        <v>-1.5051701600214003E-3</v>
      </c>
      <c r="O291">
        <f t="shared" si="20"/>
        <v>-1.0245406275917994E-2</v>
      </c>
    </row>
    <row r="292" spans="1:15" x14ac:dyDescent="0.35">
      <c r="A292" s="2">
        <v>45357</v>
      </c>
      <c r="B292">
        <v>167.75157165527341</v>
      </c>
      <c r="C292">
        <v>765.8839111328125</v>
      </c>
      <c r="D292">
        <v>151.0007019042969</v>
      </c>
      <c r="E292">
        <v>181.57112121582031</v>
      </c>
      <c r="F292">
        <v>52.805458068847663</v>
      </c>
      <c r="G292">
        <v>152.64434814453119</v>
      </c>
      <c r="H292">
        <v>5104.759765625</v>
      </c>
      <c r="I292">
        <f t="shared" si="21"/>
        <v>-5.8954833527294645E-3</v>
      </c>
      <c r="J292">
        <f t="shared" si="21"/>
        <v>1.7336845915602469E-2</v>
      </c>
      <c r="K292">
        <f t="shared" si="21"/>
        <v>-3.9458297790180589E-3</v>
      </c>
      <c r="L292">
        <f t="shared" si="20"/>
        <v>5.1840754499313845E-3</v>
      </c>
      <c r="M292">
        <f t="shared" si="20"/>
        <v>2.3437729400002374E-3</v>
      </c>
      <c r="N292">
        <f t="shared" si="20"/>
        <v>1.5679489031593461E-3</v>
      </c>
      <c r="O292">
        <f t="shared" si="20"/>
        <v>5.1279328530016433E-3</v>
      </c>
    </row>
    <row r="293" spans="1:15" x14ac:dyDescent="0.35">
      <c r="A293" s="2">
        <v>45358</v>
      </c>
      <c r="B293">
        <v>167.6325378417969</v>
      </c>
      <c r="C293">
        <v>778.11639404296875</v>
      </c>
      <c r="D293">
        <v>150.5552978515625</v>
      </c>
      <c r="E293">
        <v>179.98081970214841</v>
      </c>
      <c r="F293">
        <v>53.490127563476563</v>
      </c>
      <c r="G293">
        <v>153.64875793457031</v>
      </c>
      <c r="H293">
        <v>5157.35986328125</v>
      </c>
      <c r="I293">
        <f t="shared" si="21"/>
        <v>-7.0983576802796037E-4</v>
      </c>
      <c r="J293">
        <f t="shared" si="21"/>
        <v>1.5845513517970859E-2</v>
      </c>
      <c r="K293">
        <f t="shared" si="21"/>
        <v>-2.9540408878696496E-3</v>
      </c>
      <c r="L293">
        <f t="shared" si="20"/>
        <v>-8.7971413772538858E-3</v>
      </c>
      <c r="M293">
        <f t="shared" si="20"/>
        <v>1.2882547464422063E-2</v>
      </c>
      <c r="N293">
        <f t="shared" si="20"/>
        <v>6.55851124569459E-3</v>
      </c>
      <c r="O293">
        <f t="shared" si="20"/>
        <v>1.0251402284983627E-2</v>
      </c>
    </row>
    <row r="294" spans="1:15" x14ac:dyDescent="0.35">
      <c r="A294" s="2">
        <v>45359</v>
      </c>
      <c r="B294">
        <v>169.34852600097659</v>
      </c>
      <c r="C294">
        <v>718.65753173828125</v>
      </c>
      <c r="D294">
        <v>151.17127990722659</v>
      </c>
      <c r="E294">
        <v>180.3161315917969</v>
      </c>
      <c r="F294">
        <v>54.973594665527337</v>
      </c>
      <c r="G294">
        <v>153.39048767089841</v>
      </c>
      <c r="H294">
        <v>5123.68994140625</v>
      </c>
      <c r="I294">
        <f t="shared" si="21"/>
        <v>1.0184566291138418E-2</v>
      </c>
      <c r="J294">
        <f t="shared" si="21"/>
        <v>-7.9491187386772216E-2</v>
      </c>
      <c r="K294">
        <f t="shared" si="21"/>
        <v>4.0830537104766754E-3</v>
      </c>
      <c r="L294">
        <f t="shared" si="20"/>
        <v>1.8613090410606631E-3</v>
      </c>
      <c r="M294">
        <f t="shared" si="20"/>
        <v>2.7355867608477247E-2</v>
      </c>
      <c r="N294">
        <f t="shared" si="20"/>
        <v>-1.6823277693783242E-3</v>
      </c>
      <c r="O294">
        <f t="shared" si="20"/>
        <v>-6.5499229920503374E-3</v>
      </c>
    </row>
    <row r="295" spans="1:15" x14ac:dyDescent="0.35">
      <c r="A295" s="2">
        <v>45362</v>
      </c>
      <c r="B295">
        <v>171.3521728515625</v>
      </c>
      <c r="C295">
        <v>707.2867431640625</v>
      </c>
      <c r="D295">
        <v>152.7917785644531</v>
      </c>
      <c r="E295">
        <v>180.38319396972659</v>
      </c>
      <c r="F295">
        <v>55.030654907226563</v>
      </c>
      <c r="G295">
        <v>154.53839111328119</v>
      </c>
      <c r="H295">
        <v>5117.93994140625</v>
      </c>
      <c r="I295">
        <f t="shared" si="21"/>
        <v>1.1762053655750332E-2</v>
      </c>
      <c r="J295">
        <f t="shared" si="21"/>
        <v>-1.5948771350023452E-2</v>
      </c>
      <c r="K295">
        <f t="shared" si="21"/>
        <v>1.0662572078854363E-2</v>
      </c>
      <c r="L295">
        <f t="shared" si="20"/>
        <v>3.718464324712088E-4</v>
      </c>
      <c r="M295">
        <f t="shared" si="20"/>
        <v>1.0374189549653653E-3</v>
      </c>
      <c r="N295">
        <f t="shared" si="20"/>
        <v>7.455674597939518E-3</v>
      </c>
      <c r="O295">
        <f t="shared" si="20"/>
        <v>-1.1228682680281005E-3</v>
      </c>
    </row>
    <row r="296" spans="1:15" x14ac:dyDescent="0.35">
      <c r="A296" s="2">
        <v>45363</v>
      </c>
      <c r="B296">
        <v>171.82830810546881</v>
      </c>
      <c r="C296">
        <v>729.869873046875</v>
      </c>
      <c r="D296">
        <v>154.22276306152341</v>
      </c>
      <c r="E296">
        <v>181.86810302734381</v>
      </c>
      <c r="F296">
        <v>54.345973968505859</v>
      </c>
      <c r="G296">
        <v>154.90190124511719</v>
      </c>
      <c r="H296">
        <v>5175.27001953125</v>
      </c>
      <c r="I296">
        <f t="shared" si="21"/>
        <v>2.7748405625417838E-3</v>
      </c>
      <c r="J296">
        <f t="shared" si="21"/>
        <v>3.1430101162100418E-2</v>
      </c>
      <c r="K296">
        <f t="shared" si="21"/>
        <v>9.3220005290488312E-3</v>
      </c>
      <c r="L296">
        <f t="shared" si="20"/>
        <v>8.1982722317452683E-3</v>
      </c>
      <c r="M296">
        <f t="shared" si="20"/>
        <v>-1.2519857106561257E-2</v>
      </c>
      <c r="N296">
        <f t="shared" si="20"/>
        <v>2.3494697234181889E-3</v>
      </c>
      <c r="O296">
        <f t="shared" si="20"/>
        <v>1.1139512586668012E-2</v>
      </c>
    </row>
    <row r="297" spans="1:15" x14ac:dyDescent="0.35">
      <c r="A297" s="2">
        <v>45364</v>
      </c>
      <c r="B297">
        <v>169.74530029296881</v>
      </c>
      <c r="C297">
        <v>727.21527099609375</v>
      </c>
      <c r="D297">
        <v>152.66862487792969</v>
      </c>
      <c r="E297">
        <v>183.34344482421881</v>
      </c>
      <c r="F297">
        <v>56.618709564208977</v>
      </c>
      <c r="G297">
        <v>155.255859375</v>
      </c>
      <c r="H297">
        <v>5165.31005859375</v>
      </c>
      <c r="I297">
        <f t="shared" si="21"/>
        <v>-1.219668957694865E-2</v>
      </c>
      <c r="J297">
        <f t="shared" si="21"/>
        <v>-3.643719790379718E-3</v>
      </c>
      <c r="K297">
        <f t="shared" si="21"/>
        <v>-1.0128348532314636E-2</v>
      </c>
      <c r="L297">
        <f t="shared" si="20"/>
        <v>8.0794259165737348E-3</v>
      </c>
      <c r="M297">
        <f t="shared" si="20"/>
        <v>4.0968953451520317E-2</v>
      </c>
      <c r="N297">
        <f t="shared" si="20"/>
        <v>2.2824402835394312E-3</v>
      </c>
      <c r="O297">
        <f t="shared" si="20"/>
        <v>-1.9263840021219723E-3</v>
      </c>
    </row>
    <row r="298" spans="1:15" x14ac:dyDescent="0.35">
      <c r="A298" s="2">
        <v>45365</v>
      </c>
      <c r="B298">
        <v>171.60015869140619</v>
      </c>
      <c r="C298">
        <v>724.9866943359375</v>
      </c>
      <c r="D298">
        <v>150.87750244140619</v>
      </c>
      <c r="E298">
        <v>180.0766296386719</v>
      </c>
      <c r="F298">
        <v>56.618709564208977</v>
      </c>
      <c r="G298">
        <v>154.49055480957031</v>
      </c>
      <c r="H298">
        <v>5150.47998046875</v>
      </c>
      <c r="I298">
        <f t="shared" si="21"/>
        <v>1.086803182324631E-2</v>
      </c>
      <c r="J298">
        <f t="shared" si="21"/>
        <v>-3.0692403162021244E-3</v>
      </c>
      <c r="K298">
        <f t="shared" si="21"/>
        <v>-1.18014566050639E-2</v>
      </c>
      <c r="L298">
        <f t="shared" si="20"/>
        <v>-1.7978661112237566E-2</v>
      </c>
      <c r="M298">
        <f t="shared" si="20"/>
        <v>0</v>
      </c>
      <c r="N298">
        <f t="shared" si="20"/>
        <v>-4.9415010968804334E-3</v>
      </c>
      <c r="O298">
        <f t="shared" si="20"/>
        <v>-2.8752210514951882E-3</v>
      </c>
    </row>
    <row r="299" spans="1:15" x14ac:dyDescent="0.35">
      <c r="A299" s="2">
        <v>45366</v>
      </c>
      <c r="B299">
        <v>171.2232360839844</v>
      </c>
      <c r="C299">
        <v>718.72686767578125</v>
      </c>
      <c r="D299">
        <v>149.9013977050781</v>
      </c>
      <c r="E299">
        <v>182.30879211425781</v>
      </c>
      <c r="F299">
        <v>57.132217407226563</v>
      </c>
      <c r="G299">
        <v>154.37577819824219</v>
      </c>
      <c r="H299">
        <v>5117.08984375</v>
      </c>
      <c r="I299">
        <f t="shared" si="21"/>
        <v>-2.1989325410343009E-3</v>
      </c>
      <c r="J299">
        <f t="shared" si="21"/>
        <v>-8.6718945557968264E-3</v>
      </c>
      <c r="K299">
        <f t="shared" si="21"/>
        <v>-6.490536154977411E-3</v>
      </c>
      <c r="L299">
        <f t="shared" si="20"/>
        <v>1.2319428831770471E-2</v>
      </c>
      <c r="M299">
        <f t="shared" si="20"/>
        <v>9.0286970840991933E-3</v>
      </c>
      <c r="N299">
        <f t="shared" si="20"/>
        <v>-7.4321222059789806E-4</v>
      </c>
      <c r="O299">
        <f t="shared" si="20"/>
        <v>-6.5040228597376655E-3</v>
      </c>
    </row>
    <row r="300" spans="1:15" x14ac:dyDescent="0.35">
      <c r="A300" s="2">
        <v>45369</v>
      </c>
      <c r="B300">
        <v>172.3143615722656</v>
      </c>
      <c r="C300">
        <v>724.58062744140625</v>
      </c>
      <c r="D300">
        <v>148.55572509765619</v>
      </c>
      <c r="E300">
        <v>184.5696716308594</v>
      </c>
      <c r="F300">
        <v>57.217803955078118</v>
      </c>
      <c r="G300">
        <v>154.2131652832031</v>
      </c>
      <c r="H300">
        <v>5149.419921875</v>
      </c>
      <c r="I300">
        <f t="shared" si="21"/>
        <v>6.3523129043410644E-3</v>
      </c>
      <c r="J300">
        <f t="shared" si="21"/>
        <v>8.1116350920900204E-3</v>
      </c>
      <c r="K300">
        <f t="shared" si="21"/>
        <v>-9.0175882793446897E-3</v>
      </c>
      <c r="L300">
        <f t="shared" si="20"/>
        <v>1.2325106870391383E-2</v>
      </c>
      <c r="M300">
        <f t="shared" si="20"/>
        <v>1.496922568332166E-3</v>
      </c>
      <c r="N300">
        <f t="shared" si="20"/>
        <v>-1.0539128735860492E-3</v>
      </c>
      <c r="O300">
        <f t="shared" si="20"/>
        <v>6.2981842384804559E-3</v>
      </c>
    </row>
    <row r="301" spans="1:15" x14ac:dyDescent="0.35">
      <c r="A301" s="2">
        <v>45370</v>
      </c>
      <c r="B301">
        <v>174.6552429199219</v>
      </c>
      <c r="C301">
        <v>725.20458984375</v>
      </c>
      <c r="D301">
        <v>148.03453063964841</v>
      </c>
      <c r="E301">
        <v>185.65223693847659</v>
      </c>
      <c r="F301">
        <v>58.263832092285163</v>
      </c>
      <c r="G301">
        <v>154.80622863769531</v>
      </c>
      <c r="H301">
        <v>5178.509765625</v>
      </c>
      <c r="I301">
        <f t="shared" si="21"/>
        <v>1.3493498192001064E-2</v>
      </c>
      <c r="J301">
        <f t="shared" si="21"/>
        <v>8.6076535121180269E-4</v>
      </c>
      <c r="K301">
        <f t="shared" si="21"/>
        <v>-3.5145793526256287E-3</v>
      </c>
      <c r="L301">
        <f t="shared" si="20"/>
        <v>5.8482135606424948E-3</v>
      </c>
      <c r="M301">
        <f t="shared" si="20"/>
        <v>1.8116417157261224E-2</v>
      </c>
      <c r="N301">
        <f t="shared" si="20"/>
        <v>3.8383615675483111E-3</v>
      </c>
      <c r="O301">
        <f t="shared" si="20"/>
        <v>5.6332530443431198E-3</v>
      </c>
    </row>
    <row r="302" spans="1:15" x14ac:dyDescent="0.35">
      <c r="A302" s="2">
        <v>45371</v>
      </c>
      <c r="B302">
        <v>177.22430419921881</v>
      </c>
      <c r="C302">
        <v>733.67333984375</v>
      </c>
      <c r="D302">
        <v>147.60807800292969</v>
      </c>
      <c r="E302">
        <v>188.08558654785159</v>
      </c>
      <c r="F302">
        <v>59.148204803466797</v>
      </c>
      <c r="G302">
        <v>154.95930480957031</v>
      </c>
      <c r="H302">
        <v>5224.6201171875</v>
      </c>
      <c r="I302">
        <f t="shared" si="21"/>
        <v>1.460219526246653E-2</v>
      </c>
      <c r="J302">
        <f t="shared" si="21"/>
        <v>1.1610080535849285E-2</v>
      </c>
      <c r="K302">
        <f t="shared" si="21"/>
        <v>-2.884921997198941E-3</v>
      </c>
      <c r="L302">
        <f t="shared" si="20"/>
        <v>1.3021877056438858E-2</v>
      </c>
      <c r="M302">
        <f t="shared" si="20"/>
        <v>1.5064714996487559E-2</v>
      </c>
      <c r="N302">
        <f t="shared" si="20"/>
        <v>9.8833580761526819E-4</v>
      </c>
      <c r="O302">
        <f t="shared" si="20"/>
        <v>8.8647655163601839E-3</v>
      </c>
    </row>
    <row r="303" spans="1:15" x14ac:dyDescent="0.35">
      <c r="A303" s="2">
        <v>45372</v>
      </c>
      <c r="B303">
        <v>169.98335266113281</v>
      </c>
      <c r="C303">
        <v>735.4957275390625</v>
      </c>
      <c r="D303">
        <v>147.59858703613281</v>
      </c>
      <c r="E303">
        <v>190.7008972167969</v>
      </c>
      <c r="F303">
        <v>58.349418640136719</v>
      </c>
      <c r="G303">
        <v>154.83494567871091</v>
      </c>
      <c r="H303">
        <v>5241.52978515625</v>
      </c>
      <c r="I303">
        <f t="shared" si="21"/>
        <v>-4.1715678913806342E-2</v>
      </c>
      <c r="J303">
        <f t="shared" si="21"/>
        <v>2.4808426347120559E-3</v>
      </c>
      <c r="K303">
        <f t="shared" si="21"/>
        <v>-6.4300491311017929E-5</v>
      </c>
      <c r="L303">
        <f t="shared" si="20"/>
        <v>1.380911062412144E-2</v>
      </c>
      <c r="M303">
        <f t="shared" si="20"/>
        <v>-1.3596844704194472E-2</v>
      </c>
      <c r="N303">
        <f t="shared" si="20"/>
        <v>-8.0284987434872462E-4</v>
      </c>
      <c r="O303">
        <f t="shared" si="20"/>
        <v>3.2313090945288881E-3</v>
      </c>
    </row>
    <row r="304" spans="1:15" x14ac:dyDescent="0.35">
      <c r="A304" s="2">
        <v>45373</v>
      </c>
      <c r="B304">
        <v>170.8860168457031</v>
      </c>
      <c r="C304">
        <v>727.80963134765625</v>
      </c>
      <c r="D304">
        <v>147.10581970214841</v>
      </c>
      <c r="E304">
        <v>188.3633728027344</v>
      </c>
      <c r="F304">
        <v>58.748805999755859</v>
      </c>
      <c r="G304">
        <v>154.64363098144531</v>
      </c>
      <c r="H304">
        <v>5234.18017578125</v>
      </c>
      <c r="I304">
        <f t="shared" si="21"/>
        <v>5.2962593610573613E-3</v>
      </c>
      <c r="J304">
        <f t="shared" si="21"/>
        <v>-1.05052125050122E-2</v>
      </c>
      <c r="K304">
        <f t="shared" si="21"/>
        <v>-3.3441494728228033E-3</v>
      </c>
      <c r="L304">
        <f t="shared" si="20"/>
        <v>-1.2333286088537251E-2</v>
      </c>
      <c r="M304">
        <f t="shared" si="20"/>
        <v>6.8214340488247207E-3</v>
      </c>
      <c r="N304">
        <f t="shared" si="20"/>
        <v>-1.2363681111671261E-3</v>
      </c>
      <c r="O304">
        <f t="shared" si="20"/>
        <v>-1.4031718343267125E-3</v>
      </c>
    </row>
    <row r="305" spans="1:15" x14ac:dyDescent="0.35">
      <c r="A305" s="2">
        <v>45376</v>
      </c>
      <c r="B305">
        <v>169.46757507324219</v>
      </c>
      <c r="C305">
        <v>724.00616455078125</v>
      </c>
      <c r="D305">
        <v>147.0963439941406</v>
      </c>
      <c r="E305">
        <v>186.63897705078119</v>
      </c>
      <c r="F305">
        <v>59.5380859375</v>
      </c>
      <c r="G305">
        <v>153.2374267578125</v>
      </c>
      <c r="H305">
        <v>5218.18994140625</v>
      </c>
      <c r="I305">
        <f t="shared" si="21"/>
        <v>-8.3351550757461267E-3</v>
      </c>
      <c r="J305">
        <f t="shared" si="21"/>
        <v>-5.2396116768609873E-3</v>
      </c>
      <c r="K305">
        <f t="shared" si="21"/>
        <v>-6.4416304027344601E-5</v>
      </c>
      <c r="L305">
        <f t="shared" si="20"/>
        <v>-9.1967845366689709E-3</v>
      </c>
      <c r="M305">
        <f t="shared" si="20"/>
        <v>1.3345378155675639E-2</v>
      </c>
      <c r="N305">
        <f t="shared" si="20"/>
        <v>-9.1347873900412581E-3</v>
      </c>
      <c r="O305">
        <f t="shared" si="20"/>
        <v>-3.0596403820319297E-3</v>
      </c>
    </row>
    <row r="306" spans="1:15" x14ac:dyDescent="0.35">
      <c r="A306" s="2">
        <v>45377</v>
      </c>
      <c r="B306">
        <v>168.3367919921875</v>
      </c>
      <c r="C306">
        <v>724.0260009765625</v>
      </c>
      <c r="D306">
        <v>147.6175537109375</v>
      </c>
      <c r="E306">
        <v>187.51072692871091</v>
      </c>
      <c r="F306">
        <v>58.415977478027337</v>
      </c>
      <c r="G306">
        <v>153.5818176269531</v>
      </c>
      <c r="H306">
        <v>5203.580078125</v>
      </c>
      <c r="I306">
        <f t="shared" si="21"/>
        <v>-6.6949241333913879E-3</v>
      </c>
      <c r="J306">
        <f t="shared" si="21"/>
        <v>2.739776954498096E-5</v>
      </c>
      <c r="K306">
        <f t="shared" si="21"/>
        <v>3.5370592581537635E-3</v>
      </c>
      <c r="L306">
        <f t="shared" si="20"/>
        <v>4.6599072304051607E-3</v>
      </c>
      <c r="M306">
        <f t="shared" si="20"/>
        <v>-1.902676819639124E-2</v>
      </c>
      <c r="N306">
        <f t="shared" si="20"/>
        <v>2.244911426365211E-3</v>
      </c>
      <c r="O306">
        <f t="shared" si="20"/>
        <v>-2.803721982805726E-3</v>
      </c>
    </row>
    <row r="307" spans="1:15" x14ac:dyDescent="0.35">
      <c r="A307" s="2">
        <v>45378</v>
      </c>
      <c r="B307">
        <v>171.90765380859381</v>
      </c>
      <c r="C307">
        <v>725.115478515625</v>
      </c>
      <c r="D307">
        <v>149.69291687011719</v>
      </c>
      <c r="E307">
        <v>191.14161682128909</v>
      </c>
      <c r="F307">
        <v>60.660190582275391</v>
      </c>
      <c r="G307">
        <v>155.55238342285159</v>
      </c>
      <c r="H307">
        <v>5248.490234375</v>
      </c>
      <c r="I307">
        <f t="shared" si="21"/>
        <v>2.0990749286858464E-2</v>
      </c>
      <c r="J307">
        <f t="shared" si="21"/>
        <v>1.5036181901411792E-3</v>
      </c>
      <c r="K307">
        <f t="shared" si="21"/>
        <v>1.3961142133364709E-2</v>
      </c>
      <c r="L307">
        <f t="shared" si="20"/>
        <v>1.91785485745159E-2</v>
      </c>
      <c r="M307">
        <f t="shared" si="20"/>
        <v>3.7698204698212959E-2</v>
      </c>
      <c r="N307">
        <f t="shared" si="20"/>
        <v>1.2749106895341629E-2</v>
      </c>
      <c r="O307">
        <f t="shared" si="20"/>
        <v>8.5935955827060422E-3</v>
      </c>
    </row>
    <row r="308" spans="1:15" x14ac:dyDescent="0.35">
      <c r="A308" s="2">
        <v>45379</v>
      </c>
      <c r="B308">
        <v>170.09245300292969</v>
      </c>
      <c r="C308">
        <v>725.6602783203125</v>
      </c>
      <c r="D308">
        <v>149.91090393066409</v>
      </c>
      <c r="E308">
        <v>191.88887023925781</v>
      </c>
      <c r="F308">
        <v>60.774303436279297</v>
      </c>
      <c r="G308">
        <v>155.20799255371091</v>
      </c>
      <c r="H308">
        <v>5254.35009765625</v>
      </c>
      <c r="I308">
        <f t="shared" si="21"/>
        <v>-1.0615305755336818E-2</v>
      </c>
      <c r="J308">
        <f t="shared" si="21"/>
        <v>7.5104622851499046E-4</v>
      </c>
      <c r="K308">
        <f t="shared" si="21"/>
        <v>1.4551690190746111E-3</v>
      </c>
      <c r="L308">
        <f t="shared" si="20"/>
        <v>3.9018009857216202E-3</v>
      </c>
      <c r="M308">
        <f t="shared" si="20"/>
        <v>1.8794147168033023E-3</v>
      </c>
      <c r="N308">
        <f t="shared" si="20"/>
        <v>-2.2164409413304425E-3</v>
      </c>
      <c r="O308">
        <f t="shared" si="20"/>
        <v>1.1158627007616052E-3</v>
      </c>
    </row>
    <row r="309" spans="1:15" x14ac:dyDescent="0.35">
      <c r="A309" s="2">
        <v>45383</v>
      </c>
      <c r="B309">
        <v>168.65422058105469</v>
      </c>
      <c r="C309">
        <v>714.378662109375</v>
      </c>
      <c r="D309">
        <v>149.5223388671875</v>
      </c>
      <c r="E309">
        <v>190.5859680175781</v>
      </c>
      <c r="F309">
        <v>60.270309448242188</v>
      </c>
      <c r="G309">
        <v>153.61048889160159</v>
      </c>
      <c r="H309">
        <v>5243.77001953125</v>
      </c>
      <c r="I309">
        <f t="shared" si="21"/>
        <v>-8.4915435406884079E-3</v>
      </c>
      <c r="J309">
        <f t="shared" si="21"/>
        <v>-1.566880826229947E-2</v>
      </c>
      <c r="K309">
        <f t="shared" si="21"/>
        <v>-2.5953382994706995E-3</v>
      </c>
      <c r="L309">
        <f t="shared" si="20"/>
        <v>-6.8130351653822438E-3</v>
      </c>
      <c r="M309">
        <f t="shared" si="20"/>
        <v>-8.3274569358069723E-3</v>
      </c>
      <c r="N309">
        <f t="shared" si="20"/>
        <v>-1.0345999399391527E-2</v>
      </c>
      <c r="O309">
        <f t="shared" si="20"/>
        <v>-2.0156145269577246E-3</v>
      </c>
    </row>
    <row r="310" spans="1:15" x14ac:dyDescent="0.35">
      <c r="A310" s="2">
        <v>45384</v>
      </c>
      <c r="B310">
        <v>167.47383117675781</v>
      </c>
      <c r="C310">
        <v>704.533203125</v>
      </c>
      <c r="D310">
        <v>149.47496032714841</v>
      </c>
      <c r="E310">
        <v>190.50933837890619</v>
      </c>
      <c r="F310">
        <v>59.794837951660163</v>
      </c>
      <c r="G310">
        <v>153.60093688964841</v>
      </c>
      <c r="H310">
        <v>5205.81005859375</v>
      </c>
      <c r="I310">
        <f t="shared" si="21"/>
        <v>-7.0234795961347804E-3</v>
      </c>
      <c r="J310">
        <f t="shared" si="21"/>
        <v>-1.387770056334498E-2</v>
      </c>
      <c r="K310">
        <f t="shared" si="21"/>
        <v>-3.1691617658958555E-4</v>
      </c>
      <c r="L310">
        <f t="shared" si="20"/>
        <v>-4.0215472832370874E-4</v>
      </c>
      <c r="M310">
        <f t="shared" si="20"/>
        <v>-7.9202664957820999E-3</v>
      </c>
      <c r="N310">
        <f t="shared" si="20"/>
        <v>-6.2185199863411183E-5</v>
      </c>
      <c r="O310">
        <f t="shared" si="20"/>
        <v>-7.2653882036724264E-3</v>
      </c>
    </row>
    <row r="311" spans="1:15" x14ac:dyDescent="0.35">
      <c r="A311" s="2">
        <v>45385</v>
      </c>
      <c r="B311">
        <v>168.27726745605469</v>
      </c>
      <c r="C311">
        <v>698.97662353515625</v>
      </c>
      <c r="D311">
        <v>146.1865539550781</v>
      </c>
      <c r="E311">
        <v>189.97283935546881</v>
      </c>
      <c r="F311">
        <v>59.481021881103523</v>
      </c>
      <c r="G311">
        <v>149.37274169921881</v>
      </c>
      <c r="H311">
        <v>5211.490234375</v>
      </c>
      <c r="I311">
        <f t="shared" si="21"/>
        <v>4.7859132322996692E-3</v>
      </c>
      <c r="J311">
        <f t="shared" si="21"/>
        <v>-7.9181613354350096E-3</v>
      </c>
      <c r="K311">
        <f t="shared" si="21"/>
        <v>-2.2245316477649664E-2</v>
      </c>
      <c r="L311">
        <f t="shared" si="20"/>
        <v>-2.8201025456474483E-3</v>
      </c>
      <c r="M311">
        <f t="shared" si="20"/>
        <v>-5.2620336604690216E-3</v>
      </c>
      <c r="N311">
        <f t="shared" si="20"/>
        <v>-2.7913115997049025E-2</v>
      </c>
      <c r="O311">
        <f t="shared" si="20"/>
        <v>1.090527523337898E-3</v>
      </c>
    </row>
    <row r="312" spans="1:15" x14ac:dyDescent="0.35">
      <c r="A312" s="2">
        <v>45386</v>
      </c>
      <c r="B312">
        <v>167.45399475097659</v>
      </c>
      <c r="C312">
        <v>698.17431640625</v>
      </c>
      <c r="D312">
        <v>144.51869201660159</v>
      </c>
      <c r="E312">
        <v>188.52742004394531</v>
      </c>
      <c r="F312">
        <v>60.603130340576172</v>
      </c>
      <c r="G312">
        <v>148.70314025878909</v>
      </c>
      <c r="H312">
        <v>5147.2099609375</v>
      </c>
      <c r="I312">
        <f t="shared" si="21"/>
        <v>-4.9043651748904562E-3</v>
      </c>
      <c r="J312">
        <f t="shared" si="21"/>
        <v>-1.1484903945007355E-3</v>
      </c>
      <c r="K312">
        <f t="shared" si="21"/>
        <v>-1.1474717171726616E-2</v>
      </c>
      <c r="L312">
        <f t="shared" si="20"/>
        <v>-7.6376504481067429E-3</v>
      </c>
      <c r="M312">
        <f t="shared" si="20"/>
        <v>1.8689245834663356E-2</v>
      </c>
      <c r="N312">
        <f t="shared" si="20"/>
        <v>-4.4928329148055356E-3</v>
      </c>
      <c r="O312">
        <f t="shared" si="20"/>
        <v>-1.241103561926225E-2</v>
      </c>
    </row>
    <row r="313" spans="1:15" x14ac:dyDescent="0.35">
      <c r="A313" s="2">
        <v>45387</v>
      </c>
      <c r="B313">
        <v>168.20782470703119</v>
      </c>
      <c r="C313">
        <v>706.93017578125</v>
      </c>
      <c r="D313">
        <v>144.41444396972659</v>
      </c>
      <c r="E313">
        <v>190.26191711425781</v>
      </c>
      <c r="F313">
        <v>61.031055450439453</v>
      </c>
      <c r="G313">
        <v>149.32493591308591</v>
      </c>
      <c r="H313">
        <v>5204.33984375</v>
      </c>
      <c r="I313">
        <f t="shared" si="21"/>
        <v>4.4916113761234895E-3</v>
      </c>
      <c r="J313">
        <f t="shared" si="21"/>
        <v>1.2463091193150011E-2</v>
      </c>
      <c r="K313">
        <f t="shared" si="21"/>
        <v>-7.2160675543682926E-4</v>
      </c>
      <c r="L313">
        <f t="shared" si="20"/>
        <v>9.1581732807291798E-3</v>
      </c>
      <c r="M313">
        <f t="shared" si="20"/>
        <v>7.0362928416185669E-3</v>
      </c>
      <c r="N313">
        <f t="shared" si="20"/>
        <v>4.1727381157885468E-3</v>
      </c>
      <c r="O313">
        <f t="shared" si="20"/>
        <v>1.1038050135699558E-2</v>
      </c>
    </row>
    <row r="314" spans="1:15" x14ac:dyDescent="0.35">
      <c r="A314" s="2">
        <v>45390</v>
      </c>
      <c r="B314">
        <v>167.08695983886719</v>
      </c>
      <c r="C314">
        <v>705.03826904296875</v>
      </c>
      <c r="D314">
        <v>143.65629577636719</v>
      </c>
      <c r="E314">
        <v>191.25444030761719</v>
      </c>
      <c r="F314">
        <v>61.677688598632813</v>
      </c>
      <c r="G314">
        <v>149.2675476074219</v>
      </c>
      <c r="H314">
        <v>5202.39013671875</v>
      </c>
      <c r="I314">
        <f t="shared" si="21"/>
        <v>-6.6858722242485501E-3</v>
      </c>
      <c r="J314">
        <f t="shared" si="21"/>
        <v>-2.6798160786525283E-3</v>
      </c>
      <c r="K314">
        <f t="shared" si="21"/>
        <v>-5.2636372889305599E-3</v>
      </c>
      <c r="L314">
        <f t="shared" si="20"/>
        <v>5.2030557178741835E-3</v>
      </c>
      <c r="M314">
        <f t="shared" si="20"/>
        <v>1.0539414103215856E-2</v>
      </c>
      <c r="N314">
        <f t="shared" si="20"/>
        <v>-3.8439217018465652E-4</v>
      </c>
      <c r="O314">
        <f t="shared" si="20"/>
        <v>-3.7470119004157668E-4</v>
      </c>
    </row>
    <row r="315" spans="1:15" x14ac:dyDescent="0.35">
      <c r="A315" s="2">
        <v>45391</v>
      </c>
      <c r="B315">
        <v>168.29710388183591</v>
      </c>
      <c r="C315">
        <v>711.75384521484375</v>
      </c>
      <c r="D315">
        <v>144.3196716308594</v>
      </c>
      <c r="E315">
        <v>189.97283935546881</v>
      </c>
      <c r="F315">
        <v>62.17218017578125</v>
      </c>
      <c r="G315">
        <v>149.86065673828119</v>
      </c>
      <c r="H315">
        <v>5209.91015625</v>
      </c>
      <c r="I315">
        <f t="shared" si="21"/>
        <v>7.2164984904012422E-3</v>
      </c>
      <c r="J315">
        <f t="shared" si="21"/>
        <v>9.4800449536490139E-3</v>
      </c>
      <c r="K315">
        <f t="shared" si="21"/>
        <v>4.6071693680993136E-3</v>
      </c>
      <c r="L315">
        <f t="shared" si="20"/>
        <v>-6.7235785504965199E-3</v>
      </c>
      <c r="M315">
        <f t="shared" si="20"/>
        <v>7.9853811666935823E-3</v>
      </c>
      <c r="N315">
        <f t="shared" si="20"/>
        <v>3.9655900012585139E-3</v>
      </c>
      <c r="O315">
        <f t="shared" si="20"/>
        <v>1.4444494736345207E-3</v>
      </c>
    </row>
    <row r="316" spans="1:15" x14ac:dyDescent="0.35">
      <c r="A316" s="2">
        <v>45392</v>
      </c>
      <c r="B316">
        <v>166.4223937988281</v>
      </c>
      <c r="C316">
        <v>715.70587158203125</v>
      </c>
      <c r="D316">
        <v>142.33906555175781</v>
      </c>
      <c r="E316">
        <v>188.35398864746091</v>
      </c>
      <c r="F316">
        <v>60.869403839111328</v>
      </c>
      <c r="G316">
        <v>150.41545104980469</v>
      </c>
      <c r="H316">
        <v>5160.64013671875</v>
      </c>
      <c r="I316">
        <f t="shared" si="21"/>
        <v>-1.1201795528557225E-2</v>
      </c>
      <c r="J316">
        <f t="shared" si="21"/>
        <v>5.5371600587432275E-3</v>
      </c>
      <c r="K316">
        <f t="shared" si="21"/>
        <v>-1.3818784079726894E-2</v>
      </c>
      <c r="L316">
        <f t="shared" si="20"/>
        <v>-8.5580004825039791E-3</v>
      </c>
      <c r="M316">
        <f t="shared" si="20"/>
        <v>-2.11769871816819E-2</v>
      </c>
      <c r="N316">
        <f t="shared" si="20"/>
        <v>3.6952320110167098E-3</v>
      </c>
      <c r="O316">
        <f t="shared" si="20"/>
        <v>-9.5019818322125919E-3</v>
      </c>
    </row>
    <row r="317" spans="1:15" x14ac:dyDescent="0.35">
      <c r="A317" s="2">
        <v>45393</v>
      </c>
      <c r="B317">
        <v>173.6236572265625</v>
      </c>
      <c r="C317">
        <v>725.3829345703125</v>
      </c>
      <c r="D317">
        <v>141.00285339355469</v>
      </c>
      <c r="E317">
        <v>188.3154296875</v>
      </c>
      <c r="F317">
        <v>60.802833557128913</v>
      </c>
      <c r="G317">
        <v>149.0762023925781</v>
      </c>
      <c r="H317">
        <v>5199.06005859375</v>
      </c>
      <c r="I317">
        <f t="shared" si="21"/>
        <v>4.2360969838059613E-2</v>
      </c>
      <c r="J317">
        <f t="shared" si="21"/>
        <v>1.3430412346095058E-2</v>
      </c>
      <c r="K317">
        <f t="shared" si="21"/>
        <v>-9.4318699398055639E-3</v>
      </c>
      <c r="L317">
        <f t="shared" si="20"/>
        <v>-2.0473634555221476E-4</v>
      </c>
      <c r="M317">
        <f t="shared" si="20"/>
        <v>-1.0942560118821713E-3</v>
      </c>
      <c r="N317">
        <f t="shared" si="20"/>
        <v>-8.9435386173979878E-3</v>
      </c>
      <c r="O317">
        <f t="shared" si="20"/>
        <v>7.4172219833424369E-3</v>
      </c>
    </row>
    <row r="318" spans="1:15" x14ac:dyDescent="0.35">
      <c r="A318" s="2">
        <v>45394</v>
      </c>
      <c r="B318">
        <v>175.1214599609375</v>
      </c>
      <c r="C318">
        <v>724.3529052734375</v>
      </c>
      <c r="D318">
        <v>139.79931640625</v>
      </c>
      <c r="E318">
        <v>176.13560485839841</v>
      </c>
      <c r="F318">
        <v>59.985027313232422</v>
      </c>
      <c r="G318">
        <v>148.58836364746091</v>
      </c>
      <c r="H318">
        <v>5123.41015625</v>
      </c>
      <c r="I318">
        <f t="shared" si="21"/>
        <v>8.5897228087382215E-3</v>
      </c>
      <c r="J318">
        <f t="shared" si="21"/>
        <v>-1.4209891786996485E-3</v>
      </c>
      <c r="K318">
        <f t="shared" si="21"/>
        <v>-8.5721870172982811E-3</v>
      </c>
      <c r="L318">
        <f t="shared" si="20"/>
        <v>-6.6864193834158842E-2</v>
      </c>
      <c r="M318">
        <f t="shared" si="20"/>
        <v>-1.3541406143042282E-2</v>
      </c>
      <c r="N318">
        <f t="shared" si="20"/>
        <v>-3.2777779927141942E-3</v>
      </c>
      <c r="O318">
        <f t="shared" si="20"/>
        <v>-1.4657587802248536E-2</v>
      </c>
    </row>
    <row r="319" spans="1:15" x14ac:dyDescent="0.35">
      <c r="A319" s="2">
        <v>45397</v>
      </c>
      <c r="B319">
        <v>171.29267883300781</v>
      </c>
      <c r="C319">
        <v>711.44683837890625</v>
      </c>
      <c r="D319">
        <v>139.86567687988281</v>
      </c>
      <c r="E319">
        <v>176.23197937011719</v>
      </c>
      <c r="F319">
        <v>59.671211242675781</v>
      </c>
      <c r="G319">
        <v>148.70314025878909</v>
      </c>
      <c r="H319">
        <v>5061.81982421875</v>
      </c>
      <c r="I319">
        <f t="shared" si="21"/>
        <v>-2.2106124541898572E-2</v>
      </c>
      <c r="J319">
        <f t="shared" si="21"/>
        <v>-1.7978014779311203E-2</v>
      </c>
      <c r="K319">
        <f t="shared" si="21"/>
        <v>4.7457119390251678E-4</v>
      </c>
      <c r="L319">
        <f t="shared" si="20"/>
        <v>5.4701123732989567E-4</v>
      </c>
      <c r="M319">
        <f t="shared" si="20"/>
        <v>-5.2453059506397341E-3</v>
      </c>
      <c r="N319">
        <f t="shared" si="20"/>
        <v>7.7214865223320999E-4</v>
      </c>
      <c r="O319">
        <f t="shared" si="20"/>
        <v>-1.2094195787459195E-2</v>
      </c>
    </row>
    <row r="320" spans="1:15" x14ac:dyDescent="0.35">
      <c r="A320" s="2">
        <v>45398</v>
      </c>
      <c r="B320">
        <v>168.00946044921881</v>
      </c>
      <c r="C320">
        <v>709.1588134765625</v>
      </c>
      <c r="D320">
        <v>136.88999938964841</v>
      </c>
      <c r="E320">
        <v>174.21803283691409</v>
      </c>
      <c r="F320">
        <v>58.672737121582031</v>
      </c>
      <c r="G320">
        <v>149.18145751953119</v>
      </c>
      <c r="H320">
        <v>5051.41015625</v>
      </c>
      <c r="I320">
        <f t="shared" si="21"/>
        <v>-1.9353375539624764E-2</v>
      </c>
      <c r="J320">
        <f t="shared" si="21"/>
        <v>-3.2211991804446272E-3</v>
      </c>
      <c r="K320">
        <f t="shared" si="21"/>
        <v>-2.1504832035011946E-2</v>
      </c>
      <c r="L320">
        <f t="shared" si="20"/>
        <v>-1.1493614688149786E-2</v>
      </c>
      <c r="M320">
        <f t="shared" si="20"/>
        <v>-1.6874505670179982E-2</v>
      </c>
      <c r="N320">
        <f t="shared" si="20"/>
        <v>3.211429361533642E-3</v>
      </c>
      <c r="O320">
        <f t="shared" si="20"/>
        <v>-2.0586245275039964E-3</v>
      </c>
    </row>
    <row r="321" spans="1:15" x14ac:dyDescent="0.35">
      <c r="A321" s="2">
        <v>45399</v>
      </c>
      <c r="B321">
        <v>166.640625</v>
      </c>
      <c r="C321">
        <v>708.38623046875</v>
      </c>
      <c r="D321">
        <v>137.1932678222656</v>
      </c>
      <c r="E321">
        <v>173.5242614746094</v>
      </c>
      <c r="F321">
        <v>60.660190582275391</v>
      </c>
      <c r="G321">
        <v>150.14762878417969</v>
      </c>
      <c r="H321">
        <v>5022.2099609375</v>
      </c>
      <c r="I321">
        <f t="shared" si="21"/>
        <v>-8.1807424697385098E-3</v>
      </c>
      <c r="J321">
        <f t="shared" si="21"/>
        <v>-1.0900296785752428E-3</v>
      </c>
      <c r="K321">
        <f t="shared" si="21"/>
        <v>2.2129665883403042E-3</v>
      </c>
      <c r="L321">
        <f t="shared" si="20"/>
        <v>-3.9901518689706549E-3</v>
      </c>
      <c r="M321">
        <f t="shared" si="20"/>
        <v>3.3312469386489491E-2</v>
      </c>
      <c r="N321">
        <f t="shared" si="20"/>
        <v>6.4556013048534516E-3</v>
      </c>
      <c r="O321">
        <f t="shared" si="20"/>
        <v>-5.7973750760041852E-3</v>
      </c>
    </row>
    <row r="322" spans="1:15" x14ac:dyDescent="0.35">
      <c r="A322" s="2">
        <v>45400</v>
      </c>
      <c r="B322">
        <v>165.68836975097659</v>
      </c>
      <c r="C322">
        <v>704.48358154296875</v>
      </c>
      <c r="D322">
        <v>138.11248779296881</v>
      </c>
      <c r="E322">
        <v>174.65167236328119</v>
      </c>
      <c r="F322">
        <v>60.869403839111328</v>
      </c>
      <c r="G322">
        <v>151.4348449707031</v>
      </c>
      <c r="H322">
        <v>5011.1201171875</v>
      </c>
      <c r="I322">
        <f t="shared" si="21"/>
        <v>-5.7308141645466826E-3</v>
      </c>
      <c r="J322">
        <f t="shared" si="21"/>
        <v>-5.5244422637661548E-3</v>
      </c>
      <c r="K322">
        <f t="shared" si="21"/>
        <v>6.6778363175343048E-3</v>
      </c>
      <c r="L322">
        <f t="shared" si="20"/>
        <v>6.4761215202719467E-3</v>
      </c>
      <c r="M322">
        <f t="shared" si="20"/>
        <v>3.4430043892548137E-3</v>
      </c>
      <c r="N322">
        <f t="shared" si="20"/>
        <v>8.5364642529691132E-3</v>
      </c>
      <c r="O322">
        <f t="shared" si="20"/>
        <v>-2.2106017004853043E-3</v>
      </c>
    </row>
    <row r="323" spans="1:15" x14ac:dyDescent="0.35">
      <c r="A323" s="2">
        <v>45401</v>
      </c>
      <c r="B323">
        <v>163.6649169921875</v>
      </c>
      <c r="C323">
        <v>702.76019287109375</v>
      </c>
      <c r="D323">
        <v>140.1689147949219</v>
      </c>
      <c r="E323">
        <v>179.0360412597656</v>
      </c>
      <c r="F323">
        <v>61.145168304443359</v>
      </c>
      <c r="G323">
        <v>152.2532043457031</v>
      </c>
      <c r="H323">
        <v>4967.22998046875</v>
      </c>
      <c r="I323">
        <f t="shared" si="21"/>
        <v>-1.2287584787397898E-2</v>
      </c>
      <c r="J323">
        <f t="shared" si="21"/>
        <v>-2.4493120023384584E-3</v>
      </c>
      <c r="K323">
        <f t="shared" si="21"/>
        <v>1.4779747526635972E-2</v>
      </c>
      <c r="L323">
        <f t="shared" si="20"/>
        <v>2.4793586673294614E-2</v>
      </c>
      <c r="M323">
        <f t="shared" si="20"/>
        <v>4.5201967277563211E-3</v>
      </c>
      <c r="N323">
        <f t="shared" si="20"/>
        <v>5.3894867296799135E-3</v>
      </c>
      <c r="O323">
        <f t="shared" si="20"/>
        <v>-8.7971296540569743E-3</v>
      </c>
    </row>
    <row r="324" spans="1:15" x14ac:dyDescent="0.35">
      <c r="A324" s="2">
        <v>45404</v>
      </c>
      <c r="B324">
        <v>164.49809265136719</v>
      </c>
      <c r="C324">
        <v>708.6536865234375</v>
      </c>
      <c r="D324">
        <v>141.3155822753906</v>
      </c>
      <c r="E324">
        <v>182.5146179199219</v>
      </c>
      <c r="F324">
        <v>62.105609893798828</v>
      </c>
      <c r="G324">
        <v>154.5638732910156</v>
      </c>
      <c r="H324">
        <v>5010.60009765625</v>
      </c>
      <c r="I324">
        <f t="shared" si="21"/>
        <v>5.0778267198559974E-3</v>
      </c>
      <c r="J324">
        <f t="shared" si="21"/>
        <v>8.3512398325396413E-3</v>
      </c>
      <c r="K324">
        <f t="shared" si="21"/>
        <v>8.1473319865551213E-3</v>
      </c>
      <c r="L324">
        <f t="shared" si="20"/>
        <v>1.9243134613287388E-2</v>
      </c>
      <c r="M324">
        <f t="shared" si="20"/>
        <v>1.5585476129586264E-2</v>
      </c>
      <c r="N324">
        <f t="shared" si="20"/>
        <v>1.5062477288754136E-2</v>
      </c>
      <c r="O324">
        <f t="shared" si="20"/>
        <v>8.6933511568390801E-3</v>
      </c>
    </row>
    <row r="325" spans="1:15" x14ac:dyDescent="0.35">
      <c r="A325" s="2">
        <v>45405</v>
      </c>
      <c r="B325">
        <v>165.5495300292969</v>
      </c>
      <c r="C325">
        <v>715.80499267578125</v>
      </c>
      <c r="D325">
        <v>141.7325439453125</v>
      </c>
      <c r="E325">
        <v>185.14521789550781</v>
      </c>
      <c r="F325">
        <v>62.951942443847663</v>
      </c>
      <c r="G325">
        <v>155.4881286621094</v>
      </c>
      <c r="H325">
        <v>5070.5498046875</v>
      </c>
      <c r="I325">
        <f t="shared" si="21"/>
        <v>6.3714498310585991E-3</v>
      </c>
      <c r="J325">
        <f t="shared" si="21"/>
        <v>1.0040819489400879E-2</v>
      </c>
      <c r="K325">
        <f t="shared" si="21"/>
        <v>2.9462266866076892E-3</v>
      </c>
      <c r="L325">
        <f t="shared" si="20"/>
        <v>1.4310210748226507E-2</v>
      </c>
      <c r="M325">
        <f t="shared" si="20"/>
        <v>1.3535295632516906E-2</v>
      </c>
      <c r="N325">
        <f t="shared" si="20"/>
        <v>5.9619554331831696E-3</v>
      </c>
      <c r="O325">
        <f t="shared" si="20"/>
        <v>1.1893566567722089E-2</v>
      </c>
    </row>
    <row r="326" spans="1:15" x14ac:dyDescent="0.35">
      <c r="A326" s="2">
        <v>45406</v>
      </c>
      <c r="B326">
        <v>167.65238952636719</v>
      </c>
      <c r="C326">
        <v>717.0035400390625</v>
      </c>
      <c r="D326">
        <v>140.7564392089844</v>
      </c>
      <c r="E326">
        <v>186.05101013183591</v>
      </c>
      <c r="F326">
        <v>63.294284820556641</v>
      </c>
      <c r="G326">
        <v>156.54716491699219</v>
      </c>
      <c r="H326">
        <v>5071.6298828125</v>
      </c>
      <c r="I326">
        <f t="shared" si="21"/>
        <v>1.2622300731033372E-2</v>
      </c>
      <c r="J326">
        <f t="shared" si="21"/>
        <v>1.6730046136254498E-3</v>
      </c>
      <c r="K326">
        <f t="shared" si="21"/>
        <v>-6.9107730165163233E-3</v>
      </c>
      <c r="L326">
        <f t="shared" si="21"/>
        <v>4.8804053802735409E-3</v>
      </c>
      <c r="M326">
        <f t="shared" si="21"/>
        <v>5.4234209330530671E-3</v>
      </c>
      <c r="N326">
        <f t="shared" si="21"/>
        <v>6.7879521518510065E-3</v>
      </c>
      <c r="O326">
        <f t="shared" si="21"/>
        <v>2.1298737793290078E-4</v>
      </c>
    </row>
    <row r="327" spans="1:15" x14ac:dyDescent="0.35">
      <c r="A327" s="2">
        <v>45407</v>
      </c>
      <c r="B327">
        <v>168.5153503417969</v>
      </c>
      <c r="C327">
        <v>716.14044189453125</v>
      </c>
      <c r="D327">
        <v>139.13597106933591</v>
      </c>
      <c r="E327">
        <v>186.3304443359375</v>
      </c>
      <c r="F327">
        <v>63.617595672607422</v>
      </c>
      <c r="G327">
        <v>156.49903869628909</v>
      </c>
      <c r="H327">
        <v>5048.419921875</v>
      </c>
      <c r="I327">
        <f t="shared" ref="I327:O363" si="22">LN(B327/B326)</f>
        <v>5.1341197186023368E-3</v>
      </c>
      <c r="J327">
        <f t="shared" si="22"/>
        <v>-1.204482256854171E-3</v>
      </c>
      <c r="K327">
        <f t="shared" si="22"/>
        <v>-1.1579351110039908E-2</v>
      </c>
      <c r="L327">
        <f t="shared" si="22"/>
        <v>1.5007957737879002E-3</v>
      </c>
      <c r="M327">
        <f t="shared" si="22"/>
        <v>5.095055722321635E-3</v>
      </c>
      <c r="N327">
        <f t="shared" si="22"/>
        <v>-3.0747040230328499E-4</v>
      </c>
      <c r="O327">
        <f t="shared" si="22"/>
        <v>-4.5869342701194095E-3</v>
      </c>
    </row>
    <row r="328" spans="1:15" x14ac:dyDescent="0.35">
      <c r="A328" s="2">
        <v>45408</v>
      </c>
      <c r="B328">
        <v>167.93009948730469</v>
      </c>
      <c r="C328">
        <v>723.40228271484375</v>
      </c>
      <c r="D328">
        <v>138.4915771484375</v>
      </c>
      <c r="E328">
        <v>186.44610595703119</v>
      </c>
      <c r="F328">
        <v>62.752246856689453</v>
      </c>
      <c r="G328">
        <v>155.28593444824219</v>
      </c>
      <c r="H328">
        <v>5099.9599609375</v>
      </c>
      <c r="I328">
        <f t="shared" si="22"/>
        <v>-3.4790272544592054E-3</v>
      </c>
      <c r="J328">
        <f t="shared" si="22"/>
        <v>1.0089179425606973E-2</v>
      </c>
      <c r="K328">
        <f t="shared" si="22"/>
        <v>-4.6421551624651119E-3</v>
      </c>
      <c r="L328">
        <f t="shared" si="22"/>
        <v>6.2054131202358054E-4</v>
      </c>
      <c r="M328">
        <f t="shared" si="22"/>
        <v>-1.3695709749356928E-2</v>
      </c>
      <c r="N328">
        <f t="shared" si="22"/>
        <v>-7.7817115907587737E-3</v>
      </c>
      <c r="O328">
        <f t="shared" si="22"/>
        <v>1.0157381332325343E-2</v>
      </c>
    </row>
    <row r="329" spans="1:15" x14ac:dyDescent="0.35">
      <c r="A329" s="2">
        <v>45411</v>
      </c>
      <c r="B329">
        <v>172.09613037109381</v>
      </c>
      <c r="C329">
        <v>720.574951171875</v>
      </c>
      <c r="D329">
        <v>139.13597106933591</v>
      </c>
      <c r="E329">
        <v>186.24372863769531</v>
      </c>
      <c r="F329">
        <v>64.112083435058594</v>
      </c>
      <c r="G329">
        <v>155.64216613769531</v>
      </c>
      <c r="H329">
        <v>5116.169921875</v>
      </c>
      <c r="I329">
        <f t="shared" si="22"/>
        <v>2.4505399854844713E-2</v>
      </c>
      <c r="J329">
        <f t="shared" si="22"/>
        <v>-3.9160384108491361E-3</v>
      </c>
      <c r="K329">
        <f t="shared" si="22"/>
        <v>4.6421551624651891E-3</v>
      </c>
      <c r="L329">
        <f t="shared" si="22"/>
        <v>-1.0860362716762948E-3</v>
      </c>
      <c r="M329">
        <f t="shared" si="22"/>
        <v>2.1438471436327346E-2</v>
      </c>
      <c r="N329">
        <f t="shared" si="22"/>
        <v>2.2914097802660149E-3</v>
      </c>
      <c r="O329">
        <f t="shared" si="22"/>
        <v>3.1734080766393944E-3</v>
      </c>
    </row>
    <row r="330" spans="1:15" x14ac:dyDescent="0.35">
      <c r="A330" s="2">
        <v>45412</v>
      </c>
      <c r="B330">
        <v>168.9517822265625</v>
      </c>
      <c r="C330">
        <v>717.17218017578125</v>
      </c>
      <c r="D330">
        <v>137.02265930175781</v>
      </c>
      <c r="E330">
        <v>184.7597961425781</v>
      </c>
      <c r="F330">
        <v>63.684158325195313</v>
      </c>
      <c r="G330">
        <v>157.12486267089841</v>
      </c>
      <c r="H330">
        <v>5035.68994140625</v>
      </c>
      <c r="I330">
        <f t="shared" si="22"/>
        <v>-1.843985624984653E-2</v>
      </c>
      <c r="J330">
        <f t="shared" si="22"/>
        <v>-4.7334851524396607E-3</v>
      </c>
      <c r="K330">
        <f t="shared" si="22"/>
        <v>-1.5305355612986899E-2</v>
      </c>
      <c r="L330">
        <f t="shared" si="22"/>
        <v>-7.9996027504499276E-3</v>
      </c>
      <c r="M330">
        <f t="shared" si="22"/>
        <v>-6.6970155512959722E-3</v>
      </c>
      <c r="N330">
        <f t="shared" si="22"/>
        <v>9.4812272631202166E-3</v>
      </c>
      <c r="O330">
        <f t="shared" si="22"/>
        <v>-1.5855551118928123E-2</v>
      </c>
    </row>
    <row r="331" spans="1:15" x14ac:dyDescent="0.35">
      <c r="A331" s="2">
        <v>45413</v>
      </c>
      <c r="B331">
        <v>167.93009948730469</v>
      </c>
      <c r="C331">
        <v>716.4974365234375</v>
      </c>
      <c r="D331">
        <v>143.26776123046881</v>
      </c>
      <c r="E331">
        <v>184.87542724609381</v>
      </c>
      <c r="F331">
        <v>65.243698120117188</v>
      </c>
      <c r="G331">
        <v>157.3173828125</v>
      </c>
      <c r="H331">
        <v>5018.39013671875</v>
      </c>
      <c r="I331">
        <f t="shared" si="22"/>
        <v>-6.0655436049981406E-3</v>
      </c>
      <c r="J331">
        <f t="shared" si="22"/>
        <v>-9.4128200012563148E-4</v>
      </c>
      <c r="K331">
        <f t="shared" si="22"/>
        <v>4.4569027041417519E-2</v>
      </c>
      <c r="L331">
        <f t="shared" si="22"/>
        <v>6.2564982972944166E-4</v>
      </c>
      <c r="M331">
        <f t="shared" si="22"/>
        <v>2.4193621267005434E-2</v>
      </c>
      <c r="N331">
        <f t="shared" si="22"/>
        <v>1.2245184508319616E-3</v>
      </c>
      <c r="O331">
        <f t="shared" si="22"/>
        <v>-3.4413534856316866E-3</v>
      </c>
    </row>
    <row r="332" spans="1:15" x14ac:dyDescent="0.35">
      <c r="A332" s="2">
        <v>45414</v>
      </c>
      <c r="B332">
        <v>171.6299133300781</v>
      </c>
      <c r="C332">
        <v>726.63653564453125</v>
      </c>
      <c r="D332">
        <v>142.0736999511719</v>
      </c>
      <c r="E332">
        <v>184.68269348144531</v>
      </c>
      <c r="F332">
        <v>65.471931457519531</v>
      </c>
      <c r="G332">
        <v>157.74101257324219</v>
      </c>
      <c r="H332">
        <v>5064.2001953125</v>
      </c>
      <c r="I332">
        <f t="shared" si="22"/>
        <v>2.1792673627302455E-2</v>
      </c>
      <c r="J332">
        <f t="shared" si="22"/>
        <v>1.4051732060234783E-2</v>
      </c>
      <c r="K332">
        <f t="shared" si="22"/>
        <v>-8.3693988554061245E-3</v>
      </c>
      <c r="L332">
        <f t="shared" si="22"/>
        <v>-1.0430499091338952E-3</v>
      </c>
      <c r="M332">
        <f t="shared" si="22"/>
        <v>3.4920624270009647E-3</v>
      </c>
      <c r="N332">
        <f t="shared" si="22"/>
        <v>2.6892158549010553E-3</v>
      </c>
      <c r="O332">
        <f t="shared" si="22"/>
        <v>9.0870247250848558E-3</v>
      </c>
    </row>
    <row r="333" spans="1:15" x14ac:dyDescent="0.35">
      <c r="A333" s="2">
        <v>45415</v>
      </c>
      <c r="B333">
        <v>181.89616394042969</v>
      </c>
      <c r="C333">
        <v>738.0057373046875</v>
      </c>
      <c r="D333">
        <v>141.45771789550781</v>
      </c>
      <c r="E333">
        <v>183.5745544433594</v>
      </c>
      <c r="F333">
        <v>66.698623657226563</v>
      </c>
      <c r="G333">
        <v>158.33795166015619</v>
      </c>
      <c r="H333">
        <v>5127.7900390625</v>
      </c>
      <c r="I333">
        <f t="shared" si="22"/>
        <v>5.8095504496816122E-2</v>
      </c>
      <c r="J333">
        <f t="shared" si="22"/>
        <v>1.5525197149867382E-2</v>
      </c>
      <c r="K333">
        <f t="shared" si="22"/>
        <v>-4.3450777305152882E-3</v>
      </c>
      <c r="L333">
        <f t="shared" si="22"/>
        <v>-6.0183058938392126E-3</v>
      </c>
      <c r="M333">
        <f t="shared" si="22"/>
        <v>1.8562794453486652E-2</v>
      </c>
      <c r="N333">
        <f t="shared" si="22"/>
        <v>3.7771561170981227E-3</v>
      </c>
      <c r="O333">
        <f t="shared" si="22"/>
        <v>1.2478557659508005E-2</v>
      </c>
    </row>
    <row r="334" spans="1:15" x14ac:dyDescent="0.35">
      <c r="A334" s="2">
        <v>45418</v>
      </c>
      <c r="B334">
        <v>180.23970031738281</v>
      </c>
      <c r="C334">
        <v>750.4561767578125</v>
      </c>
      <c r="D334">
        <v>140.80384826660159</v>
      </c>
      <c r="E334">
        <v>185.01033020019531</v>
      </c>
      <c r="F334">
        <v>67.754173278808594</v>
      </c>
      <c r="G334">
        <v>158.3186950683594</v>
      </c>
      <c r="H334">
        <v>5180.740234375</v>
      </c>
      <c r="I334">
        <f t="shared" si="22"/>
        <v>-9.1483630279508808E-3</v>
      </c>
      <c r="J334">
        <f t="shared" si="22"/>
        <v>1.6729658611244574E-2</v>
      </c>
      <c r="K334">
        <f t="shared" si="22"/>
        <v>-4.6330841809694573E-3</v>
      </c>
      <c r="L334">
        <f t="shared" si="22"/>
        <v>7.7907862142132071E-3</v>
      </c>
      <c r="M334">
        <f t="shared" si="22"/>
        <v>1.5701738189427581E-2</v>
      </c>
      <c r="N334">
        <f t="shared" si="22"/>
        <v>-1.216244283483761E-4</v>
      </c>
      <c r="O334">
        <f t="shared" si="22"/>
        <v>1.0273173691247842E-2</v>
      </c>
    </row>
    <row r="335" spans="1:15" x14ac:dyDescent="0.35">
      <c r="A335" s="2">
        <v>45419</v>
      </c>
      <c r="B335">
        <v>180.9241027832031</v>
      </c>
      <c r="C335">
        <v>765.198486328125</v>
      </c>
      <c r="D335">
        <v>140.9365234375</v>
      </c>
      <c r="E335">
        <v>184.76942443847659</v>
      </c>
      <c r="F335">
        <v>68.419830322265625</v>
      </c>
      <c r="G335">
        <v>159.58955383300781</v>
      </c>
      <c r="H335">
        <v>5187.7001953125</v>
      </c>
      <c r="I335">
        <f t="shared" si="22"/>
        <v>3.7899882500674526E-3</v>
      </c>
      <c r="J335">
        <f t="shared" si="22"/>
        <v>1.9454002118164518E-2</v>
      </c>
      <c r="K335">
        <f t="shared" si="22"/>
        <v>9.4182583705154361E-4</v>
      </c>
      <c r="L335">
        <f t="shared" si="22"/>
        <v>-1.3029690932475947E-3</v>
      </c>
      <c r="M335">
        <f t="shared" si="22"/>
        <v>9.7766435289666394E-3</v>
      </c>
      <c r="N335">
        <f t="shared" si="22"/>
        <v>7.9951718067566742E-3</v>
      </c>
      <c r="O335">
        <f t="shared" si="22"/>
        <v>1.3425282288256131E-3</v>
      </c>
    </row>
    <row r="336" spans="1:15" x14ac:dyDescent="0.35">
      <c r="A336" s="2">
        <v>45420</v>
      </c>
      <c r="B336">
        <v>181.26136779785159</v>
      </c>
      <c r="C336">
        <v>757.361083984375</v>
      </c>
      <c r="D336">
        <v>141.15447998046881</v>
      </c>
      <c r="E336">
        <v>188.52742004394531</v>
      </c>
      <c r="F336">
        <v>69.275657653808594</v>
      </c>
      <c r="G336">
        <v>158.92521667480469</v>
      </c>
      <c r="H336">
        <v>5187.669921875</v>
      </c>
      <c r="I336">
        <f t="shared" si="22"/>
        <v>1.8623889665748644E-3</v>
      </c>
      <c r="J336">
        <f t="shared" si="22"/>
        <v>-1.0295126338644722E-2</v>
      </c>
      <c r="K336">
        <f t="shared" si="22"/>
        <v>1.5452927154712768E-3</v>
      </c>
      <c r="L336">
        <f t="shared" si="22"/>
        <v>2.0134767387137605E-2</v>
      </c>
      <c r="M336">
        <f t="shared" si="22"/>
        <v>1.2430884479785929E-2</v>
      </c>
      <c r="N336">
        <f t="shared" si="22"/>
        <v>-4.171474500218402E-3</v>
      </c>
      <c r="O336">
        <f t="shared" si="22"/>
        <v>-5.8356351934249121E-6</v>
      </c>
    </row>
    <row r="337" spans="1:15" x14ac:dyDescent="0.35">
      <c r="A337" s="2">
        <v>45421</v>
      </c>
      <c r="B337">
        <v>183.0765686035156</v>
      </c>
      <c r="C337">
        <v>772.8673095703125</v>
      </c>
      <c r="D337">
        <v>142.00738525390619</v>
      </c>
      <c r="E337">
        <v>190.31010437011719</v>
      </c>
      <c r="F337">
        <v>70.9207763671875</v>
      </c>
      <c r="G337">
        <v>159.85911560058591</v>
      </c>
      <c r="H337">
        <v>5214.080078125</v>
      </c>
      <c r="I337">
        <f t="shared" si="22"/>
        <v>9.9644623500891177E-3</v>
      </c>
      <c r="J337">
        <f t="shared" si="22"/>
        <v>2.026724432412947E-2</v>
      </c>
      <c r="K337">
        <f t="shared" si="22"/>
        <v>6.0241717372741367E-3</v>
      </c>
      <c r="L337">
        <f t="shared" si="22"/>
        <v>9.4114092171436927E-3</v>
      </c>
      <c r="M337">
        <f t="shared" si="22"/>
        <v>2.3469844147282381E-2</v>
      </c>
      <c r="N337">
        <f t="shared" si="22"/>
        <v>5.8591436461700296E-3</v>
      </c>
      <c r="O337">
        <f t="shared" si="22"/>
        <v>5.0780326391067108E-3</v>
      </c>
    </row>
    <row r="338" spans="1:15" x14ac:dyDescent="0.35">
      <c r="A338" s="2">
        <v>45422</v>
      </c>
      <c r="B338">
        <v>181.81512451171881</v>
      </c>
      <c r="C338">
        <v>780.95263671875</v>
      </c>
      <c r="D338">
        <v>142.0642395019531</v>
      </c>
      <c r="E338">
        <v>191.53385925292969</v>
      </c>
      <c r="F338">
        <v>70.169540405273438</v>
      </c>
      <c r="G338">
        <v>160.63897705078119</v>
      </c>
      <c r="H338">
        <v>5222.68017578125</v>
      </c>
      <c r="I338">
        <f t="shared" si="22"/>
        <v>-6.9141015860361942E-3</v>
      </c>
      <c r="J338">
        <f t="shared" si="22"/>
        <v>1.0407126183788643E-2</v>
      </c>
      <c r="K338">
        <f t="shared" si="22"/>
        <v>4.0028108301841544E-4</v>
      </c>
      <c r="L338">
        <f t="shared" si="22"/>
        <v>6.409733761388362E-3</v>
      </c>
      <c r="M338">
        <f t="shared" si="22"/>
        <v>-1.0649108719660402E-2</v>
      </c>
      <c r="N338">
        <f t="shared" si="22"/>
        <v>4.8665686768779729E-3</v>
      </c>
      <c r="O338">
        <f t="shared" si="22"/>
        <v>1.648040080166728E-3</v>
      </c>
    </row>
    <row r="339" spans="1:15" x14ac:dyDescent="0.35">
      <c r="A339" s="2">
        <v>45425</v>
      </c>
      <c r="B339">
        <v>185.02333068847659</v>
      </c>
      <c r="C339">
        <v>769.00811767578125</v>
      </c>
      <c r="D339">
        <v>143.3056945800781</v>
      </c>
      <c r="E339">
        <v>191.49531555175781</v>
      </c>
      <c r="F339">
        <v>70.9207763671875</v>
      </c>
      <c r="G339">
        <v>159.6954345703125</v>
      </c>
      <c r="H339">
        <v>5221.419921875</v>
      </c>
      <c r="I339">
        <f t="shared" si="22"/>
        <v>1.7491557539711381E-2</v>
      </c>
      <c r="J339">
        <f t="shared" si="22"/>
        <v>-1.5412977999242095E-2</v>
      </c>
      <c r="K339">
        <f t="shared" si="22"/>
        <v>8.7007267524156478E-3</v>
      </c>
      <c r="L339">
        <f t="shared" si="22"/>
        <v>-2.0125726099908003E-4</v>
      </c>
      <c r="M339">
        <f t="shared" si="22"/>
        <v>1.0649108719660471E-2</v>
      </c>
      <c r="N339">
        <f t="shared" si="22"/>
        <v>-5.8910012471580916E-3</v>
      </c>
      <c r="O339">
        <f t="shared" si="22"/>
        <v>-2.4133317386520824E-4</v>
      </c>
    </row>
    <row r="340" spans="1:15" x14ac:dyDescent="0.35">
      <c r="A340" s="2">
        <v>45426</v>
      </c>
      <c r="B340">
        <v>186.16557312011719</v>
      </c>
      <c r="C340">
        <v>771.73626708984375</v>
      </c>
      <c r="D340">
        <v>143.4573059082031</v>
      </c>
      <c r="E340">
        <v>194.17411804199219</v>
      </c>
      <c r="F340">
        <v>71.719573974609375</v>
      </c>
      <c r="G340">
        <v>159.58955383300781</v>
      </c>
      <c r="H340">
        <v>5246.68017578125</v>
      </c>
      <c r="I340">
        <f t="shared" si="22"/>
        <v>6.1545268483276568E-3</v>
      </c>
      <c r="J340">
        <f t="shared" si="22"/>
        <v>3.5413431224616976E-3</v>
      </c>
      <c r="K340">
        <f t="shared" si="22"/>
        <v>1.0573982138080804E-3</v>
      </c>
      <c r="L340">
        <f t="shared" si="22"/>
        <v>1.3891925766545358E-2</v>
      </c>
      <c r="M340">
        <f t="shared" si="22"/>
        <v>1.1200280369559244E-2</v>
      </c>
      <c r="N340">
        <f t="shared" si="22"/>
        <v>-6.6323657567134934E-4</v>
      </c>
      <c r="O340">
        <f t="shared" si="22"/>
        <v>4.8261485274540411E-3</v>
      </c>
    </row>
    <row r="341" spans="1:15" x14ac:dyDescent="0.35">
      <c r="A341" s="2">
        <v>45427</v>
      </c>
      <c r="B341">
        <v>188.44012451171881</v>
      </c>
      <c r="C341">
        <v>780.80389404296875</v>
      </c>
      <c r="D341">
        <v>144.67979431152341</v>
      </c>
      <c r="E341">
        <v>194.75225830078119</v>
      </c>
      <c r="F341">
        <v>73.26959228515625</v>
      </c>
      <c r="G341">
        <v>160.31163024902341</v>
      </c>
      <c r="H341">
        <v>5308.14990234375</v>
      </c>
      <c r="I341">
        <f t="shared" si="22"/>
        <v>1.2143858776735187E-2</v>
      </c>
      <c r="J341">
        <f t="shared" si="22"/>
        <v>1.1681153616351756E-2</v>
      </c>
      <c r="K341">
        <f t="shared" si="22"/>
        <v>8.4855142757552394E-3</v>
      </c>
      <c r="L341">
        <f t="shared" si="22"/>
        <v>2.9730083624734003E-3</v>
      </c>
      <c r="M341">
        <f t="shared" si="22"/>
        <v>2.1381975003260535E-2</v>
      </c>
      <c r="N341">
        <f t="shared" si="22"/>
        <v>4.5143793036642437E-3</v>
      </c>
      <c r="O341">
        <f t="shared" si="22"/>
        <v>1.1647827787299621E-2</v>
      </c>
    </row>
    <row r="342" spans="1:15" x14ac:dyDescent="0.35">
      <c r="A342" s="2">
        <v>45428</v>
      </c>
      <c r="B342">
        <v>188.5592956542969</v>
      </c>
      <c r="C342">
        <v>786.7861328125</v>
      </c>
      <c r="D342">
        <v>146.2055358886719</v>
      </c>
      <c r="E342">
        <v>195.09916687011719</v>
      </c>
      <c r="F342">
        <v>72.660995483398438</v>
      </c>
      <c r="G342">
        <v>161.6113586425781</v>
      </c>
      <c r="H342">
        <v>5297.10009765625</v>
      </c>
      <c r="I342">
        <f t="shared" si="22"/>
        <v>6.3220864634154906E-4</v>
      </c>
      <c r="J342">
        <f t="shared" si="22"/>
        <v>7.6324392320171229E-3</v>
      </c>
      <c r="K342">
        <f t="shared" si="22"/>
        <v>1.0490426370233969E-2</v>
      </c>
      <c r="L342">
        <f t="shared" si="22"/>
        <v>1.7796967690864455E-3</v>
      </c>
      <c r="M342">
        <f t="shared" si="22"/>
        <v>-8.340956333810658E-3</v>
      </c>
      <c r="N342">
        <f t="shared" si="22"/>
        <v>8.0748222435308471E-3</v>
      </c>
      <c r="O342">
        <f t="shared" si="22"/>
        <v>-2.0838374740880464E-3</v>
      </c>
    </row>
    <row r="343" spans="1:15" x14ac:dyDescent="0.35">
      <c r="A343" s="2">
        <v>45429</v>
      </c>
      <c r="B343">
        <v>188.589111328125</v>
      </c>
      <c r="C343">
        <v>789.5042724609375</v>
      </c>
      <c r="D343">
        <v>146.54669189453119</v>
      </c>
      <c r="E343">
        <v>197.3346862792969</v>
      </c>
      <c r="F343">
        <v>72.356697082519531</v>
      </c>
      <c r="G343">
        <v>161.39959716796881</v>
      </c>
      <c r="H343">
        <v>5303.27001953125</v>
      </c>
      <c r="I343">
        <f t="shared" si="22"/>
        <v>1.5811109546373826E-4</v>
      </c>
      <c r="J343">
        <f t="shared" si="22"/>
        <v>3.4487837184031178E-3</v>
      </c>
      <c r="K343">
        <f t="shared" si="22"/>
        <v>2.330681907186763E-3</v>
      </c>
      <c r="L343">
        <f t="shared" si="22"/>
        <v>1.139322498858537E-2</v>
      </c>
      <c r="M343">
        <f t="shared" si="22"/>
        <v>-4.1967134094249656E-3</v>
      </c>
      <c r="N343">
        <f t="shared" si="22"/>
        <v>-1.3111722753538777E-3</v>
      </c>
      <c r="O343">
        <f t="shared" si="22"/>
        <v>1.1640956878937513E-3</v>
      </c>
    </row>
    <row r="344" spans="1:15" x14ac:dyDescent="0.35">
      <c r="A344" s="2">
        <v>45432</v>
      </c>
      <c r="B344">
        <v>189.75120544433591</v>
      </c>
      <c r="C344">
        <v>786.71661376953125</v>
      </c>
      <c r="D344">
        <v>144.51182556152341</v>
      </c>
      <c r="E344">
        <v>188.4599914550781</v>
      </c>
      <c r="F344">
        <v>72.147499084472656</v>
      </c>
      <c r="G344">
        <v>161.08184814453119</v>
      </c>
      <c r="H344">
        <v>5308.1298828125</v>
      </c>
      <c r="I344">
        <f t="shared" si="22"/>
        <v>6.1431347350165482E-3</v>
      </c>
      <c r="J344">
        <f t="shared" si="22"/>
        <v>-3.537145868599659E-3</v>
      </c>
      <c r="K344">
        <f t="shared" si="22"/>
        <v>-1.3982751681624645E-2</v>
      </c>
      <c r="L344">
        <f t="shared" si="22"/>
        <v>-4.6015464899641347E-2</v>
      </c>
      <c r="M344">
        <f t="shared" si="22"/>
        <v>-2.8953919642924634E-3</v>
      </c>
      <c r="N344">
        <f t="shared" si="22"/>
        <v>-1.9706505964103807E-3</v>
      </c>
      <c r="O344">
        <f t="shared" si="22"/>
        <v>9.1597030849116642E-4</v>
      </c>
    </row>
    <row r="345" spans="1:15" x14ac:dyDescent="0.35">
      <c r="A345" s="2">
        <v>45433</v>
      </c>
      <c r="B345">
        <v>191.0523986816406</v>
      </c>
      <c r="C345">
        <v>794.58380126953125</v>
      </c>
      <c r="D345">
        <v>144.48320007324219</v>
      </c>
      <c r="E345">
        <v>192.25657653808591</v>
      </c>
      <c r="F345">
        <v>73.174507141113281</v>
      </c>
      <c r="G345">
        <v>162.08314514160159</v>
      </c>
      <c r="H345">
        <v>5321.41015625</v>
      </c>
      <c r="I345">
        <f t="shared" si="22"/>
        <v>6.8339600116124471E-3</v>
      </c>
      <c r="J345">
        <f t="shared" si="22"/>
        <v>9.9503577380666581E-3</v>
      </c>
      <c r="K345">
        <f t="shared" si="22"/>
        <v>-1.9810367539695474E-4</v>
      </c>
      <c r="L345">
        <f t="shared" si="22"/>
        <v>1.9945078623351875E-2</v>
      </c>
      <c r="M345">
        <f t="shared" si="22"/>
        <v>1.4134475314801642E-2</v>
      </c>
      <c r="N345">
        <f t="shared" si="22"/>
        <v>6.1968358088635997E-3</v>
      </c>
      <c r="O345">
        <f t="shared" si="22"/>
        <v>2.4987497668926086E-3</v>
      </c>
    </row>
    <row r="346" spans="1:15" x14ac:dyDescent="0.35">
      <c r="A346" s="2">
        <v>45434</v>
      </c>
      <c r="B346">
        <v>189.6121520996094</v>
      </c>
      <c r="C346">
        <v>795.50640869140625</v>
      </c>
      <c r="D346">
        <v>146.64219665527341</v>
      </c>
      <c r="E346">
        <v>191.0906066894531</v>
      </c>
      <c r="F346">
        <v>72.575408935546875</v>
      </c>
      <c r="G346">
        <v>161.563232421875</v>
      </c>
      <c r="H346">
        <v>5307.009765625</v>
      </c>
      <c r="I346">
        <f t="shared" si="22"/>
        <v>-7.5670479505965506E-3</v>
      </c>
      <c r="J346">
        <f t="shared" si="22"/>
        <v>1.1604467716740422E-3</v>
      </c>
      <c r="K346">
        <f t="shared" si="22"/>
        <v>1.4832345013349336E-2</v>
      </c>
      <c r="L346">
        <f t="shared" si="22"/>
        <v>-6.0831199243986033E-3</v>
      </c>
      <c r="M346">
        <f t="shared" si="22"/>
        <v>-8.2209526538830346E-3</v>
      </c>
      <c r="N346">
        <f t="shared" si="22"/>
        <v>-3.212847125736145E-3</v>
      </c>
      <c r="O346">
        <f t="shared" si="22"/>
        <v>-2.7097912093521476E-3</v>
      </c>
    </row>
    <row r="347" spans="1:15" x14ac:dyDescent="0.35">
      <c r="A347" s="2">
        <v>45435</v>
      </c>
      <c r="B347">
        <v>185.6192932128906</v>
      </c>
      <c r="C347">
        <v>790.03021240234375</v>
      </c>
      <c r="D347">
        <v>143.01197814941409</v>
      </c>
      <c r="E347">
        <v>189.75120544433591</v>
      </c>
      <c r="F347">
        <v>71.624481201171875</v>
      </c>
      <c r="G347">
        <v>159.32960510253909</v>
      </c>
      <c r="H347">
        <v>5267.83984375</v>
      </c>
      <c r="I347">
        <f t="shared" si="22"/>
        <v>-2.1282915669291146E-2</v>
      </c>
      <c r="J347">
        <f t="shared" si="22"/>
        <v>-6.9077156485906456E-3</v>
      </c>
      <c r="K347">
        <f t="shared" si="22"/>
        <v>-2.5067193303343852E-2</v>
      </c>
      <c r="L347">
        <f t="shared" si="22"/>
        <v>-7.0339270784057816E-3</v>
      </c>
      <c r="M347">
        <f t="shared" si="22"/>
        <v>-1.3189212812105633E-2</v>
      </c>
      <c r="N347">
        <f t="shared" si="22"/>
        <v>-1.3921553446495523E-2</v>
      </c>
      <c r="O347">
        <f t="shared" si="22"/>
        <v>-7.4081622834719328E-3</v>
      </c>
    </row>
    <row r="348" spans="1:15" x14ac:dyDescent="0.35">
      <c r="A348" s="2">
        <v>45436</v>
      </c>
      <c r="B348">
        <v>188.6983642578125</v>
      </c>
      <c r="C348">
        <v>803.31414794921875</v>
      </c>
      <c r="D348">
        <v>140.4039611816406</v>
      </c>
      <c r="E348">
        <v>193.40325927734381</v>
      </c>
      <c r="F348">
        <v>72.851181030273438</v>
      </c>
      <c r="G348">
        <v>159.1755676269531</v>
      </c>
      <c r="H348">
        <v>5304.72021484375</v>
      </c>
      <c r="I348">
        <f t="shared" si="22"/>
        <v>1.6452018406762591E-2</v>
      </c>
      <c r="J348">
        <f t="shared" si="22"/>
        <v>1.6674667033444699E-2</v>
      </c>
      <c r="K348">
        <f t="shared" si="22"/>
        <v>-1.8404685296410535E-2</v>
      </c>
      <c r="L348">
        <f t="shared" si="22"/>
        <v>1.906366633868212E-2</v>
      </c>
      <c r="M348">
        <f t="shared" si="22"/>
        <v>1.6981812574581333E-2</v>
      </c>
      <c r="N348">
        <f t="shared" si="22"/>
        <v>-9.6725265888422554E-4</v>
      </c>
      <c r="O348">
        <f t="shared" si="22"/>
        <v>6.9766490766732595E-3</v>
      </c>
    </row>
    <row r="349" spans="1:15" x14ac:dyDescent="0.35">
      <c r="A349" s="2">
        <v>45440</v>
      </c>
      <c r="B349">
        <v>188.70831298828119</v>
      </c>
      <c r="C349">
        <v>806.72674560546875</v>
      </c>
      <c r="D349">
        <v>137.9296569824219</v>
      </c>
      <c r="E349">
        <v>192.23728942871091</v>
      </c>
      <c r="F349">
        <v>73.726051330566406</v>
      </c>
      <c r="G349">
        <v>157.03819274902341</v>
      </c>
      <c r="H349">
        <v>5306.0400390625</v>
      </c>
      <c r="I349">
        <f t="shared" si="22"/>
        <v>5.272153923513184E-5</v>
      </c>
      <c r="J349">
        <f t="shared" si="22"/>
        <v>4.2391504220638063E-3</v>
      </c>
      <c r="K349">
        <f t="shared" si="22"/>
        <v>-1.7779881549921616E-2</v>
      </c>
      <c r="L349">
        <f t="shared" si="22"/>
        <v>-6.046944002138217E-3</v>
      </c>
      <c r="M349">
        <f t="shared" si="22"/>
        <v>1.1937470444696379E-2</v>
      </c>
      <c r="N349">
        <f t="shared" si="22"/>
        <v>-1.3518750271364318E-2</v>
      </c>
      <c r="O349">
        <f t="shared" si="22"/>
        <v>2.4877090688591537E-4</v>
      </c>
    </row>
    <row r="350" spans="1:15" x14ac:dyDescent="0.35">
      <c r="A350" s="2">
        <v>45441</v>
      </c>
      <c r="B350">
        <v>189.00627136230469</v>
      </c>
      <c r="C350">
        <v>800.12957763671875</v>
      </c>
      <c r="D350">
        <v>137.98698425292969</v>
      </c>
      <c r="E350">
        <v>190.89788818359381</v>
      </c>
      <c r="F350">
        <v>72.917755126953125</v>
      </c>
      <c r="G350">
        <v>155.6325378417969</v>
      </c>
      <c r="H350">
        <v>5266.9501953125</v>
      </c>
      <c r="I350">
        <f t="shared" si="22"/>
        <v>1.5776909241670795E-3</v>
      </c>
      <c r="J350">
        <f t="shared" si="22"/>
        <v>-8.211319134810274E-3</v>
      </c>
      <c r="K350">
        <f t="shared" si="22"/>
        <v>4.1554051307684007E-4</v>
      </c>
      <c r="L350">
        <f t="shared" si="22"/>
        <v>-6.9918231466586161E-3</v>
      </c>
      <c r="M350">
        <f t="shared" si="22"/>
        <v>-1.1024050849774676E-2</v>
      </c>
      <c r="N350">
        <f t="shared" si="22"/>
        <v>-8.9913397040838651E-3</v>
      </c>
      <c r="O350">
        <f t="shared" si="22"/>
        <v>-7.394317215742535E-3</v>
      </c>
    </row>
    <row r="351" spans="1:15" x14ac:dyDescent="0.35">
      <c r="A351" s="2">
        <v>45442</v>
      </c>
      <c r="B351">
        <v>189.99949645996091</v>
      </c>
      <c r="C351">
        <v>808.87969970703125</v>
      </c>
      <c r="D351">
        <v>138.78944396972659</v>
      </c>
      <c r="E351">
        <v>192.07347106933591</v>
      </c>
      <c r="F351">
        <v>74.353675842285156</v>
      </c>
      <c r="G351">
        <v>156.5279235839844</v>
      </c>
      <c r="H351">
        <v>5235.47998046875</v>
      </c>
      <c r="I351">
        <f t="shared" si="22"/>
        <v>5.2412256259680278E-3</v>
      </c>
      <c r="J351">
        <f t="shared" si="22"/>
        <v>1.0876516939917327E-2</v>
      </c>
      <c r="K351">
        <f t="shared" si="22"/>
        <v>5.798629387969976E-3</v>
      </c>
      <c r="L351">
        <f t="shared" si="22"/>
        <v>6.1392924026077815E-3</v>
      </c>
      <c r="M351">
        <f t="shared" si="22"/>
        <v>1.9500947478441683E-2</v>
      </c>
      <c r="N351">
        <f t="shared" si="22"/>
        <v>5.7367175438333721E-3</v>
      </c>
      <c r="O351">
        <f t="shared" si="22"/>
        <v>-5.992957535754186E-3</v>
      </c>
    </row>
    <row r="352" spans="1:15" x14ac:dyDescent="0.35">
      <c r="A352" s="2">
        <v>45443</v>
      </c>
      <c r="B352">
        <v>190.95306396484381</v>
      </c>
      <c r="C352">
        <v>803.47283935546875</v>
      </c>
      <c r="D352">
        <v>140.1173400878906</v>
      </c>
      <c r="E352">
        <v>195.25335693359381</v>
      </c>
      <c r="F352">
        <v>76.093879699707031</v>
      </c>
      <c r="G352">
        <v>158.41496276855469</v>
      </c>
      <c r="H352">
        <v>5277.509765625</v>
      </c>
      <c r="I352">
        <f t="shared" si="22"/>
        <v>5.006237497799406E-3</v>
      </c>
      <c r="J352">
        <f t="shared" si="22"/>
        <v>-6.7068218493500304E-3</v>
      </c>
      <c r="K352">
        <f t="shared" si="22"/>
        <v>9.5222219588338552E-3</v>
      </c>
      <c r="L352">
        <f t="shared" si="22"/>
        <v>1.6420020922880529E-2</v>
      </c>
      <c r="M352">
        <f t="shared" si="22"/>
        <v>2.3134725796047483E-2</v>
      </c>
      <c r="N352">
        <f t="shared" si="22"/>
        <v>1.1983517320724094E-2</v>
      </c>
      <c r="O352">
        <f t="shared" si="22"/>
        <v>7.9958242319288966E-3</v>
      </c>
    </row>
    <row r="353" spans="1:15" x14ac:dyDescent="0.35">
      <c r="A353" s="2">
        <v>45446</v>
      </c>
      <c r="B353">
        <v>192.7210388183594</v>
      </c>
      <c r="C353">
        <v>808.9293212890625</v>
      </c>
      <c r="D353">
        <v>141.13957214355469</v>
      </c>
      <c r="E353">
        <v>194.47282409667969</v>
      </c>
      <c r="F353">
        <v>74.375892639160156</v>
      </c>
      <c r="G353">
        <v>158.52085876464841</v>
      </c>
      <c r="H353">
        <v>5283.39990234375</v>
      </c>
      <c r="I353">
        <f t="shared" si="22"/>
        <v>9.216089146715175E-3</v>
      </c>
      <c r="J353">
        <f t="shared" si="22"/>
        <v>6.768166027065408E-3</v>
      </c>
      <c r="K353">
        <f t="shared" si="22"/>
        <v>7.2690590870241939E-3</v>
      </c>
      <c r="L353">
        <f t="shared" si="22"/>
        <v>-4.0055501452375096E-3</v>
      </c>
      <c r="M353">
        <f t="shared" si="22"/>
        <v>-2.2835971523214108E-2</v>
      </c>
      <c r="N353">
        <f t="shared" si="22"/>
        <v>6.6824885569666335E-4</v>
      </c>
      <c r="O353">
        <f t="shared" si="22"/>
        <v>1.1154602235352391E-3</v>
      </c>
    </row>
    <row r="354" spans="1:15" x14ac:dyDescent="0.35">
      <c r="A354" s="2">
        <v>45447</v>
      </c>
      <c r="B354">
        <v>193.03889465332031</v>
      </c>
      <c r="C354">
        <v>820.83404541015625</v>
      </c>
      <c r="D354">
        <v>141.1968688964844</v>
      </c>
      <c r="E354">
        <v>191.90968322753909</v>
      </c>
      <c r="F354">
        <v>73.839912414550781</v>
      </c>
      <c r="G354">
        <v>160.79301452636719</v>
      </c>
      <c r="H354">
        <v>5291.33984375</v>
      </c>
      <c r="I354">
        <f t="shared" si="22"/>
        <v>1.6479467114922726E-3</v>
      </c>
      <c r="J354">
        <f t="shared" si="22"/>
        <v>1.4609404167113857E-2</v>
      </c>
      <c r="K354">
        <f t="shared" si="22"/>
        <v>4.0587572404909362E-4</v>
      </c>
      <c r="L354">
        <f t="shared" si="22"/>
        <v>-1.3267569930027196E-2</v>
      </c>
      <c r="M354">
        <f t="shared" si="22"/>
        <v>-7.2324616227437541E-3</v>
      </c>
      <c r="N354">
        <f t="shared" si="22"/>
        <v>1.4231728103561358E-2</v>
      </c>
      <c r="O354">
        <f t="shared" si="22"/>
        <v>1.5016810037827531E-3</v>
      </c>
    </row>
    <row r="355" spans="1:15" x14ac:dyDescent="0.35">
      <c r="A355" s="2">
        <v>45448</v>
      </c>
      <c r="B355">
        <v>194.54862976074219</v>
      </c>
      <c r="C355">
        <v>827.6893310546875</v>
      </c>
      <c r="D355">
        <v>139.44862365722659</v>
      </c>
      <c r="E355">
        <v>190.07881164550781</v>
      </c>
      <c r="F355">
        <v>73.74420166015625</v>
      </c>
      <c r="G355">
        <v>159.86875915527341</v>
      </c>
      <c r="H355">
        <v>5354.02978515625</v>
      </c>
      <c r="I355">
        <f t="shared" si="22"/>
        <v>7.7904609821647904E-3</v>
      </c>
      <c r="J355">
        <f t="shared" si="22"/>
        <v>8.3169280558625502E-3</v>
      </c>
      <c r="K355">
        <f t="shared" si="22"/>
        <v>-1.2458905628406892E-2</v>
      </c>
      <c r="L355">
        <f t="shared" si="22"/>
        <v>-9.5860772087194793E-3</v>
      </c>
      <c r="M355">
        <f t="shared" si="22"/>
        <v>-1.2970334701998861E-3</v>
      </c>
      <c r="N355">
        <f t="shared" si="22"/>
        <v>-5.7646904401813231E-3</v>
      </c>
      <c r="O355">
        <f t="shared" si="22"/>
        <v>1.1778015849957281E-2</v>
      </c>
    </row>
    <row r="356" spans="1:15" x14ac:dyDescent="0.35">
      <c r="A356" s="2">
        <v>45449</v>
      </c>
      <c r="B356">
        <v>193.16801452636719</v>
      </c>
      <c r="C356">
        <v>835.96337890625</v>
      </c>
      <c r="D356">
        <v>139.87852478027341</v>
      </c>
      <c r="E356">
        <v>189.7415771484375</v>
      </c>
      <c r="F356">
        <v>73.409217834472656</v>
      </c>
      <c r="G356">
        <v>162.19865417480469</v>
      </c>
      <c r="H356">
        <v>5352.9599609375</v>
      </c>
      <c r="I356">
        <f t="shared" si="22"/>
        <v>-7.1218044936935919E-3</v>
      </c>
      <c r="J356">
        <f t="shared" si="22"/>
        <v>9.9469270507844838E-3</v>
      </c>
      <c r="K356">
        <f t="shared" si="22"/>
        <v>3.0781215853045185E-3</v>
      </c>
      <c r="L356">
        <f t="shared" si="22"/>
        <v>-1.7757582038100473E-3</v>
      </c>
      <c r="M356">
        <f t="shared" si="22"/>
        <v>-4.5528592604547084E-3</v>
      </c>
      <c r="N356">
        <f t="shared" si="22"/>
        <v>1.4468620966710123E-2</v>
      </c>
      <c r="O356">
        <f t="shared" si="22"/>
        <v>-1.9983660163685183E-4</v>
      </c>
    </row>
    <row r="357" spans="1:15" x14ac:dyDescent="0.35">
      <c r="A357" s="2">
        <v>45450</v>
      </c>
      <c r="B357">
        <v>195.56175231933591</v>
      </c>
      <c r="C357">
        <v>838.8800048828125</v>
      </c>
      <c r="D357">
        <v>140.509033203125</v>
      </c>
      <c r="E357">
        <v>192.6708984375</v>
      </c>
      <c r="F357">
        <v>72.155433654785156</v>
      </c>
      <c r="G357">
        <v>160.84114074707031</v>
      </c>
      <c r="H357">
        <v>5346.990234375</v>
      </c>
      <c r="I357">
        <f t="shared" si="22"/>
        <v>1.2315846399807848E-2</v>
      </c>
      <c r="J357">
        <f t="shared" si="22"/>
        <v>3.4828676556915772E-3</v>
      </c>
      <c r="K357">
        <f t="shared" si="22"/>
        <v>4.4974141516583967E-3</v>
      </c>
      <c r="L357">
        <f t="shared" si="22"/>
        <v>1.5320517885571627E-2</v>
      </c>
      <c r="M357">
        <f t="shared" si="22"/>
        <v>-1.7226918396617438E-2</v>
      </c>
      <c r="N357">
        <f t="shared" si="22"/>
        <v>-8.4046698897261643E-3</v>
      </c>
      <c r="O357">
        <f t="shared" si="22"/>
        <v>-1.1158420502790662E-3</v>
      </c>
    </row>
    <row r="358" spans="1:15" x14ac:dyDescent="0.35">
      <c r="A358" s="2">
        <v>45453</v>
      </c>
      <c r="B358">
        <v>191.81718444824219</v>
      </c>
      <c r="C358">
        <v>841.6181640625</v>
      </c>
      <c r="D358">
        <v>140.5567932128906</v>
      </c>
      <c r="E358">
        <v>192.34330749511719</v>
      </c>
      <c r="F358">
        <v>73.667633056640625</v>
      </c>
      <c r="G358">
        <v>161.120361328125</v>
      </c>
      <c r="H358">
        <v>5360.7900390625</v>
      </c>
      <c r="I358">
        <f t="shared" si="22"/>
        <v>-1.9333444091231302E-2</v>
      </c>
      <c r="J358">
        <f t="shared" si="22"/>
        <v>3.2587498795682021E-3</v>
      </c>
      <c r="K358">
        <f t="shared" si="22"/>
        <v>3.3984928608560597E-4</v>
      </c>
      <c r="L358">
        <f t="shared" si="22"/>
        <v>-1.7017087493839125E-3</v>
      </c>
      <c r="M358">
        <f t="shared" si="22"/>
        <v>2.0740938264716419E-2</v>
      </c>
      <c r="N358">
        <f t="shared" si="22"/>
        <v>1.7344971324673897E-3</v>
      </c>
      <c r="O358">
        <f t="shared" si="22"/>
        <v>2.577529978240972E-3</v>
      </c>
    </row>
    <row r="359" spans="1:15" x14ac:dyDescent="0.35">
      <c r="A359" s="2">
        <v>45454</v>
      </c>
      <c r="B359">
        <v>205.75251770019531</v>
      </c>
      <c r="C359">
        <v>842.58050537109375</v>
      </c>
      <c r="D359">
        <v>140.2033386230469</v>
      </c>
      <c r="E359">
        <v>187.284423828125</v>
      </c>
      <c r="F359">
        <v>69.619117736816406</v>
      </c>
      <c r="G359">
        <v>161.2455139160156</v>
      </c>
      <c r="H359">
        <v>5375.31982421875</v>
      </c>
      <c r="I359">
        <f t="shared" si="22"/>
        <v>7.0131322078982053E-2</v>
      </c>
      <c r="J359">
        <f t="shared" si="22"/>
        <v>1.1427884735823253E-3</v>
      </c>
      <c r="K359">
        <f t="shared" si="22"/>
        <v>-2.5178416483869911E-3</v>
      </c>
      <c r="L359">
        <f t="shared" si="22"/>
        <v>-2.6653390852625535E-2</v>
      </c>
      <c r="M359">
        <f t="shared" si="22"/>
        <v>-5.6524321430166342E-2</v>
      </c>
      <c r="N359">
        <f t="shared" si="22"/>
        <v>7.7646304270668532E-4</v>
      </c>
      <c r="O359">
        <f t="shared" si="22"/>
        <v>2.7067148552095224E-3</v>
      </c>
    </row>
    <row r="360" spans="1:15" x14ac:dyDescent="0.35">
      <c r="A360" s="2">
        <v>45455</v>
      </c>
      <c r="B360">
        <v>211.63261413574219</v>
      </c>
      <c r="C360">
        <v>841.09228515625</v>
      </c>
      <c r="D360">
        <v>138.91365051269531</v>
      </c>
      <c r="E360">
        <v>184.55743408203119</v>
      </c>
      <c r="F360">
        <v>69.159721374511719</v>
      </c>
      <c r="G360">
        <v>159.03114318847659</v>
      </c>
      <c r="H360">
        <v>5421.02978515625</v>
      </c>
      <c r="I360">
        <f t="shared" si="22"/>
        <v>2.817774300517779E-2</v>
      </c>
      <c r="J360">
        <f t="shared" si="22"/>
        <v>-1.7678263980984491E-3</v>
      </c>
      <c r="K360">
        <f t="shared" si="22"/>
        <v>-9.2412668445671069E-3</v>
      </c>
      <c r="L360">
        <f t="shared" si="22"/>
        <v>-1.4667733493872993E-2</v>
      </c>
      <c r="M360">
        <f t="shared" si="22"/>
        <v>-6.6205776510144844E-3</v>
      </c>
      <c r="N360">
        <f t="shared" si="22"/>
        <v>-1.38280824627099E-2</v>
      </c>
      <c r="O360">
        <f t="shared" si="22"/>
        <v>8.467720241887338E-3</v>
      </c>
    </row>
    <row r="361" spans="1:15" x14ac:dyDescent="0.35">
      <c r="A361" s="2">
        <v>45456</v>
      </c>
      <c r="B361">
        <v>212.7947082519531</v>
      </c>
      <c r="C361">
        <v>839.25701904296875</v>
      </c>
      <c r="D361">
        <v>138.95185852050781</v>
      </c>
      <c r="E361">
        <v>186.60990905761719</v>
      </c>
      <c r="F361">
        <v>70.040245056152344</v>
      </c>
      <c r="G361">
        <v>160.21534729003909</v>
      </c>
      <c r="H361">
        <v>5433.740234375</v>
      </c>
      <c r="I361">
        <f t="shared" si="22"/>
        <v>5.4760707377751894E-3</v>
      </c>
      <c r="J361">
        <f t="shared" si="22"/>
        <v>-2.1843873038181012E-3</v>
      </c>
      <c r="K361">
        <f t="shared" si="22"/>
        <v>2.750108006298181E-4</v>
      </c>
      <c r="L361">
        <f t="shared" si="22"/>
        <v>1.1059679330329619E-2</v>
      </c>
      <c r="M361">
        <f t="shared" si="22"/>
        <v>1.2651374116037978E-2</v>
      </c>
      <c r="N361">
        <f t="shared" si="22"/>
        <v>7.4187787070862134E-3</v>
      </c>
      <c r="O361">
        <f t="shared" si="22"/>
        <v>2.3419114371167199E-3</v>
      </c>
    </row>
    <row r="362" spans="1:15" x14ac:dyDescent="0.35">
      <c r="A362" s="2">
        <v>45457</v>
      </c>
      <c r="B362">
        <v>211.05653381347659</v>
      </c>
      <c r="C362">
        <v>848.89007568359375</v>
      </c>
      <c r="D362">
        <v>139.037841796875</v>
      </c>
      <c r="E362">
        <v>186.72554016113281</v>
      </c>
      <c r="F362">
        <v>69.925392150878906</v>
      </c>
      <c r="G362">
        <v>160.5812072753906</v>
      </c>
      <c r="H362">
        <v>5431.60009765625</v>
      </c>
      <c r="I362">
        <f t="shared" si="22"/>
        <v>-8.2018595674467291E-3</v>
      </c>
      <c r="J362">
        <f t="shared" si="22"/>
        <v>1.1412703583869288E-2</v>
      </c>
      <c r="K362">
        <f t="shared" si="22"/>
        <v>6.1860766072269245E-4</v>
      </c>
      <c r="L362">
        <f t="shared" si="22"/>
        <v>6.194488493127732E-4</v>
      </c>
      <c r="M362">
        <f t="shared" si="22"/>
        <v>-1.6411589779326936E-3</v>
      </c>
      <c r="N362">
        <f t="shared" si="22"/>
        <v>2.2809480885448005E-3</v>
      </c>
      <c r="O362">
        <f t="shared" si="22"/>
        <v>-3.9393828099749413E-4</v>
      </c>
    </row>
    <row r="363" spans="1:15" x14ac:dyDescent="0.35">
      <c r="A363" s="2">
        <v>45460</v>
      </c>
      <c r="B363">
        <v>215.20832824707031</v>
      </c>
      <c r="C363">
        <v>861.03314208984375</v>
      </c>
      <c r="D363">
        <v>139.42950439453119</v>
      </c>
      <c r="E363">
        <v>187.88182067871091</v>
      </c>
      <c r="F363">
        <v>69.207565307617188</v>
      </c>
      <c r="G363">
        <v>161.26478576660159</v>
      </c>
      <c r="H363">
        <v>5473.22998046875</v>
      </c>
      <c r="I363">
        <f t="shared" si="22"/>
        <v>1.94804972178718E-2</v>
      </c>
      <c r="J363">
        <f t="shared" si="22"/>
        <v>1.4203293361939319E-2</v>
      </c>
      <c r="K363">
        <f t="shared" si="22"/>
        <v>2.8129894673744687E-3</v>
      </c>
      <c r="L363">
        <f t="shared" ref="L363:O426" si="23">LN(E363/E362)</f>
        <v>6.1733127032922806E-3</v>
      </c>
      <c r="M363">
        <f t="shared" si="23"/>
        <v>-1.0318665333820582E-2</v>
      </c>
      <c r="N363">
        <f t="shared" si="23"/>
        <v>4.2478672028525531E-3</v>
      </c>
      <c r="O363">
        <f t="shared" si="23"/>
        <v>7.635164372320518E-3</v>
      </c>
    </row>
    <row r="364" spans="1:15" x14ac:dyDescent="0.35">
      <c r="A364" s="2">
        <v>45461</v>
      </c>
      <c r="B364">
        <v>212.8443603515625</v>
      </c>
      <c r="C364">
        <v>863.8505859375</v>
      </c>
      <c r="D364">
        <v>139.1429138183594</v>
      </c>
      <c r="E364">
        <v>189.82829284667969</v>
      </c>
      <c r="F364">
        <v>67.417808532714844</v>
      </c>
      <c r="G364">
        <v>162.2853088378906</v>
      </c>
      <c r="H364">
        <v>5487.02978515625</v>
      </c>
      <c r="I364">
        <f t="shared" ref="I364:N427" si="24">LN(B364/B363)</f>
        <v>-1.1045331530300663E-2</v>
      </c>
      <c r="J364">
        <f t="shared" si="24"/>
        <v>3.2668246648234673E-3</v>
      </c>
      <c r="K364">
        <f t="shared" si="24"/>
        <v>-2.0575667836682083E-3</v>
      </c>
      <c r="L364">
        <f t="shared" si="23"/>
        <v>1.0306789939523876E-2</v>
      </c>
      <c r="M364">
        <f t="shared" si="23"/>
        <v>-2.620097733111058E-2</v>
      </c>
      <c r="N364">
        <f t="shared" si="23"/>
        <v>6.3083057158129525E-3</v>
      </c>
      <c r="O364">
        <f t="shared" si="23"/>
        <v>2.5181541815171163E-3</v>
      </c>
    </row>
    <row r="365" spans="1:15" x14ac:dyDescent="0.35">
      <c r="A365" s="2">
        <v>45463</v>
      </c>
      <c r="B365">
        <v>208.26545715332031</v>
      </c>
      <c r="C365">
        <v>855.60638427734375</v>
      </c>
      <c r="D365">
        <v>141.17774963378909</v>
      </c>
      <c r="E365">
        <v>191.4375305175781</v>
      </c>
      <c r="F365">
        <v>69.351142883300781</v>
      </c>
      <c r="G365">
        <v>161.4284362792969</v>
      </c>
      <c r="H365">
        <v>5473.169921875</v>
      </c>
      <c r="I365">
        <f t="shared" si="24"/>
        <v>-2.1747693723323264E-2</v>
      </c>
      <c r="J365">
        <f t="shared" si="24"/>
        <v>-9.5893819715837884E-3</v>
      </c>
      <c r="K365">
        <f t="shared" si="24"/>
        <v>1.4518170238842734E-2</v>
      </c>
      <c r="L365">
        <f t="shared" si="23"/>
        <v>8.4416023076184597E-3</v>
      </c>
      <c r="M365">
        <f t="shared" si="23"/>
        <v>2.8273421985760293E-2</v>
      </c>
      <c r="N365">
        <f t="shared" si="23"/>
        <v>-5.2940264217667598E-3</v>
      </c>
      <c r="O365">
        <f t="shared" si="23"/>
        <v>-2.5291273954115403E-3</v>
      </c>
    </row>
    <row r="366" spans="1:15" x14ac:dyDescent="0.35">
      <c r="A366" s="2">
        <v>45464</v>
      </c>
      <c r="B366">
        <v>206.09025573730469</v>
      </c>
      <c r="C366">
        <v>841.5885009765625</v>
      </c>
      <c r="D366">
        <v>142.10441589355469</v>
      </c>
      <c r="E366">
        <v>189.15379333496091</v>
      </c>
      <c r="F366">
        <v>69.686111450195313</v>
      </c>
      <c r="G366">
        <v>161.99647521972659</v>
      </c>
      <c r="H366">
        <v>5464.6201171875</v>
      </c>
      <c r="I366">
        <f t="shared" si="24"/>
        <v>-1.0499294834300491E-2</v>
      </c>
      <c r="J366">
        <f t="shared" si="24"/>
        <v>-1.6519260333341192E-2</v>
      </c>
      <c r="K366">
        <f t="shared" si="24"/>
        <v>6.5423784328785114E-3</v>
      </c>
      <c r="L366">
        <f t="shared" si="23"/>
        <v>-1.2001138488814867E-2</v>
      </c>
      <c r="M366">
        <f t="shared" si="23"/>
        <v>4.8184095202744911E-3</v>
      </c>
      <c r="N366">
        <f t="shared" si="23"/>
        <v>3.5126516499279724E-3</v>
      </c>
      <c r="O366">
        <f t="shared" si="23"/>
        <v>-1.5633517188252497E-3</v>
      </c>
    </row>
    <row r="367" spans="1:15" x14ac:dyDescent="0.35">
      <c r="A367" s="2">
        <v>45467</v>
      </c>
      <c r="B367">
        <v>206.7358703613281</v>
      </c>
      <c r="C367">
        <v>841.4395751953125</v>
      </c>
      <c r="D367">
        <v>142.4578857421875</v>
      </c>
      <c r="E367">
        <v>191.6398620605469</v>
      </c>
      <c r="F367">
        <v>70.681503295898438</v>
      </c>
      <c r="G367">
        <v>162.17939758300781</v>
      </c>
      <c r="H367">
        <v>5447.8701171875</v>
      </c>
      <c r="I367">
        <f t="shared" si="24"/>
        <v>3.1277824224119695E-3</v>
      </c>
      <c r="J367">
        <f t="shared" si="24"/>
        <v>-1.7697361529156314E-4</v>
      </c>
      <c r="K367">
        <f t="shared" si="24"/>
        <v>2.4843067995710846E-3</v>
      </c>
      <c r="L367">
        <f t="shared" si="23"/>
        <v>1.3057486713500016E-2</v>
      </c>
      <c r="M367">
        <f t="shared" si="23"/>
        <v>1.4182880189890891E-2</v>
      </c>
      <c r="N367">
        <f t="shared" si="23"/>
        <v>1.1285379205667736E-3</v>
      </c>
      <c r="O367">
        <f t="shared" si="23"/>
        <v>-3.0698791558664423E-3</v>
      </c>
    </row>
    <row r="368" spans="1:15" x14ac:dyDescent="0.35">
      <c r="A368" s="2">
        <v>45468</v>
      </c>
      <c r="B368">
        <v>207.65960693359381</v>
      </c>
      <c r="C368">
        <v>848.73138427734375</v>
      </c>
      <c r="D368">
        <v>140.61412048339841</v>
      </c>
      <c r="E368">
        <v>190.85932922363281</v>
      </c>
      <c r="F368">
        <v>69.848831176757813</v>
      </c>
      <c r="G368">
        <v>160.63897705078119</v>
      </c>
      <c r="H368">
        <v>5469.2998046875</v>
      </c>
      <c r="I368">
        <f t="shared" si="24"/>
        <v>4.4582441309750139E-3</v>
      </c>
      <c r="J368">
        <f t="shared" si="24"/>
        <v>8.6285405411169469E-3</v>
      </c>
      <c r="K368">
        <f t="shared" si="24"/>
        <v>-1.3027012862801298E-2</v>
      </c>
      <c r="L368">
        <f t="shared" si="23"/>
        <v>-4.0812317417052921E-3</v>
      </c>
      <c r="M368">
        <f t="shared" si="23"/>
        <v>-1.1850564036513949E-2</v>
      </c>
      <c r="N368">
        <f t="shared" si="23"/>
        <v>-9.5436464910075777E-3</v>
      </c>
      <c r="O368">
        <f t="shared" si="23"/>
        <v>3.9258736791813438E-3</v>
      </c>
    </row>
    <row r="369" spans="1:15" x14ac:dyDescent="0.35">
      <c r="A369" s="2">
        <v>45469</v>
      </c>
      <c r="B369">
        <v>211.8114013671875</v>
      </c>
      <c r="C369">
        <v>850.05078125</v>
      </c>
      <c r="D369">
        <v>140.26066589355469</v>
      </c>
      <c r="E369">
        <v>190.24263000488281</v>
      </c>
      <c r="F369">
        <v>70.222099304199219</v>
      </c>
      <c r="G369">
        <v>161.21662902832031</v>
      </c>
      <c r="H369">
        <v>5477.89990234375</v>
      </c>
      <c r="I369">
        <f t="shared" si="24"/>
        <v>1.9796028499053691E-2</v>
      </c>
      <c r="J369">
        <f t="shared" si="24"/>
        <v>1.5533448192778727E-3</v>
      </c>
      <c r="K369">
        <f t="shared" si="24"/>
        <v>-2.5168138513140138E-3</v>
      </c>
      <c r="L369">
        <f t="shared" si="23"/>
        <v>-3.2364029735748112E-3</v>
      </c>
      <c r="M369">
        <f t="shared" si="23"/>
        <v>5.3297141632829073E-3</v>
      </c>
      <c r="N369">
        <f t="shared" si="23"/>
        <v>3.5895139737419516E-3</v>
      </c>
      <c r="O369">
        <f t="shared" si="23"/>
        <v>1.5711962247204525E-3</v>
      </c>
    </row>
    <row r="370" spans="1:15" x14ac:dyDescent="0.35">
      <c r="A370" s="2">
        <v>45470</v>
      </c>
      <c r="B370">
        <v>212.6556701660156</v>
      </c>
      <c r="C370">
        <v>843.88006591796875</v>
      </c>
      <c r="D370">
        <v>139.2862243652344</v>
      </c>
      <c r="E370">
        <v>191.9193115234375</v>
      </c>
      <c r="F370">
        <v>70.557075500488281</v>
      </c>
      <c r="G370">
        <v>160.41755676269531</v>
      </c>
      <c r="H370">
        <v>5482.8701171875</v>
      </c>
      <c r="I370">
        <f t="shared" si="24"/>
        <v>3.9780231203065215E-3</v>
      </c>
      <c r="J370">
        <f t="shared" si="24"/>
        <v>-7.2857078413158423E-3</v>
      </c>
      <c r="K370">
        <f t="shared" si="24"/>
        <v>-6.9716066179170734E-3</v>
      </c>
      <c r="L370">
        <f t="shared" si="23"/>
        <v>8.7747736997273347E-3</v>
      </c>
      <c r="M370">
        <f t="shared" si="23"/>
        <v>4.7588974568194128E-3</v>
      </c>
      <c r="N370">
        <f t="shared" si="23"/>
        <v>-4.9688369269975021E-3</v>
      </c>
      <c r="O370">
        <f t="shared" si="23"/>
        <v>9.0690985679907311E-4</v>
      </c>
    </row>
    <row r="371" spans="1:15" x14ac:dyDescent="0.35">
      <c r="A371" s="2">
        <v>45471</v>
      </c>
      <c r="B371">
        <v>209.1991271972656</v>
      </c>
      <c r="C371">
        <v>843.255126953125</v>
      </c>
      <c r="D371">
        <v>139.630126953125</v>
      </c>
      <c r="E371">
        <v>194.89680480957031</v>
      </c>
      <c r="F371">
        <v>67.771926879882813</v>
      </c>
      <c r="G371">
        <v>158.78082275390619</v>
      </c>
      <c r="H371">
        <v>5460.47998046875</v>
      </c>
      <c r="I371">
        <f t="shared" si="24"/>
        <v>-1.638772557161576E-2</v>
      </c>
      <c r="J371">
        <f t="shared" si="24"/>
        <v>-7.4082859046073642E-4</v>
      </c>
      <c r="K371">
        <f t="shared" si="24"/>
        <v>2.4659921194367792E-3</v>
      </c>
      <c r="L371">
        <f t="shared" si="23"/>
        <v>1.5395181165143516E-2</v>
      </c>
      <c r="M371">
        <f t="shared" si="23"/>
        <v>-4.0273912469137162E-2</v>
      </c>
      <c r="N371">
        <f t="shared" si="23"/>
        <v>-1.025536756296834E-2</v>
      </c>
      <c r="O371">
        <f t="shared" si="23"/>
        <v>-4.0920134623695995E-3</v>
      </c>
    </row>
    <row r="372" spans="1:15" x14ac:dyDescent="0.35">
      <c r="A372" s="2">
        <v>45474</v>
      </c>
      <c r="B372">
        <v>215.28776550292969</v>
      </c>
      <c r="C372">
        <v>838.9693603515625</v>
      </c>
      <c r="D372">
        <v>139.89762878417969</v>
      </c>
      <c r="E372">
        <v>197.9706726074219</v>
      </c>
      <c r="F372">
        <v>66.900962829589844</v>
      </c>
      <c r="G372">
        <v>156.66273498535159</v>
      </c>
      <c r="H372">
        <v>5475.08984375</v>
      </c>
      <c r="I372">
        <f t="shared" si="24"/>
        <v>2.8689017324476991E-2</v>
      </c>
      <c r="J372">
        <f t="shared" si="24"/>
        <v>-5.0953673620050882E-3</v>
      </c>
      <c r="K372">
        <f t="shared" si="24"/>
        <v>1.9139560006062005E-3</v>
      </c>
      <c r="L372">
        <f t="shared" si="23"/>
        <v>1.5648689199619859E-2</v>
      </c>
      <c r="M372">
        <f t="shared" si="23"/>
        <v>-1.2934692279688772E-2</v>
      </c>
      <c r="N372">
        <f t="shared" si="23"/>
        <v>-1.3429468123182946E-2</v>
      </c>
      <c r="O372">
        <f t="shared" si="23"/>
        <v>2.6719909814295235E-3</v>
      </c>
    </row>
    <row r="373" spans="1:15" x14ac:dyDescent="0.35">
      <c r="A373" s="2">
        <v>45475</v>
      </c>
      <c r="B373">
        <v>218.7840270996094</v>
      </c>
      <c r="C373">
        <v>852.55084228515625</v>
      </c>
      <c r="D373">
        <v>139.5059509277344</v>
      </c>
      <c r="E373">
        <v>201.2276306152344</v>
      </c>
      <c r="F373">
        <v>67.446517944335938</v>
      </c>
      <c r="G373">
        <v>157.79878234863281</v>
      </c>
      <c r="H373">
        <v>5509.009765625</v>
      </c>
      <c r="I373">
        <f t="shared" si="24"/>
        <v>1.6109488186711662E-2</v>
      </c>
      <c r="J373">
        <f t="shared" si="24"/>
        <v>1.6058659870387831E-2</v>
      </c>
      <c r="K373">
        <f t="shared" si="24"/>
        <v>-2.8036728335197234E-3</v>
      </c>
      <c r="L373">
        <f t="shared" si="23"/>
        <v>1.6317856318743208E-2</v>
      </c>
      <c r="M373">
        <f t="shared" si="23"/>
        <v>8.1215979689492138E-3</v>
      </c>
      <c r="N373">
        <f t="shared" si="23"/>
        <v>7.2253820772494991E-3</v>
      </c>
      <c r="O373">
        <f t="shared" si="23"/>
        <v>6.1762057711850496E-3</v>
      </c>
    </row>
    <row r="374" spans="1:15" x14ac:dyDescent="0.35">
      <c r="A374" s="2">
        <v>45476</v>
      </c>
      <c r="B374">
        <v>220.05540466308591</v>
      </c>
      <c r="C374">
        <v>855.82470703125</v>
      </c>
      <c r="D374">
        <v>139.18115234375</v>
      </c>
      <c r="E374">
        <v>201.0927429199219</v>
      </c>
      <c r="F374">
        <v>68.7481689453125</v>
      </c>
      <c r="G374">
        <v>157.73139953613281</v>
      </c>
      <c r="H374">
        <v>5537.02001953125</v>
      </c>
      <c r="I374">
        <f t="shared" si="24"/>
        <v>5.7942884277594432E-3</v>
      </c>
      <c r="J374">
        <f t="shared" si="24"/>
        <v>3.8327272420912465E-3</v>
      </c>
      <c r="K374">
        <f t="shared" si="24"/>
        <v>-2.3309204281741938E-3</v>
      </c>
      <c r="L374">
        <f t="shared" si="23"/>
        <v>-6.7054869322898906E-4</v>
      </c>
      <c r="M374">
        <f t="shared" si="23"/>
        <v>1.911514559811053E-2</v>
      </c>
      <c r="N374">
        <f t="shared" si="23"/>
        <v>-4.2710851381531998E-4</v>
      </c>
      <c r="O374">
        <f t="shared" si="23"/>
        <v>5.0715622695336636E-3</v>
      </c>
    </row>
    <row r="375" spans="1:15" x14ac:dyDescent="0.35">
      <c r="A375" s="2">
        <v>45478</v>
      </c>
      <c r="B375">
        <v>224.81309509277341</v>
      </c>
      <c r="C375">
        <v>878.65234375</v>
      </c>
      <c r="D375">
        <v>139.93583679199219</v>
      </c>
      <c r="E375">
        <v>198.42814636230469</v>
      </c>
      <c r="F375">
        <v>68.99700927734375</v>
      </c>
      <c r="G375">
        <v>159.0600280761719</v>
      </c>
      <c r="H375">
        <v>5567.18994140625</v>
      </c>
      <c r="I375">
        <f t="shared" si="24"/>
        <v>2.1390014491183752E-2</v>
      </c>
      <c r="J375">
        <f t="shared" si="24"/>
        <v>2.6323732416074851E-2</v>
      </c>
      <c r="K375">
        <f t="shared" si="24"/>
        <v>5.4076700216250176E-3</v>
      </c>
      <c r="L375">
        <f t="shared" si="23"/>
        <v>-1.3339157671015274E-2</v>
      </c>
      <c r="M375">
        <f t="shared" si="23"/>
        <v>3.6130571820023271E-3</v>
      </c>
      <c r="N375">
        <f t="shared" si="23"/>
        <v>8.3880825957208961E-3</v>
      </c>
      <c r="O375">
        <f t="shared" si="23"/>
        <v>5.4339743609695401E-3</v>
      </c>
    </row>
    <row r="376" spans="1:15" x14ac:dyDescent="0.35">
      <c r="A376" s="2">
        <v>45481</v>
      </c>
      <c r="B376">
        <v>226.28309631347659</v>
      </c>
      <c r="C376">
        <v>873.8607177734375</v>
      </c>
      <c r="D376">
        <v>138.98051452636719</v>
      </c>
      <c r="E376">
        <v>198.79634094238281</v>
      </c>
      <c r="F376">
        <v>69.016159057617188</v>
      </c>
      <c r="G376">
        <v>160.3212585449219</v>
      </c>
      <c r="H376">
        <v>5572.85009765625</v>
      </c>
      <c r="I376">
        <f t="shared" si="24"/>
        <v>6.5174854153798364E-3</v>
      </c>
      <c r="J376">
        <f t="shared" si="24"/>
        <v>-5.4683049408692282E-3</v>
      </c>
      <c r="K376">
        <f t="shared" si="24"/>
        <v>-6.8502688846234852E-3</v>
      </c>
      <c r="L376">
        <f t="shared" si="23"/>
        <v>1.8538367965410657E-3</v>
      </c>
      <c r="M376">
        <f t="shared" si="23"/>
        <v>2.7750656879147736E-4</v>
      </c>
      <c r="N376">
        <f t="shared" si="23"/>
        <v>7.8980020289760675E-3</v>
      </c>
      <c r="O376">
        <f t="shared" si="23"/>
        <v>1.0161824764044329E-3</v>
      </c>
    </row>
    <row r="377" spans="1:15" x14ac:dyDescent="0.35">
      <c r="A377" s="2">
        <v>45482</v>
      </c>
      <c r="B377">
        <v>227.13728332519531</v>
      </c>
      <c r="C377">
        <v>879.822998046875</v>
      </c>
      <c r="D377">
        <v>140.4803466796875</v>
      </c>
      <c r="E377">
        <v>201.1799621582031</v>
      </c>
      <c r="F377">
        <v>69.025726318359375</v>
      </c>
      <c r="G377">
        <v>159.49327087402341</v>
      </c>
      <c r="H377">
        <v>5576.97998046875</v>
      </c>
      <c r="I377">
        <f t="shared" si="24"/>
        <v>3.767753107611935E-3</v>
      </c>
      <c r="J377">
        <f t="shared" si="24"/>
        <v>6.7997475172746936E-3</v>
      </c>
      <c r="K377">
        <f t="shared" si="24"/>
        <v>1.0733857665583948E-2</v>
      </c>
      <c r="L377">
        <f t="shared" si="23"/>
        <v>1.1918953276309501E-2</v>
      </c>
      <c r="M377">
        <f t="shared" si="23"/>
        <v>1.3861388130784248E-4</v>
      </c>
      <c r="N377">
        <f t="shared" si="23"/>
        <v>-5.1779356137110757E-3</v>
      </c>
      <c r="O377">
        <f t="shared" si="23"/>
        <v>7.4079747806547519E-4</v>
      </c>
    </row>
    <row r="378" spans="1:15" x14ac:dyDescent="0.35">
      <c r="A378" s="2">
        <v>45483</v>
      </c>
      <c r="B378">
        <v>231.40827941894531</v>
      </c>
      <c r="C378">
        <v>877.30316162109375</v>
      </c>
      <c r="D378">
        <v>142.7540283203125</v>
      </c>
      <c r="E378">
        <v>201.34466552734381</v>
      </c>
      <c r="F378">
        <v>69.772254943847656</v>
      </c>
      <c r="G378">
        <v>160.59083557128909</v>
      </c>
      <c r="H378">
        <v>5633.91015625</v>
      </c>
      <c r="I378">
        <f t="shared" si="24"/>
        <v>1.8628986765803959E-2</v>
      </c>
      <c r="J378">
        <f t="shared" si="24"/>
        <v>-2.8681357218511326E-3</v>
      </c>
      <c r="K378">
        <f t="shared" si="24"/>
        <v>1.6055469838563853E-2</v>
      </c>
      <c r="L378">
        <f t="shared" si="23"/>
        <v>8.1835180758764968E-4</v>
      </c>
      <c r="M378">
        <f t="shared" si="23"/>
        <v>1.0757156804261068E-2</v>
      </c>
      <c r="N378">
        <f t="shared" si="23"/>
        <v>6.8580037365361451E-3</v>
      </c>
      <c r="O378">
        <f t="shared" si="23"/>
        <v>1.0156314878105886E-2</v>
      </c>
    </row>
    <row r="379" spans="1:15" x14ac:dyDescent="0.35">
      <c r="A379" s="2">
        <v>45484</v>
      </c>
      <c r="B379">
        <v>226.0347900390625</v>
      </c>
      <c r="C379">
        <v>839.88214111328125</v>
      </c>
      <c r="D379">
        <v>143.01197814941409</v>
      </c>
      <c r="E379">
        <v>201.0055236816406</v>
      </c>
      <c r="F379">
        <v>71.495025634765625</v>
      </c>
      <c r="G379">
        <v>159.37773132324219</v>
      </c>
      <c r="H379">
        <v>5584.5400390625</v>
      </c>
      <c r="I379">
        <f t="shared" si="24"/>
        <v>-2.349466815283793E-2</v>
      </c>
      <c r="J379">
        <f t="shared" si="24"/>
        <v>-4.3591039141458267E-2</v>
      </c>
      <c r="K379">
        <f t="shared" si="24"/>
        <v>1.8053224898732518E-3</v>
      </c>
      <c r="L379">
        <f t="shared" si="23"/>
        <v>-1.6858047298960116E-3</v>
      </c>
      <c r="M379">
        <f t="shared" si="23"/>
        <v>2.439143863237327E-2</v>
      </c>
      <c r="N379">
        <f t="shared" si="23"/>
        <v>-7.5826827135611636E-3</v>
      </c>
      <c r="O379">
        <f t="shared" si="23"/>
        <v>-8.8016499692667241E-3</v>
      </c>
    </row>
    <row r="380" spans="1:15" x14ac:dyDescent="0.35">
      <c r="A380" s="2">
        <v>45485</v>
      </c>
      <c r="B380">
        <v>228.9847412109375</v>
      </c>
      <c r="C380">
        <v>836.2213134765625</v>
      </c>
      <c r="D380">
        <v>143.18394470214841</v>
      </c>
      <c r="E380">
        <v>198.57350158691409</v>
      </c>
      <c r="F380">
        <v>72.739265441894531</v>
      </c>
      <c r="G380">
        <v>160.40791320800781</v>
      </c>
      <c r="H380">
        <v>5615.35009765625</v>
      </c>
      <c r="I380">
        <f t="shared" si="24"/>
        <v>1.2966443416609821E-2</v>
      </c>
      <c r="J380">
        <f t="shared" si="24"/>
        <v>-4.368266705665578E-3</v>
      </c>
      <c r="K380">
        <f t="shared" si="24"/>
        <v>1.2017402045198431E-3</v>
      </c>
      <c r="L380">
        <f t="shared" si="23"/>
        <v>-1.2173072023405569E-2</v>
      </c>
      <c r="M380">
        <f t="shared" si="23"/>
        <v>1.7253465363114309E-2</v>
      </c>
      <c r="N380">
        <f t="shared" si="23"/>
        <v>6.4429749497320063E-3</v>
      </c>
      <c r="O380">
        <f t="shared" si="23"/>
        <v>5.5018640249651198E-3</v>
      </c>
    </row>
    <row r="381" spans="1:15" x14ac:dyDescent="0.35">
      <c r="A381" s="2">
        <v>45488</v>
      </c>
      <c r="B381">
        <v>232.81871032714841</v>
      </c>
      <c r="C381">
        <v>842.0050048828125</v>
      </c>
      <c r="D381">
        <v>142.5725402832031</v>
      </c>
      <c r="E381">
        <v>203.52473449707031</v>
      </c>
      <c r="F381">
        <v>67.925064086914063</v>
      </c>
      <c r="G381">
        <v>158.45347595214841</v>
      </c>
      <c r="H381">
        <v>5631.22021484375</v>
      </c>
      <c r="I381">
        <f t="shared" si="24"/>
        <v>1.6604714381242461E-2</v>
      </c>
      <c r="J381">
        <f t="shared" si="24"/>
        <v>6.8926511769031714E-3</v>
      </c>
      <c r="K381">
        <f t="shared" si="24"/>
        <v>-4.2792054357687756E-3</v>
      </c>
      <c r="L381">
        <f t="shared" si="23"/>
        <v>2.4628226275488826E-2</v>
      </c>
      <c r="M381">
        <f t="shared" si="23"/>
        <v>-6.8476242293920048E-2</v>
      </c>
      <c r="N381">
        <f t="shared" si="23"/>
        <v>-1.2259005315997613E-2</v>
      </c>
      <c r="O381">
        <f t="shared" si="23"/>
        <v>2.8222164233526843E-3</v>
      </c>
    </row>
    <row r="382" spans="1:15" x14ac:dyDescent="0.35">
      <c r="A382" s="2">
        <v>45489</v>
      </c>
      <c r="B382">
        <v>233.23588562011719</v>
      </c>
      <c r="C382">
        <v>844.0289306640625</v>
      </c>
      <c r="D382">
        <v>144.2634582519531</v>
      </c>
      <c r="E382">
        <v>206.9838562011719</v>
      </c>
      <c r="F382">
        <v>68.815162658691406</v>
      </c>
      <c r="G382">
        <v>160.73524475097659</v>
      </c>
      <c r="H382">
        <v>5667.2001953125</v>
      </c>
      <c r="I382">
        <f t="shared" si="24"/>
        <v>1.7902426368753997E-3</v>
      </c>
      <c r="J382">
        <f t="shared" si="24"/>
        <v>2.4008137804612541E-3</v>
      </c>
      <c r="K382">
        <f t="shared" si="24"/>
        <v>1.1790274340011824E-2</v>
      </c>
      <c r="L382">
        <f t="shared" si="23"/>
        <v>1.685325792097098E-2</v>
      </c>
      <c r="M382">
        <f t="shared" si="23"/>
        <v>1.3019009331319803E-2</v>
      </c>
      <c r="N382">
        <f t="shared" si="23"/>
        <v>1.4297545750147437E-2</v>
      </c>
      <c r="O382">
        <f t="shared" si="23"/>
        <v>6.3690499714532745E-3</v>
      </c>
    </row>
    <row r="383" spans="1:15" x14ac:dyDescent="0.35">
      <c r="A383" s="2">
        <v>45490</v>
      </c>
      <c r="B383">
        <v>227.33595275878909</v>
      </c>
      <c r="C383">
        <v>839.5745849609375</v>
      </c>
      <c r="D383">
        <v>149.58460998535159</v>
      </c>
      <c r="E383">
        <v>210.13288879394531</v>
      </c>
      <c r="F383">
        <v>67.858070373535156</v>
      </c>
      <c r="G383">
        <v>163.132568359375</v>
      </c>
      <c r="H383">
        <v>5588.27001953125</v>
      </c>
      <c r="I383">
        <f t="shared" si="24"/>
        <v>-2.5621434577345316E-2</v>
      </c>
      <c r="J383">
        <f t="shared" si="24"/>
        <v>-5.2914549715140811E-3</v>
      </c>
      <c r="K383">
        <f t="shared" si="24"/>
        <v>3.6220986675633483E-2</v>
      </c>
      <c r="L383">
        <f t="shared" si="23"/>
        <v>1.5099333504553855E-2</v>
      </c>
      <c r="M383">
        <f t="shared" si="23"/>
        <v>-1.4005784589988392E-2</v>
      </c>
      <c r="N383">
        <f t="shared" si="23"/>
        <v>1.4804604209306189E-2</v>
      </c>
      <c r="O383">
        <f t="shared" si="23"/>
        <v>-1.4025441523645543E-2</v>
      </c>
    </row>
    <row r="384" spans="1:15" x14ac:dyDescent="0.35">
      <c r="A384" s="2">
        <v>45491</v>
      </c>
      <c r="B384">
        <v>222.66766357421881</v>
      </c>
      <c r="C384">
        <v>832.71929931640625</v>
      </c>
      <c r="D384">
        <v>148.47642517089841</v>
      </c>
      <c r="E384">
        <v>203.45692443847659</v>
      </c>
      <c r="F384">
        <v>68.595039367675781</v>
      </c>
      <c r="G384">
        <v>162.1697998046875</v>
      </c>
      <c r="H384">
        <v>5544.58984375</v>
      </c>
      <c r="I384">
        <f t="shared" si="24"/>
        <v>-2.0748529520096631E-2</v>
      </c>
      <c r="J384">
        <f t="shared" si="24"/>
        <v>-8.1987073077063807E-3</v>
      </c>
      <c r="K384">
        <f t="shared" si="24"/>
        <v>-7.4359932367412561E-3</v>
      </c>
      <c r="L384">
        <f t="shared" si="23"/>
        <v>-3.2285825406626403E-2</v>
      </c>
      <c r="M384">
        <f t="shared" si="23"/>
        <v>1.0801896144082881E-2</v>
      </c>
      <c r="N384">
        <f t="shared" si="23"/>
        <v>-5.9192398210632484E-3</v>
      </c>
      <c r="O384">
        <f t="shared" si="23"/>
        <v>-7.8471121453500721E-3</v>
      </c>
    </row>
    <row r="385" spans="1:15" x14ac:dyDescent="0.35">
      <c r="A385" s="2">
        <v>45492</v>
      </c>
      <c r="B385">
        <v>222.79676818847659</v>
      </c>
      <c r="C385">
        <v>831.48907470703125</v>
      </c>
      <c r="D385">
        <v>147.77906799316409</v>
      </c>
      <c r="E385">
        <v>203.26313781738281</v>
      </c>
      <c r="F385">
        <v>68.910873413085938</v>
      </c>
      <c r="G385">
        <v>162.68022155761719</v>
      </c>
      <c r="H385">
        <v>5505</v>
      </c>
      <c r="I385">
        <f t="shared" si="24"/>
        <v>5.7964052196796394E-4</v>
      </c>
      <c r="J385">
        <f t="shared" si="24"/>
        <v>-1.4784504785152711E-3</v>
      </c>
      <c r="K385">
        <f t="shared" si="24"/>
        <v>-4.7078179599539744E-3</v>
      </c>
      <c r="L385">
        <f t="shared" si="23"/>
        <v>-9.5292390880920871E-4</v>
      </c>
      <c r="M385">
        <f t="shared" si="23"/>
        <v>4.5937602890483986E-3</v>
      </c>
      <c r="N385">
        <f t="shared" si="23"/>
        <v>3.1425097085681962E-3</v>
      </c>
      <c r="O385">
        <f t="shared" si="23"/>
        <v>-7.1658792264060849E-3</v>
      </c>
    </row>
    <row r="386" spans="1:15" x14ac:dyDescent="0.35">
      <c r="A386" s="2">
        <v>45495</v>
      </c>
      <c r="B386">
        <v>222.4491271972656</v>
      </c>
      <c r="C386">
        <v>840.70538330078125</v>
      </c>
      <c r="D386">
        <v>147.34913635253909</v>
      </c>
      <c r="E386">
        <v>203.74761962890619</v>
      </c>
      <c r="F386">
        <v>69.772254943847656</v>
      </c>
      <c r="G386">
        <v>162.96110534667969</v>
      </c>
      <c r="H386">
        <v>5564.41015625</v>
      </c>
      <c r="I386">
        <f t="shared" si="24"/>
        <v>-1.5615688564777634E-3</v>
      </c>
      <c r="J386">
        <f t="shared" si="24"/>
        <v>1.1023122187295105E-2</v>
      </c>
      <c r="K386">
        <f t="shared" si="24"/>
        <v>-2.91352665331285E-3</v>
      </c>
      <c r="L386">
        <f t="shared" si="23"/>
        <v>2.3806842029740118E-3</v>
      </c>
      <c r="M386">
        <f t="shared" si="23"/>
        <v>1.2422457123970143E-2</v>
      </c>
      <c r="N386">
        <f t="shared" si="23"/>
        <v>1.7251118670480916E-3</v>
      </c>
      <c r="O386">
        <f t="shared" si="23"/>
        <v>1.0734217246220293E-2</v>
      </c>
    </row>
    <row r="387" spans="1:15" x14ac:dyDescent="0.35">
      <c r="A387" s="2">
        <v>45496</v>
      </c>
      <c r="B387">
        <v>223.49205017089841</v>
      </c>
      <c r="C387">
        <v>845.3582763671875</v>
      </c>
      <c r="D387">
        <v>145.5436096191406</v>
      </c>
      <c r="E387">
        <v>203.79606628417969</v>
      </c>
      <c r="F387">
        <v>69.016159057617188</v>
      </c>
      <c r="G387">
        <v>161.38232421875</v>
      </c>
      <c r="H387">
        <v>5555.740234375</v>
      </c>
      <c r="I387">
        <f t="shared" si="24"/>
        <v>4.6774100621249795E-3</v>
      </c>
      <c r="J387">
        <f t="shared" si="24"/>
        <v>5.5192517211830605E-3</v>
      </c>
      <c r="K387">
        <f t="shared" si="24"/>
        <v>-1.2329083796902415E-2</v>
      </c>
      <c r="L387">
        <f t="shared" si="23"/>
        <v>2.3774950846386291E-4</v>
      </c>
      <c r="M387">
        <f t="shared" si="23"/>
        <v>-1.0895770685568825E-2</v>
      </c>
      <c r="N387">
        <f t="shared" si="23"/>
        <v>-9.7353203627373232E-3</v>
      </c>
      <c r="O387">
        <f t="shared" si="23"/>
        <v>-1.5593176939461904E-3</v>
      </c>
    </row>
    <row r="388" spans="1:15" x14ac:dyDescent="0.35">
      <c r="A388" s="2">
        <v>45497</v>
      </c>
      <c r="B388">
        <v>217.06568908691409</v>
      </c>
      <c r="C388">
        <v>824.2369384765625</v>
      </c>
      <c r="D388">
        <v>149.29801940917969</v>
      </c>
      <c r="E388">
        <v>202.110107421875</v>
      </c>
      <c r="F388">
        <v>72.174568176269531</v>
      </c>
      <c r="G388">
        <v>162.7189636230469</v>
      </c>
      <c r="H388">
        <v>5427.1298828125</v>
      </c>
      <c r="I388">
        <f t="shared" si="24"/>
        <v>-2.9175821298000663E-2</v>
      </c>
      <c r="J388">
        <f t="shared" si="24"/>
        <v>-2.5302497926508186E-2</v>
      </c>
      <c r="K388">
        <f t="shared" si="24"/>
        <v>2.5468674439007299E-2</v>
      </c>
      <c r="L388">
        <f t="shared" si="23"/>
        <v>-8.3071836157116233E-3</v>
      </c>
      <c r="M388">
        <f t="shared" si="23"/>
        <v>4.474707610125761E-2</v>
      </c>
      <c r="N388">
        <f t="shared" si="23"/>
        <v>8.2483287330911044E-3</v>
      </c>
      <c r="O388">
        <f t="shared" si="23"/>
        <v>-2.3421242222892859E-2</v>
      </c>
    </row>
    <row r="389" spans="1:15" x14ac:dyDescent="0.35">
      <c r="A389" s="2">
        <v>45498</v>
      </c>
      <c r="B389">
        <v>216.0227966308594</v>
      </c>
      <c r="C389">
        <v>809.48480224609375</v>
      </c>
      <c r="D389">
        <v>152.5079040527344</v>
      </c>
      <c r="E389">
        <v>202.18763732910159</v>
      </c>
      <c r="F389">
        <v>70.289093017578125</v>
      </c>
      <c r="G389">
        <v>161.6535339355469</v>
      </c>
      <c r="H389">
        <v>5399.22021484375</v>
      </c>
      <c r="I389">
        <f t="shared" si="24"/>
        <v>-4.8160803449554621E-3</v>
      </c>
      <c r="J389">
        <f t="shared" si="24"/>
        <v>-1.8060036577435837E-2</v>
      </c>
      <c r="K389">
        <f t="shared" si="24"/>
        <v>2.1271985947273198E-2</v>
      </c>
      <c r="L389">
        <f t="shared" si="23"/>
        <v>3.8352876900018298E-4</v>
      </c>
      <c r="M389">
        <f t="shared" si="23"/>
        <v>-2.6471104851416759E-2</v>
      </c>
      <c r="N389">
        <f t="shared" si="23"/>
        <v>-6.5691976170035339E-3</v>
      </c>
      <c r="O389">
        <f t="shared" si="23"/>
        <v>-5.1558890197172594E-3</v>
      </c>
    </row>
    <row r="390" spans="1:15" x14ac:dyDescent="0.35">
      <c r="A390" s="2">
        <v>45499</v>
      </c>
      <c r="B390">
        <v>216.4896240234375</v>
      </c>
      <c r="C390">
        <v>812.2764892578125</v>
      </c>
      <c r="D390">
        <v>153.4632263183594</v>
      </c>
      <c r="E390">
        <v>205.64671325683591</v>
      </c>
      <c r="F390">
        <v>71.07391357421875</v>
      </c>
      <c r="G390">
        <v>163.7940673828125</v>
      </c>
      <c r="H390">
        <v>5459.10009765625</v>
      </c>
      <c r="I390">
        <f t="shared" si="24"/>
        <v>2.1586782324184671E-3</v>
      </c>
      <c r="J390">
        <f t="shared" si="24"/>
        <v>3.4427875221617857E-3</v>
      </c>
      <c r="K390">
        <f t="shared" si="24"/>
        <v>6.2445458093518501E-3</v>
      </c>
      <c r="L390">
        <f t="shared" si="23"/>
        <v>1.6963548418992957E-2</v>
      </c>
      <c r="M390">
        <f t="shared" si="23"/>
        <v>1.1103734125547712E-2</v>
      </c>
      <c r="N390">
        <f t="shared" si="23"/>
        <v>1.3154586517515509E-2</v>
      </c>
      <c r="O390">
        <f t="shared" si="23"/>
        <v>1.1029420409570924E-2</v>
      </c>
    </row>
    <row r="391" spans="1:15" x14ac:dyDescent="0.35">
      <c r="A391" s="2">
        <v>45502</v>
      </c>
      <c r="B391">
        <v>216.7677307128906</v>
      </c>
      <c r="C391">
        <v>810.249755859375</v>
      </c>
      <c r="D391">
        <v>151.4761657714844</v>
      </c>
      <c r="E391">
        <v>204.2999267578125</v>
      </c>
      <c r="F391">
        <v>71.150466918945313</v>
      </c>
      <c r="G391">
        <v>164.58827209472659</v>
      </c>
      <c r="H391">
        <v>5463.5400390625</v>
      </c>
      <c r="I391">
        <f t="shared" si="24"/>
        <v>1.2837946066427013E-3</v>
      </c>
      <c r="J391">
        <f t="shared" si="24"/>
        <v>-2.4982455089966483E-3</v>
      </c>
      <c r="K391">
        <f t="shared" si="24"/>
        <v>-1.303267943498432E-2</v>
      </c>
      <c r="L391">
        <f t="shared" si="23"/>
        <v>-6.5705690101669056E-3</v>
      </c>
      <c r="M391">
        <f t="shared" si="23"/>
        <v>1.0765151776952564E-3</v>
      </c>
      <c r="N391">
        <f t="shared" si="23"/>
        <v>4.8370826622535969E-3</v>
      </c>
      <c r="O391">
        <f t="shared" si="23"/>
        <v>8.1297957182845169E-4</v>
      </c>
    </row>
    <row r="392" spans="1:15" x14ac:dyDescent="0.35">
      <c r="A392" s="2">
        <v>45503</v>
      </c>
      <c r="B392">
        <v>217.32395935058591</v>
      </c>
      <c r="C392">
        <v>804.75579833984375</v>
      </c>
      <c r="D392">
        <v>154.12242126464841</v>
      </c>
      <c r="E392">
        <v>208.5050964355469</v>
      </c>
      <c r="F392">
        <v>71.093048095703125</v>
      </c>
      <c r="G392">
        <v>156.61698913574219</v>
      </c>
      <c r="H392">
        <v>5436.43994140625</v>
      </c>
      <c r="I392">
        <f t="shared" si="24"/>
        <v>2.5627255939229938E-3</v>
      </c>
      <c r="J392">
        <f t="shared" si="24"/>
        <v>-6.8036654092096449E-3</v>
      </c>
      <c r="K392">
        <f t="shared" si="24"/>
        <v>1.7318938957801577E-2</v>
      </c>
      <c r="L392">
        <f t="shared" si="23"/>
        <v>2.037434095568735E-2</v>
      </c>
      <c r="M392">
        <f t="shared" si="23"/>
        <v>-8.0733137612630545E-4</v>
      </c>
      <c r="N392">
        <f t="shared" si="23"/>
        <v>-4.9643769631951683E-2</v>
      </c>
      <c r="O392">
        <f t="shared" si="23"/>
        <v>-4.9725143613676215E-3</v>
      </c>
    </row>
    <row r="393" spans="1:15" x14ac:dyDescent="0.35">
      <c r="A393" s="2">
        <v>45504</v>
      </c>
      <c r="B393">
        <v>220.5818176269531</v>
      </c>
      <c r="C393">
        <v>816.6478271484375</v>
      </c>
      <c r="D393">
        <v>150.79789733886719</v>
      </c>
      <c r="E393">
        <v>206.1893310546875</v>
      </c>
      <c r="F393">
        <v>73.112525939941406</v>
      </c>
      <c r="G393">
        <v>155.70654296875</v>
      </c>
      <c r="H393">
        <v>5522.2998046875</v>
      </c>
      <c r="I393">
        <f t="shared" si="24"/>
        <v>1.4879540554657331E-2</v>
      </c>
      <c r="J393">
        <f t="shared" si="24"/>
        <v>1.4669070509521306E-2</v>
      </c>
      <c r="K393">
        <f t="shared" si="24"/>
        <v>-2.1806717790077434E-2</v>
      </c>
      <c r="L393">
        <f t="shared" si="23"/>
        <v>-1.1168654794731123E-2</v>
      </c>
      <c r="M393">
        <f t="shared" si="23"/>
        <v>2.8010149966945268E-2</v>
      </c>
      <c r="N393">
        <f t="shared" si="23"/>
        <v>-5.8301642515156274E-3</v>
      </c>
      <c r="O393">
        <f t="shared" si="23"/>
        <v>1.5669980701917767E-2</v>
      </c>
    </row>
    <row r="394" spans="1:15" x14ac:dyDescent="0.35">
      <c r="A394" s="2">
        <v>45505</v>
      </c>
      <c r="B394">
        <v>216.8869323730469</v>
      </c>
      <c r="C394">
        <v>811.57110595703125</v>
      </c>
      <c r="D394">
        <v>153.577880859375</v>
      </c>
      <c r="E394">
        <v>201.49971008300781</v>
      </c>
      <c r="F394">
        <v>75.026710510253906</v>
      </c>
      <c r="G394">
        <v>160.4815673828125</v>
      </c>
      <c r="H394">
        <v>5446.68017578125</v>
      </c>
      <c r="I394">
        <f t="shared" si="24"/>
        <v>-1.6892512285401461E-2</v>
      </c>
      <c r="J394">
        <f t="shared" si="24"/>
        <v>-6.2359398231880362E-3</v>
      </c>
      <c r="K394">
        <f t="shared" si="24"/>
        <v>1.8267293421670952E-2</v>
      </c>
      <c r="L394">
        <f t="shared" si="23"/>
        <v>-2.300688688965119E-2</v>
      </c>
      <c r="M394">
        <f t="shared" si="23"/>
        <v>2.5844484706212461E-2</v>
      </c>
      <c r="N394">
        <f t="shared" si="23"/>
        <v>3.0205990130286815E-2</v>
      </c>
      <c r="O394">
        <f t="shared" si="23"/>
        <v>-1.3788123791990166E-2</v>
      </c>
    </row>
    <row r="395" spans="1:15" x14ac:dyDescent="0.35">
      <c r="A395" s="2">
        <v>45506</v>
      </c>
      <c r="B395">
        <v>218.3768005371094</v>
      </c>
      <c r="C395">
        <v>816.727294921875</v>
      </c>
      <c r="D395">
        <v>156.80686950683591</v>
      </c>
      <c r="E395">
        <v>192.95365905761719</v>
      </c>
      <c r="F395">
        <v>75.801963806152344</v>
      </c>
      <c r="G395">
        <v>164.73359680175781</v>
      </c>
      <c r="H395">
        <v>5346.56005859375</v>
      </c>
      <c r="I395">
        <f t="shared" si="24"/>
        <v>6.8458448064398604E-3</v>
      </c>
      <c r="J395">
        <f t="shared" si="24"/>
        <v>6.3332448114010193E-3</v>
      </c>
      <c r="K395">
        <f t="shared" si="24"/>
        <v>2.0807112064876222E-2</v>
      </c>
      <c r="L395">
        <f t="shared" si="23"/>
        <v>-4.3337891027230034E-2</v>
      </c>
      <c r="M395">
        <f t="shared" si="23"/>
        <v>1.0280009775423296E-2</v>
      </c>
      <c r="N395">
        <f t="shared" si="23"/>
        <v>2.6150513240298372E-2</v>
      </c>
      <c r="O395">
        <f t="shared" si="23"/>
        <v>-1.8552906608553271E-2</v>
      </c>
    </row>
    <row r="396" spans="1:15" x14ac:dyDescent="0.35">
      <c r="A396" s="2">
        <v>45509</v>
      </c>
      <c r="B396">
        <v>207.8582458496094</v>
      </c>
      <c r="C396">
        <v>796.6092529296875</v>
      </c>
      <c r="D396">
        <v>154.04597473144531</v>
      </c>
      <c r="E396">
        <v>188.84538269042969</v>
      </c>
      <c r="F396">
        <v>73.390083312988281</v>
      </c>
      <c r="G396">
        <v>162.7770690917969</v>
      </c>
      <c r="H396">
        <v>5186.330078125</v>
      </c>
      <c r="I396">
        <f t="shared" si="24"/>
        <v>-4.9365676552411211E-2</v>
      </c>
      <c r="J396">
        <f t="shared" si="24"/>
        <v>-2.494096458676754E-2</v>
      </c>
      <c r="K396">
        <f t="shared" si="24"/>
        <v>-1.7763822509542365E-2</v>
      </c>
      <c r="L396">
        <f t="shared" si="23"/>
        <v>-2.1521452318719703E-2</v>
      </c>
      <c r="M396">
        <f t="shared" si="23"/>
        <v>-3.2335378280283038E-2</v>
      </c>
      <c r="N396">
        <f t="shared" si="23"/>
        <v>-1.1948013845081235E-2</v>
      </c>
      <c r="O396">
        <f t="shared" si="23"/>
        <v>-3.0427041392393099E-2</v>
      </c>
    </row>
    <row r="397" spans="1:15" x14ac:dyDescent="0.35">
      <c r="A397" s="2">
        <v>45510</v>
      </c>
      <c r="B397">
        <v>205.8320007324219</v>
      </c>
      <c r="C397">
        <v>811.5611572265625</v>
      </c>
      <c r="D397">
        <v>151.8678283691406</v>
      </c>
      <c r="E397">
        <v>194.11639404296881</v>
      </c>
      <c r="F397">
        <v>73.667633056640625</v>
      </c>
      <c r="G397">
        <v>162.80613708496091</v>
      </c>
      <c r="H397">
        <v>5240.02978515625</v>
      </c>
      <c r="I397">
        <f t="shared" si="24"/>
        <v>-9.7960313905698839E-3</v>
      </c>
      <c r="J397">
        <f t="shared" si="24"/>
        <v>1.8595461094180081E-2</v>
      </c>
      <c r="K397">
        <f t="shared" si="24"/>
        <v>-1.4240502712266012E-2</v>
      </c>
      <c r="L397">
        <f t="shared" si="23"/>
        <v>2.7529349201614671E-2</v>
      </c>
      <c r="M397">
        <f t="shared" si="23"/>
        <v>3.7747094142096221E-3</v>
      </c>
      <c r="N397">
        <f t="shared" si="23"/>
        <v>1.7855953679286313E-4</v>
      </c>
      <c r="O397">
        <f t="shared" si="23"/>
        <v>1.0300849493599515E-2</v>
      </c>
    </row>
    <row r="398" spans="1:15" x14ac:dyDescent="0.35">
      <c r="A398" s="2">
        <v>45511</v>
      </c>
      <c r="B398">
        <v>208.40452575683591</v>
      </c>
      <c r="C398">
        <v>805.02398681640625</v>
      </c>
      <c r="D398">
        <v>151.80096435546881</v>
      </c>
      <c r="E398">
        <v>194.17454528808591</v>
      </c>
      <c r="F398">
        <v>74.232322692871094</v>
      </c>
      <c r="G398">
        <v>164.67546081542969</v>
      </c>
      <c r="H398">
        <v>5199.5</v>
      </c>
      <c r="I398">
        <f t="shared" si="24"/>
        <v>1.2420720688285224E-2</v>
      </c>
      <c r="J398">
        <f t="shared" si="24"/>
        <v>-8.0876730402738E-3</v>
      </c>
      <c r="K398">
        <f t="shared" si="24"/>
        <v>-4.4037462099707684E-4</v>
      </c>
      <c r="L398">
        <f t="shared" si="23"/>
        <v>2.9952409217700308E-4</v>
      </c>
      <c r="M398">
        <f t="shared" si="23"/>
        <v>7.6361399476689504E-3</v>
      </c>
      <c r="N398">
        <f t="shared" si="23"/>
        <v>1.1416482915502464E-2</v>
      </c>
      <c r="O398">
        <f t="shared" si="23"/>
        <v>-7.764715388769489E-3</v>
      </c>
    </row>
    <row r="399" spans="1:15" x14ac:dyDescent="0.35">
      <c r="A399" s="2">
        <v>45512</v>
      </c>
      <c r="B399">
        <v>211.8710021972656</v>
      </c>
      <c r="C399">
        <v>833.96441650390625</v>
      </c>
      <c r="D399">
        <v>153.06201171875</v>
      </c>
      <c r="E399">
        <v>197.72084045410159</v>
      </c>
      <c r="F399">
        <v>74.213180541992188</v>
      </c>
      <c r="G399">
        <v>165.4987487792969</v>
      </c>
      <c r="H399">
        <v>5319.31005859375</v>
      </c>
      <c r="I399">
        <f t="shared" si="24"/>
        <v>1.6496582944345049E-2</v>
      </c>
      <c r="J399">
        <f t="shared" si="24"/>
        <v>3.5318661123967678E-2</v>
      </c>
      <c r="K399">
        <f t="shared" si="24"/>
        <v>8.2729268855401689E-3</v>
      </c>
      <c r="L399">
        <f t="shared" si="23"/>
        <v>1.809866661900196E-2</v>
      </c>
      <c r="M399">
        <f t="shared" si="23"/>
        <v>-2.5790139233412195E-4</v>
      </c>
      <c r="N399">
        <f t="shared" si="23"/>
        <v>4.9870016871040555E-3</v>
      </c>
      <c r="O399">
        <f t="shared" si="23"/>
        <v>2.2781139590898881E-2</v>
      </c>
    </row>
    <row r="400" spans="1:15" x14ac:dyDescent="0.35">
      <c r="A400" s="2">
        <v>45513</v>
      </c>
      <c r="B400">
        <v>214.78123474121091</v>
      </c>
      <c r="C400">
        <v>849.3634033203125</v>
      </c>
      <c r="D400">
        <v>153.44410705566409</v>
      </c>
      <c r="E400">
        <v>199.40678405761719</v>
      </c>
      <c r="F400">
        <v>74.136611938476563</v>
      </c>
      <c r="G400">
        <v>165.1791076660156</v>
      </c>
      <c r="H400">
        <v>5344.16015625</v>
      </c>
      <c r="I400">
        <f t="shared" si="24"/>
        <v>1.3642388007254754E-2</v>
      </c>
      <c r="J400">
        <f t="shared" si="24"/>
        <v>1.8296396234455586E-2</v>
      </c>
      <c r="K400">
        <f t="shared" si="24"/>
        <v>2.493232672639296E-3</v>
      </c>
      <c r="L400">
        <f t="shared" si="23"/>
        <v>8.4907401456015604E-3</v>
      </c>
      <c r="M400">
        <f t="shared" si="23"/>
        <v>-1.0322712156796122E-3</v>
      </c>
      <c r="N400">
        <f t="shared" si="23"/>
        <v>-1.9332483660737874E-3</v>
      </c>
      <c r="O400">
        <f t="shared" si="23"/>
        <v>4.6607984343816989E-3</v>
      </c>
    </row>
    <row r="401" spans="1:15" x14ac:dyDescent="0.35">
      <c r="A401" s="2">
        <v>45516</v>
      </c>
      <c r="B401">
        <v>216.3125915527344</v>
      </c>
      <c r="C401">
        <v>857.9471435546875</v>
      </c>
      <c r="D401">
        <v>152.73716735839841</v>
      </c>
      <c r="E401">
        <v>199.78466796875</v>
      </c>
      <c r="F401">
        <v>74.25146484375</v>
      </c>
      <c r="G401">
        <v>161.56636047363281</v>
      </c>
      <c r="H401">
        <v>5344.39013671875</v>
      </c>
      <c r="I401">
        <f t="shared" si="24"/>
        <v>7.1045473599131688E-3</v>
      </c>
      <c r="J401">
        <f t="shared" si="24"/>
        <v>1.0055361721209138E-2</v>
      </c>
      <c r="K401">
        <f t="shared" si="24"/>
        <v>-4.6177935267331244E-3</v>
      </c>
      <c r="L401">
        <f t="shared" si="23"/>
        <v>1.893247072741774E-3</v>
      </c>
      <c r="M401">
        <f t="shared" si="23"/>
        <v>1.5480075043688101E-3</v>
      </c>
      <c r="N401">
        <f t="shared" si="23"/>
        <v>-2.2114427144886633E-2</v>
      </c>
      <c r="O401">
        <f t="shared" si="23"/>
        <v>4.3033051720097097E-5</v>
      </c>
    </row>
    <row r="402" spans="1:15" x14ac:dyDescent="0.35">
      <c r="A402" s="2">
        <v>45517</v>
      </c>
      <c r="B402">
        <v>220.03167724609381</v>
      </c>
      <c r="C402">
        <v>859.18896484375</v>
      </c>
      <c r="D402">
        <v>151.31373596191409</v>
      </c>
      <c r="E402">
        <v>201.48030090332031</v>
      </c>
      <c r="F402">
        <v>74.768295288085938</v>
      </c>
      <c r="G402">
        <v>162.0312805175781</v>
      </c>
      <c r="H402">
        <v>5434.43017578125</v>
      </c>
      <c r="I402">
        <f t="shared" si="24"/>
        <v>1.7046978831008777E-2</v>
      </c>
      <c r="J402">
        <f t="shared" si="24"/>
        <v>1.4463868058953834E-3</v>
      </c>
      <c r="K402">
        <f t="shared" si="24"/>
        <v>-9.3631808370054671E-3</v>
      </c>
      <c r="L402">
        <f t="shared" si="23"/>
        <v>8.4514879644113101E-3</v>
      </c>
      <c r="M402">
        <f t="shared" si="23"/>
        <v>6.9364293179767517E-3</v>
      </c>
      <c r="N402">
        <f t="shared" si="23"/>
        <v>2.8734471760250642E-3</v>
      </c>
      <c r="O402">
        <f t="shared" si="23"/>
        <v>1.6707233419049988E-2</v>
      </c>
    </row>
    <row r="403" spans="1:15" x14ac:dyDescent="0.35">
      <c r="A403" s="2">
        <v>45518</v>
      </c>
      <c r="B403">
        <v>220.4791564941406</v>
      </c>
      <c r="C403">
        <v>857.09283447265625</v>
      </c>
      <c r="D403">
        <v>151.39970397949219</v>
      </c>
      <c r="E403">
        <v>203.70884704589841</v>
      </c>
      <c r="F403">
        <v>74.663032531738281</v>
      </c>
      <c r="G403">
        <v>163.49383544921881</v>
      </c>
      <c r="H403">
        <v>5455.2099609375</v>
      </c>
      <c r="I403">
        <f t="shared" si="24"/>
        <v>2.0316385781645133E-3</v>
      </c>
      <c r="J403">
        <f t="shared" si="24"/>
        <v>-2.4426424776425848E-3</v>
      </c>
      <c r="K403">
        <f t="shared" si="24"/>
        <v>5.6798284150097412E-4</v>
      </c>
      <c r="L403">
        <f t="shared" si="23"/>
        <v>1.1000139690594067E-2</v>
      </c>
      <c r="M403">
        <f t="shared" si="23"/>
        <v>-1.4088447890313091E-3</v>
      </c>
      <c r="N403">
        <f t="shared" si="23"/>
        <v>8.985879744340633E-3</v>
      </c>
      <c r="O403">
        <f t="shared" si="23"/>
        <v>3.8164365611984101E-3</v>
      </c>
    </row>
    <row r="404" spans="1:15" x14ac:dyDescent="0.35">
      <c r="A404" s="2">
        <v>45519</v>
      </c>
      <c r="B404">
        <v>223.46235656738281</v>
      </c>
      <c r="C404">
        <v>871.63739013671875</v>
      </c>
      <c r="D404">
        <v>151.98246765136719</v>
      </c>
      <c r="E404">
        <v>204.97816467285159</v>
      </c>
      <c r="F404">
        <v>74.088768005371094</v>
      </c>
      <c r="G404">
        <v>162.64146423339841</v>
      </c>
      <c r="H404">
        <v>5543.22021484375</v>
      </c>
      <c r="I404">
        <f t="shared" si="24"/>
        <v>1.3439810829061014E-2</v>
      </c>
      <c r="J404">
        <f t="shared" si="24"/>
        <v>1.6827262755643092E-2</v>
      </c>
      <c r="K404">
        <f t="shared" si="24"/>
        <v>3.8417840145822976E-3</v>
      </c>
      <c r="L404">
        <f t="shared" si="23"/>
        <v>6.2117056425541623E-3</v>
      </c>
      <c r="M404">
        <f t="shared" si="23"/>
        <v>-7.7211486145844334E-3</v>
      </c>
      <c r="N404">
        <f t="shared" si="23"/>
        <v>-5.2271137617254599E-3</v>
      </c>
      <c r="O404">
        <f t="shared" si="23"/>
        <v>1.6004489931304131E-2</v>
      </c>
    </row>
    <row r="405" spans="1:15" x14ac:dyDescent="0.35">
      <c r="A405" s="2">
        <v>45520</v>
      </c>
      <c r="B405">
        <v>224.78492736816409</v>
      </c>
      <c r="C405">
        <v>864.9215087890625</v>
      </c>
      <c r="D405">
        <v>152.2690734863281</v>
      </c>
      <c r="E405">
        <v>207.3229675292969</v>
      </c>
      <c r="F405">
        <v>75.198982238769531</v>
      </c>
      <c r="G405">
        <v>162.6124267578125</v>
      </c>
      <c r="H405">
        <v>5554.25</v>
      </c>
      <c r="I405">
        <f t="shared" si="24"/>
        <v>5.9010938210141287E-3</v>
      </c>
      <c r="J405">
        <f t="shared" si="24"/>
        <v>-7.7347388953034734E-3</v>
      </c>
      <c r="K405">
        <f t="shared" si="24"/>
        <v>1.8840063630530092E-3</v>
      </c>
      <c r="L405">
        <f t="shared" si="23"/>
        <v>1.1374347307388497E-2</v>
      </c>
      <c r="M405">
        <f t="shared" si="23"/>
        <v>1.4873754867373745E-2</v>
      </c>
      <c r="N405">
        <f t="shared" si="23"/>
        <v>-1.7855267203458334E-4</v>
      </c>
      <c r="O405">
        <f t="shared" si="23"/>
        <v>1.9878023683961516E-3</v>
      </c>
    </row>
    <row r="406" spans="1:15" x14ac:dyDescent="0.35">
      <c r="A406" s="2">
        <v>45523</v>
      </c>
      <c r="B406">
        <v>224.62580871582031</v>
      </c>
      <c r="C406">
        <v>866.66998291015625</v>
      </c>
      <c r="D406">
        <v>152.49835205078119</v>
      </c>
      <c r="E406">
        <v>208.75700378417969</v>
      </c>
      <c r="F406">
        <v>75.945526123046875</v>
      </c>
      <c r="G406">
        <v>163.1257629394531</v>
      </c>
      <c r="H406">
        <v>5608.25</v>
      </c>
      <c r="I406">
        <f t="shared" si="24"/>
        <v>-7.0812130737808103E-4</v>
      </c>
      <c r="J406">
        <f t="shared" si="24"/>
        <v>2.0195002386194194E-3</v>
      </c>
      <c r="K406">
        <f t="shared" si="24"/>
        <v>1.5046136069405932E-3</v>
      </c>
      <c r="L406">
        <f t="shared" si="23"/>
        <v>6.8931072482471822E-3</v>
      </c>
      <c r="M406">
        <f t="shared" si="23"/>
        <v>9.8786249458194253E-3</v>
      </c>
      <c r="N406">
        <f t="shared" si="23"/>
        <v>3.1518355712439263E-3</v>
      </c>
      <c r="O406">
        <f t="shared" si="23"/>
        <v>9.6753274361777754E-3</v>
      </c>
    </row>
    <row r="407" spans="1:15" x14ac:dyDescent="0.35">
      <c r="A407" s="2">
        <v>45524</v>
      </c>
      <c r="B407">
        <v>225.24235534667969</v>
      </c>
      <c r="C407">
        <v>870.49493408203125</v>
      </c>
      <c r="D407">
        <v>153.00468444824219</v>
      </c>
      <c r="E407">
        <v>207.85591125488281</v>
      </c>
      <c r="F407">
        <v>75.591400146484375</v>
      </c>
      <c r="G407">
        <v>165.0531921386719</v>
      </c>
      <c r="H407">
        <v>5597.1201171875</v>
      </c>
      <c r="I407">
        <f t="shared" si="24"/>
        <v>2.741011994753064E-3</v>
      </c>
      <c r="J407">
        <f t="shared" si="24"/>
        <v>4.4036778727232226E-3</v>
      </c>
      <c r="K407">
        <f t="shared" si="24"/>
        <v>3.3147484678147346E-3</v>
      </c>
      <c r="L407">
        <f t="shared" si="23"/>
        <v>-4.3258089315946491E-3</v>
      </c>
      <c r="M407">
        <f t="shared" si="23"/>
        <v>-4.6737997123108468E-3</v>
      </c>
      <c r="N407">
        <f t="shared" si="23"/>
        <v>1.1746343456933844E-2</v>
      </c>
      <c r="O407">
        <f t="shared" si="23"/>
        <v>-1.9865272376097089E-3</v>
      </c>
    </row>
    <row r="408" spans="1:15" x14ac:dyDescent="0.35">
      <c r="A408" s="2">
        <v>45525</v>
      </c>
      <c r="B408">
        <v>225.13294982910159</v>
      </c>
      <c r="C408">
        <v>875.68084716796875</v>
      </c>
      <c r="D408">
        <v>154.21791076660159</v>
      </c>
      <c r="E408">
        <v>207.93341064453119</v>
      </c>
      <c r="F408">
        <v>76.223091125488281</v>
      </c>
      <c r="G408">
        <v>164.8110656738281</v>
      </c>
      <c r="H408">
        <v>5620.85009765625</v>
      </c>
      <c r="I408">
        <f t="shared" si="24"/>
        <v>-4.8584155690955828E-4</v>
      </c>
      <c r="J408">
        <f t="shared" si="24"/>
        <v>5.9397551936031748E-3</v>
      </c>
      <c r="K408">
        <f t="shared" si="24"/>
        <v>7.8980689829017698E-3</v>
      </c>
      <c r="L408">
        <f t="shared" si="23"/>
        <v>3.7278201465994529E-4</v>
      </c>
      <c r="M408">
        <f t="shared" si="23"/>
        <v>8.3219278914214451E-3</v>
      </c>
      <c r="N408">
        <f t="shared" si="23"/>
        <v>-1.4680372461935245E-3</v>
      </c>
      <c r="O408">
        <f t="shared" si="23"/>
        <v>4.2307147210067959E-3</v>
      </c>
    </row>
    <row r="409" spans="1:15" x14ac:dyDescent="0.35">
      <c r="A409" s="2">
        <v>45526</v>
      </c>
      <c r="B409">
        <v>223.2734375</v>
      </c>
      <c r="C409">
        <v>871.8460693359375</v>
      </c>
      <c r="D409">
        <v>155.0968322753906</v>
      </c>
      <c r="E409">
        <v>209.90034484863281</v>
      </c>
      <c r="F409">
        <v>75.533973693847656</v>
      </c>
      <c r="G409">
        <v>164.8013916015625</v>
      </c>
      <c r="H409">
        <v>5570.64013671875</v>
      </c>
      <c r="I409">
        <f t="shared" si="24"/>
        <v>-8.2939183791634237E-3</v>
      </c>
      <c r="J409">
        <f t="shared" si="24"/>
        <v>-4.3888124997294694E-3</v>
      </c>
      <c r="K409">
        <f t="shared" si="24"/>
        <v>5.6830390021689638E-3</v>
      </c>
      <c r="L409">
        <f t="shared" si="23"/>
        <v>9.4149824307821952E-3</v>
      </c>
      <c r="M409">
        <f t="shared" si="23"/>
        <v>-9.0819121871281369E-3</v>
      </c>
      <c r="N409">
        <f t="shared" si="23"/>
        <v>-5.8699676270414073E-5</v>
      </c>
      <c r="O409">
        <f t="shared" si="23"/>
        <v>-8.9729422566572192E-3</v>
      </c>
    </row>
    <row r="410" spans="1:15" x14ac:dyDescent="0.35">
      <c r="A410" s="2">
        <v>45527</v>
      </c>
      <c r="B410">
        <v>225.57049560546881</v>
      </c>
      <c r="C410">
        <v>873.48529052734375</v>
      </c>
      <c r="D410">
        <v>156.79731750488281</v>
      </c>
      <c r="E410">
        <v>211.52815246582031</v>
      </c>
      <c r="F410">
        <v>76.242225646972656</v>
      </c>
      <c r="G410">
        <v>163.85218811035159</v>
      </c>
      <c r="H410">
        <v>5634.60986328125</v>
      </c>
      <c r="I410">
        <f t="shared" si="24"/>
        <v>1.0235531731609031E-2</v>
      </c>
      <c r="J410">
        <f t="shared" si="24"/>
        <v>1.8784074028467337E-3</v>
      </c>
      <c r="K410">
        <f t="shared" si="24"/>
        <v>1.0904353802918E-2</v>
      </c>
      <c r="L410">
        <f t="shared" si="23"/>
        <v>7.7252284696830908E-3</v>
      </c>
      <c r="M410">
        <f t="shared" si="23"/>
        <v>9.3329138180550664E-3</v>
      </c>
      <c r="N410">
        <f t="shared" si="23"/>
        <v>-5.7763322176675068E-3</v>
      </c>
      <c r="O410">
        <f t="shared" si="23"/>
        <v>1.141793740166443E-2</v>
      </c>
    </row>
    <row r="411" spans="1:15" x14ac:dyDescent="0.35">
      <c r="A411" s="2">
        <v>45530</v>
      </c>
      <c r="B411">
        <v>225.9085998535156</v>
      </c>
      <c r="C411">
        <v>886.69879150390625</v>
      </c>
      <c r="D411">
        <v>157.255859375</v>
      </c>
      <c r="E411">
        <v>212.36143493652341</v>
      </c>
      <c r="F411">
        <v>77.180183410644531</v>
      </c>
      <c r="G411">
        <v>164.99510192871091</v>
      </c>
      <c r="H411">
        <v>5616.83984375</v>
      </c>
      <c r="I411">
        <f t="shared" si="24"/>
        <v>1.4977628627906117E-3</v>
      </c>
      <c r="J411">
        <f t="shared" si="24"/>
        <v>1.5014053732368323E-2</v>
      </c>
      <c r="K411">
        <f t="shared" si="24"/>
        <v>2.9201563920922195E-3</v>
      </c>
      <c r="L411">
        <f t="shared" si="23"/>
        <v>3.931606573227657E-3</v>
      </c>
      <c r="M411">
        <f t="shared" si="23"/>
        <v>1.2227280946698813E-2</v>
      </c>
      <c r="N411">
        <f t="shared" si="23"/>
        <v>6.9510587731337267E-3</v>
      </c>
      <c r="O411">
        <f t="shared" si="23"/>
        <v>-3.1587101696058145E-3</v>
      </c>
    </row>
    <row r="412" spans="1:15" x14ac:dyDescent="0.35">
      <c r="A412" s="2">
        <v>45531</v>
      </c>
      <c r="B412">
        <v>226.75384521484381</v>
      </c>
      <c r="C412">
        <v>902.9820556640625</v>
      </c>
      <c r="D412">
        <v>156.85157775878909</v>
      </c>
      <c r="E412">
        <v>213.3400573730469</v>
      </c>
      <c r="F412">
        <v>76.194374084472656</v>
      </c>
      <c r="G412">
        <v>163.92967224121091</v>
      </c>
      <c r="H412">
        <v>5625.7998046875</v>
      </c>
      <c r="I412">
        <f t="shared" si="24"/>
        <v>3.7345547567113691E-3</v>
      </c>
      <c r="J412">
        <f t="shared" si="24"/>
        <v>1.8197337837448445E-2</v>
      </c>
      <c r="K412">
        <f t="shared" si="24"/>
        <v>-2.5741627969165844E-3</v>
      </c>
      <c r="L412">
        <f t="shared" si="23"/>
        <v>4.5977013382165356E-3</v>
      </c>
      <c r="M412">
        <f t="shared" si="23"/>
        <v>-1.2855103453315718E-2</v>
      </c>
      <c r="N412">
        <f t="shared" si="23"/>
        <v>-6.4782801256545973E-3</v>
      </c>
      <c r="O412">
        <f t="shared" si="23"/>
        <v>1.5939251127232035E-3</v>
      </c>
    </row>
    <row r="413" spans="1:15" x14ac:dyDescent="0.35">
      <c r="A413" s="2">
        <v>45532</v>
      </c>
      <c r="B413">
        <v>225.22245788574219</v>
      </c>
      <c r="C413">
        <v>882.26776123046875</v>
      </c>
      <c r="D413">
        <v>157.7852783203125</v>
      </c>
      <c r="E413">
        <v>214.41558837890619</v>
      </c>
      <c r="F413">
        <v>76.002952575683594</v>
      </c>
      <c r="G413">
        <v>163.7456359863281</v>
      </c>
      <c r="H413">
        <v>5592.18017578125</v>
      </c>
      <c r="I413">
        <f t="shared" si="24"/>
        <v>-6.7764313248428231E-3</v>
      </c>
      <c r="J413">
        <f t="shared" si="24"/>
        <v>-2.3207087212225957E-2</v>
      </c>
      <c r="K413">
        <f t="shared" si="24"/>
        <v>5.9351171633570616E-3</v>
      </c>
      <c r="L413">
        <f t="shared" si="23"/>
        <v>5.0287274197346335E-3</v>
      </c>
      <c r="M413">
        <f t="shared" si="23"/>
        <v>-2.5154398427831449E-3</v>
      </c>
      <c r="N413">
        <f t="shared" si="23"/>
        <v>-1.1232843587099934E-3</v>
      </c>
      <c r="O413">
        <f t="shared" si="23"/>
        <v>-5.9939007947352116E-3</v>
      </c>
    </row>
    <row r="414" spans="1:15" x14ac:dyDescent="0.35">
      <c r="A414" s="2">
        <v>45533</v>
      </c>
      <c r="B414">
        <v>228.50398254394531</v>
      </c>
      <c r="C414">
        <v>880.8570556640625</v>
      </c>
      <c r="D414">
        <v>158.08369445800781</v>
      </c>
      <c r="E414">
        <v>215.3070068359375</v>
      </c>
      <c r="F414">
        <v>76.596336364746094</v>
      </c>
      <c r="G414">
        <v>164.68513488769531</v>
      </c>
      <c r="H414">
        <v>5591.9599609375</v>
      </c>
      <c r="I414">
        <f t="shared" si="24"/>
        <v>1.4465023783508509E-2</v>
      </c>
      <c r="J414">
        <f t="shared" si="24"/>
        <v>-1.6002336918260487E-3</v>
      </c>
      <c r="K414">
        <f t="shared" si="24"/>
        <v>1.8894937597316052E-3</v>
      </c>
      <c r="L414">
        <f t="shared" si="23"/>
        <v>4.1488148195968451E-3</v>
      </c>
      <c r="M414">
        <f t="shared" si="23"/>
        <v>7.7770582545208132E-3</v>
      </c>
      <c r="N414">
        <f t="shared" si="23"/>
        <v>5.7211537242635134E-3</v>
      </c>
      <c r="O414">
        <f t="shared" si="23"/>
        <v>-3.9379843436586222E-5</v>
      </c>
    </row>
    <row r="415" spans="1:15" x14ac:dyDescent="0.35">
      <c r="A415" s="2">
        <v>45534</v>
      </c>
      <c r="B415">
        <v>227.71842956542969</v>
      </c>
      <c r="C415">
        <v>886.569580078125</v>
      </c>
      <c r="D415">
        <v>159.65269470214841</v>
      </c>
      <c r="E415">
        <v>217.81654357910159</v>
      </c>
      <c r="F415">
        <v>77.554824829101563</v>
      </c>
      <c r="G415">
        <v>166.1476745605469</v>
      </c>
      <c r="H415">
        <v>5648.39990234375</v>
      </c>
      <c r="I415">
        <f t="shared" si="24"/>
        <v>-3.4437315397326256E-3</v>
      </c>
      <c r="J415">
        <f t="shared" si="24"/>
        <v>6.4642505558560629E-3</v>
      </c>
      <c r="K415">
        <f t="shared" si="24"/>
        <v>9.8761932904108049E-3</v>
      </c>
      <c r="L415">
        <f t="shared" si="23"/>
        <v>1.1588216913297146E-2</v>
      </c>
      <c r="M415">
        <f t="shared" si="23"/>
        <v>1.2435855941161063E-2</v>
      </c>
      <c r="N415">
        <f t="shared" si="23"/>
        <v>8.84162125894092E-3</v>
      </c>
      <c r="O415">
        <f t="shared" si="23"/>
        <v>1.0042457079144168E-2</v>
      </c>
    </row>
    <row r="416" spans="1:15" x14ac:dyDescent="0.35">
      <c r="A416" s="2">
        <v>45538</v>
      </c>
      <c r="B416">
        <v>221.5232849121094</v>
      </c>
      <c r="C416">
        <v>872.8494873046875</v>
      </c>
      <c r="D416">
        <v>160.9040222167969</v>
      </c>
      <c r="E416">
        <v>213.45634460449219</v>
      </c>
      <c r="F416">
        <v>76.996109008789063</v>
      </c>
      <c r="G416">
        <v>169.0340270996094</v>
      </c>
      <c r="H416">
        <v>5528.93017578125</v>
      </c>
      <c r="I416">
        <f t="shared" si="24"/>
        <v>-2.7582200002212256E-2</v>
      </c>
      <c r="J416">
        <f t="shared" si="24"/>
        <v>-1.5596478570165535E-2</v>
      </c>
      <c r="K416">
        <f t="shared" si="24"/>
        <v>7.8072540965963295E-3</v>
      </c>
      <c r="L416">
        <f t="shared" si="23"/>
        <v>-2.0220828437261557E-2</v>
      </c>
      <c r="M416">
        <f t="shared" si="23"/>
        <v>-7.2302151839382231E-3</v>
      </c>
      <c r="N416">
        <f t="shared" si="23"/>
        <v>1.7223039762541293E-2</v>
      </c>
      <c r="O416">
        <f t="shared" si="23"/>
        <v>-2.1377963372397696E-2</v>
      </c>
    </row>
    <row r="417" spans="1:15" x14ac:dyDescent="0.35">
      <c r="A417" s="2">
        <v>45539</v>
      </c>
      <c r="B417">
        <v>219.6140441894531</v>
      </c>
      <c r="C417">
        <v>884.2249755859375</v>
      </c>
      <c r="D417">
        <v>161.09654235839841</v>
      </c>
      <c r="E417">
        <v>212.5164794921875</v>
      </c>
      <c r="F417">
        <v>78.103912353515625</v>
      </c>
      <c r="G417">
        <v>170.3706359863281</v>
      </c>
      <c r="H417">
        <v>5520.06982421875</v>
      </c>
      <c r="I417">
        <f t="shared" si="24"/>
        <v>-8.6560466224547845E-3</v>
      </c>
      <c r="J417">
        <f t="shared" si="24"/>
        <v>1.2948395138029291E-2</v>
      </c>
      <c r="K417">
        <f t="shared" si="24"/>
        <v>1.1957753229129677E-3</v>
      </c>
      <c r="L417">
        <f t="shared" si="23"/>
        <v>-4.4128009313677205E-3</v>
      </c>
      <c r="M417">
        <f t="shared" si="23"/>
        <v>1.4285261522606981E-2</v>
      </c>
      <c r="N417">
        <f t="shared" si="23"/>
        <v>7.8762370810234721E-3</v>
      </c>
      <c r="O417">
        <f t="shared" si="23"/>
        <v>-1.6038290273809634E-3</v>
      </c>
    </row>
    <row r="418" spans="1:15" x14ac:dyDescent="0.35">
      <c r="A418" s="2">
        <v>45540</v>
      </c>
      <c r="B418">
        <v>221.13548278808591</v>
      </c>
      <c r="C418">
        <v>880.21124267578125</v>
      </c>
      <c r="D418">
        <v>158.81524658203119</v>
      </c>
      <c r="E418">
        <v>210.86930847167969</v>
      </c>
      <c r="F418">
        <v>77.381431579589844</v>
      </c>
      <c r="G418">
        <v>169.95414733886719</v>
      </c>
      <c r="H418">
        <v>5503.41015625</v>
      </c>
      <c r="I418">
        <f t="shared" si="24"/>
        <v>6.9038968785248723E-3</v>
      </c>
      <c r="J418">
        <f t="shared" si="24"/>
        <v>-4.5496003674388615E-3</v>
      </c>
      <c r="K418">
        <f t="shared" si="24"/>
        <v>-1.426227182256923E-2</v>
      </c>
      <c r="L418">
        <f t="shared" si="23"/>
        <v>-7.7809854643984952E-3</v>
      </c>
      <c r="M418">
        <f t="shared" si="23"/>
        <v>-9.2933000040062736E-3</v>
      </c>
      <c r="N418">
        <f t="shared" si="23"/>
        <v>-2.4475963890378343E-3</v>
      </c>
      <c r="O418">
        <f t="shared" si="23"/>
        <v>-3.0225810146741962E-3</v>
      </c>
    </row>
    <row r="419" spans="1:15" x14ac:dyDescent="0.35">
      <c r="A419" s="2">
        <v>45541</v>
      </c>
      <c r="B419">
        <v>219.58421325683591</v>
      </c>
      <c r="C419">
        <v>870.9718017578125</v>
      </c>
      <c r="D419">
        <v>158.22807312011719</v>
      </c>
      <c r="E419">
        <v>205.8598937988281</v>
      </c>
      <c r="F419">
        <v>77.044281005859375</v>
      </c>
      <c r="G419">
        <v>170.07037353515619</v>
      </c>
      <c r="H419">
        <v>5408.419921875</v>
      </c>
      <c r="I419">
        <f t="shared" si="24"/>
        <v>-7.0397395516561163E-3</v>
      </c>
      <c r="J419">
        <f t="shared" si="24"/>
        <v>-1.0552325392483491E-2</v>
      </c>
      <c r="K419">
        <f t="shared" si="24"/>
        <v>-3.704062484611467E-3</v>
      </c>
      <c r="L419">
        <f t="shared" si="23"/>
        <v>-2.4042740236649186E-2</v>
      </c>
      <c r="M419">
        <f t="shared" si="23"/>
        <v>-4.3665151842196114E-3</v>
      </c>
      <c r="N419">
        <f t="shared" si="23"/>
        <v>6.8363423035970139E-4</v>
      </c>
      <c r="O419">
        <f t="shared" si="23"/>
        <v>-1.7410944507424406E-2</v>
      </c>
    </row>
    <row r="420" spans="1:15" x14ac:dyDescent="0.35">
      <c r="A420" s="2">
        <v>45544</v>
      </c>
      <c r="B420">
        <v>219.6737060546875</v>
      </c>
      <c r="C420">
        <v>890.65283203125</v>
      </c>
      <c r="D420">
        <v>160.37461853027341</v>
      </c>
      <c r="E420">
        <v>210.0747375488281</v>
      </c>
      <c r="F420">
        <v>78.209869384765625</v>
      </c>
      <c r="G420">
        <v>170.52558898925781</v>
      </c>
      <c r="H420">
        <v>5471.0498046875</v>
      </c>
      <c r="I420">
        <f t="shared" si="24"/>
        <v>4.0747267222904763E-4</v>
      </c>
      <c r="J420">
        <f t="shared" si="24"/>
        <v>2.23451112007996E-2</v>
      </c>
      <c r="K420">
        <f t="shared" si="24"/>
        <v>1.3474951380549365E-2</v>
      </c>
      <c r="L420">
        <f t="shared" si="23"/>
        <v>2.0267550284196596E-2</v>
      </c>
      <c r="M420">
        <f t="shared" si="23"/>
        <v>1.5015511996274836E-2</v>
      </c>
      <c r="N420">
        <f t="shared" si="23"/>
        <v>2.6730541476698874E-3</v>
      </c>
      <c r="O420">
        <f t="shared" si="23"/>
        <v>1.1513534435818254E-2</v>
      </c>
    </row>
    <row r="421" spans="1:15" x14ac:dyDescent="0.35">
      <c r="A421" s="2">
        <v>45545</v>
      </c>
      <c r="B421">
        <v>218.878173828125</v>
      </c>
      <c r="C421">
        <v>888.46722412109375</v>
      </c>
      <c r="D421">
        <v>161.11579895019531</v>
      </c>
      <c r="E421">
        <v>199.1742248535156</v>
      </c>
      <c r="F421">
        <v>79.279129028320313</v>
      </c>
      <c r="G421">
        <v>172.2012023925781</v>
      </c>
      <c r="H421">
        <v>5495.52001953125</v>
      </c>
      <c r="I421">
        <f t="shared" si="24"/>
        <v>-3.6279999500473344E-3</v>
      </c>
      <c r="J421">
        <f t="shared" si="24"/>
        <v>-2.4569550571625089E-3</v>
      </c>
      <c r="K421">
        <f t="shared" si="24"/>
        <v>4.6109102652901902E-3</v>
      </c>
      <c r="L421">
        <f t="shared" si="23"/>
        <v>-5.3283417019385104E-2</v>
      </c>
      <c r="M421">
        <f t="shared" si="23"/>
        <v>1.3579057387059517E-2</v>
      </c>
      <c r="N421">
        <f t="shared" si="23"/>
        <v>9.7782069937288173E-3</v>
      </c>
      <c r="O421">
        <f t="shared" si="23"/>
        <v>4.4626999777935411E-3</v>
      </c>
    </row>
    <row r="422" spans="1:15" x14ac:dyDescent="0.35">
      <c r="A422" s="2">
        <v>45546</v>
      </c>
      <c r="B422">
        <v>221.4139099121094</v>
      </c>
      <c r="C422">
        <v>894.53741455078125</v>
      </c>
      <c r="D422">
        <v>158.651611328125</v>
      </c>
      <c r="E422">
        <v>200.79234313964841</v>
      </c>
      <c r="F422">
        <v>80.367645263671875</v>
      </c>
      <c r="G422">
        <v>168.45286560058591</v>
      </c>
      <c r="H422">
        <v>5554.1298828125</v>
      </c>
      <c r="I422">
        <f t="shared" si="24"/>
        <v>1.1518554222257876E-2</v>
      </c>
      <c r="J422">
        <f t="shared" si="24"/>
        <v>6.8089714970328208E-3</v>
      </c>
      <c r="K422">
        <f t="shared" si="24"/>
        <v>-1.5412680113494198E-2</v>
      </c>
      <c r="L422">
        <f t="shared" si="23"/>
        <v>8.0913118430628907E-3</v>
      </c>
      <c r="M422">
        <f t="shared" si="23"/>
        <v>1.3636769156578589E-2</v>
      </c>
      <c r="N422">
        <f t="shared" si="23"/>
        <v>-2.2007593217069233E-2</v>
      </c>
      <c r="O422">
        <f t="shared" si="23"/>
        <v>1.0608555649843339E-2</v>
      </c>
    </row>
    <row r="423" spans="1:15" x14ac:dyDescent="0.35">
      <c r="A423" s="2">
        <v>45547</v>
      </c>
      <c r="B423">
        <v>221.5232849121094</v>
      </c>
      <c r="C423">
        <v>909.0721435546875</v>
      </c>
      <c r="D423">
        <v>158.47833251953119</v>
      </c>
      <c r="E423">
        <v>200.18193054199219</v>
      </c>
      <c r="F423">
        <v>80.396537780761719</v>
      </c>
      <c r="G423">
        <v>168.01701354980469</v>
      </c>
      <c r="H423">
        <v>5595.759765625</v>
      </c>
      <c r="I423">
        <f t="shared" si="24"/>
        <v>4.9386235114633832E-4</v>
      </c>
      <c r="J423">
        <f t="shared" si="24"/>
        <v>1.6117727466302977E-2</v>
      </c>
      <c r="K423">
        <f t="shared" si="24"/>
        <v>-1.0927938480710614E-3</v>
      </c>
      <c r="L423">
        <f t="shared" si="23"/>
        <v>-3.0446495411771764E-3</v>
      </c>
      <c r="M423">
        <f t="shared" si="23"/>
        <v>3.5943973158409888E-4</v>
      </c>
      <c r="N423">
        <f t="shared" si="23"/>
        <v>-2.590735882006155E-3</v>
      </c>
      <c r="O423">
        <f t="shared" si="23"/>
        <v>7.4673521568026698E-3</v>
      </c>
    </row>
    <row r="424" spans="1:15" x14ac:dyDescent="0.35">
      <c r="A424" s="2">
        <v>45548</v>
      </c>
      <c r="B424">
        <v>221.25477600097659</v>
      </c>
      <c r="C424">
        <v>910.0357666015625</v>
      </c>
      <c r="D424">
        <v>159.3254089355469</v>
      </c>
      <c r="E424">
        <v>197.97276306152341</v>
      </c>
      <c r="F424">
        <v>81.542877197265625</v>
      </c>
      <c r="G424">
        <v>168.60784912109381</v>
      </c>
      <c r="H424">
        <v>5626.02001953125</v>
      </c>
      <c r="I424">
        <f t="shared" si="24"/>
        <v>-1.2128376166301506E-3</v>
      </c>
      <c r="J424">
        <f t="shared" si="24"/>
        <v>1.0594458213588269E-3</v>
      </c>
      <c r="K424">
        <f t="shared" si="24"/>
        <v>5.3308272466187183E-3</v>
      </c>
      <c r="L424">
        <f t="shared" si="23"/>
        <v>-1.1097144837789367E-2</v>
      </c>
      <c r="M424">
        <f t="shared" si="23"/>
        <v>1.415786965500153E-2</v>
      </c>
      <c r="N424">
        <f t="shared" si="23"/>
        <v>3.5103537707790824E-3</v>
      </c>
      <c r="O424">
        <f t="shared" si="23"/>
        <v>5.3931422343560355E-3</v>
      </c>
    </row>
    <row r="425" spans="1:15" x14ac:dyDescent="0.35">
      <c r="A425" s="2">
        <v>45551</v>
      </c>
      <c r="B425">
        <v>215.10939025878909</v>
      </c>
      <c r="C425">
        <v>901.958740234375</v>
      </c>
      <c r="D425">
        <v>160.74040222167969</v>
      </c>
      <c r="E425">
        <v>201.4028015136719</v>
      </c>
      <c r="F425">
        <v>81.533233642578125</v>
      </c>
      <c r="G425">
        <v>171.66850280761719</v>
      </c>
      <c r="H425">
        <v>5633.08984375</v>
      </c>
      <c r="I425">
        <f t="shared" si="24"/>
        <v>-2.816817946185219E-2</v>
      </c>
      <c r="J425">
        <f t="shared" si="24"/>
        <v>-8.9151262138267122E-3</v>
      </c>
      <c r="K425">
        <f t="shared" si="24"/>
        <v>8.8419472213515371E-3</v>
      </c>
      <c r="L425">
        <f t="shared" si="23"/>
        <v>1.7177429447782899E-2</v>
      </c>
      <c r="M425">
        <f t="shared" si="23"/>
        <v>-1.1827059952652702E-4</v>
      </c>
      <c r="N425">
        <f t="shared" si="23"/>
        <v>1.798970872887385E-2</v>
      </c>
      <c r="O425">
        <f t="shared" si="23"/>
        <v>1.2558408673102855E-3</v>
      </c>
    </row>
    <row r="426" spans="1:15" x14ac:dyDescent="0.35">
      <c r="A426" s="2">
        <v>45552</v>
      </c>
      <c r="B426">
        <v>215.57672119140619</v>
      </c>
      <c r="C426">
        <v>891.42779541015625</v>
      </c>
      <c r="D426">
        <v>160.8173828125</v>
      </c>
      <c r="E426">
        <v>202.7496032714844</v>
      </c>
      <c r="F426">
        <v>81.851119995117188</v>
      </c>
      <c r="G426">
        <v>170.35127258300781</v>
      </c>
      <c r="H426">
        <v>5634.580078125</v>
      </c>
      <c r="I426">
        <f t="shared" si="24"/>
        <v>2.1701703565820993E-3</v>
      </c>
      <c r="J426">
        <f t="shared" si="24"/>
        <v>-1.1744334708147159E-2</v>
      </c>
      <c r="K426">
        <f t="shared" si="24"/>
        <v>4.7879787629945345E-4</v>
      </c>
      <c r="L426">
        <f t="shared" si="23"/>
        <v>6.6648458714729788E-3</v>
      </c>
      <c r="M426">
        <f t="shared" si="23"/>
        <v>3.8912753465255045E-3</v>
      </c>
      <c r="N426">
        <f t="shared" si="23"/>
        <v>-7.7026934238957024E-3</v>
      </c>
      <c r="O426">
        <f t="shared" ref="O426:O489" si="25">LN(H426/H425)</f>
        <v>2.6451509389645083E-4</v>
      </c>
    </row>
    <row r="427" spans="1:15" x14ac:dyDescent="0.35">
      <c r="A427" s="2">
        <v>45553</v>
      </c>
      <c r="B427">
        <v>219.45491027832031</v>
      </c>
      <c r="C427">
        <v>886.70867919921875</v>
      </c>
      <c r="D427">
        <v>159.93182373046881</v>
      </c>
      <c r="E427">
        <v>201.0830383300781</v>
      </c>
      <c r="F427">
        <v>81.186447143554688</v>
      </c>
      <c r="G427">
        <v>168.45286560058591</v>
      </c>
      <c r="H427">
        <v>5618.259765625</v>
      </c>
      <c r="I427">
        <f t="shared" si="24"/>
        <v>1.7829930274414912E-2</v>
      </c>
      <c r="J427">
        <f t="shared" si="24"/>
        <v>-5.3079472336754439E-3</v>
      </c>
      <c r="K427">
        <f t="shared" si="24"/>
        <v>-5.52183022790675E-3</v>
      </c>
      <c r="L427">
        <f t="shared" si="24"/>
        <v>-8.2537874898633689E-3</v>
      </c>
      <c r="M427">
        <f t="shared" si="24"/>
        <v>-8.1536610933593597E-3</v>
      </c>
      <c r="N427">
        <f t="shared" si="24"/>
        <v>-1.1206633193751271E-2</v>
      </c>
      <c r="O427">
        <f t="shared" si="25"/>
        <v>-2.9006587083132912E-3</v>
      </c>
    </row>
    <row r="428" spans="1:15" x14ac:dyDescent="0.35">
      <c r="A428" s="2">
        <v>45554</v>
      </c>
      <c r="B428">
        <v>227.5891418457031</v>
      </c>
      <c r="C428">
        <v>894.8751220703125</v>
      </c>
      <c r="D428">
        <v>158.651611328125</v>
      </c>
      <c r="E428">
        <v>203.94139099121091</v>
      </c>
      <c r="F428">
        <v>79.269493103027344</v>
      </c>
      <c r="G428">
        <v>166.1476745605469</v>
      </c>
      <c r="H428">
        <v>5713.64013671875</v>
      </c>
      <c r="I428">
        <f t="shared" ref="I428:N470" si="26">LN(B428/B427)</f>
        <v>3.6395202664293913E-2</v>
      </c>
      <c r="J428">
        <f t="shared" si="26"/>
        <v>9.1676855861750062E-3</v>
      </c>
      <c r="K428">
        <f t="shared" si="26"/>
        <v>-8.0369482682921198E-3</v>
      </c>
      <c r="L428">
        <f t="shared" si="26"/>
        <v>1.4114704736936275E-2</v>
      </c>
      <c r="M428">
        <f t="shared" si="26"/>
        <v>-2.3894973871934313E-2</v>
      </c>
      <c r="N428">
        <f t="shared" si="26"/>
        <v>-1.3778982609216407E-2</v>
      </c>
      <c r="O428">
        <f t="shared" si="25"/>
        <v>1.6834356892725128E-2</v>
      </c>
    </row>
    <row r="429" spans="1:15" x14ac:dyDescent="0.35">
      <c r="A429" s="2">
        <v>45555</v>
      </c>
      <c r="B429">
        <v>226.9228820800781</v>
      </c>
      <c r="C429">
        <v>901.07452392578125</v>
      </c>
      <c r="D429">
        <v>158.01629638671881</v>
      </c>
      <c r="E429">
        <v>204.53245544433591</v>
      </c>
      <c r="F429">
        <v>79.722236633300781</v>
      </c>
      <c r="G429">
        <v>168.74345397949219</v>
      </c>
      <c r="H429">
        <v>5702.5498046875</v>
      </c>
      <c r="I429">
        <f t="shared" si="26"/>
        <v>-2.9317606917899411E-3</v>
      </c>
      <c r="J429">
        <f t="shared" si="26"/>
        <v>6.9037865202956905E-3</v>
      </c>
      <c r="K429">
        <f t="shared" si="26"/>
        <v>-4.012505077523488E-3</v>
      </c>
      <c r="L429">
        <f t="shared" si="26"/>
        <v>2.8940157163675293E-3</v>
      </c>
      <c r="M429">
        <f t="shared" si="26"/>
        <v>5.6951987976049407E-3</v>
      </c>
      <c r="N429">
        <f t="shared" si="26"/>
        <v>1.5502539089337086E-2</v>
      </c>
      <c r="O429">
        <f t="shared" si="25"/>
        <v>-1.9429136300157343E-3</v>
      </c>
    </row>
    <row r="430" spans="1:15" x14ac:dyDescent="0.35">
      <c r="A430" s="2">
        <v>45558</v>
      </c>
      <c r="B430">
        <v>225.20257568359381</v>
      </c>
      <c r="C430">
        <v>911.10870361328125</v>
      </c>
      <c r="D430">
        <v>157.11146545410159</v>
      </c>
      <c r="E430">
        <v>204.8715515136719</v>
      </c>
      <c r="F430">
        <v>81.706634521484375</v>
      </c>
      <c r="G430">
        <v>168.3075866699219</v>
      </c>
      <c r="H430">
        <v>5718.56982421875</v>
      </c>
      <c r="I430">
        <f t="shared" si="26"/>
        <v>-7.6098997255302425E-3</v>
      </c>
      <c r="J430">
        <f t="shared" si="26"/>
        <v>1.1074246889869395E-2</v>
      </c>
      <c r="K430">
        <f t="shared" si="26"/>
        <v>-5.7426449129981318E-3</v>
      </c>
      <c r="L430">
        <f t="shared" si="26"/>
        <v>1.6565355546890909E-3</v>
      </c>
      <c r="M430">
        <f t="shared" si="26"/>
        <v>2.4586653398576151E-2</v>
      </c>
      <c r="N430">
        <f t="shared" si="26"/>
        <v>-2.5863593341791972E-3</v>
      </c>
      <c r="O430">
        <f t="shared" si="25"/>
        <v>2.8053344257131223E-3</v>
      </c>
    </row>
    <row r="431" spans="1:15" x14ac:dyDescent="0.35">
      <c r="A431" s="2">
        <v>45559</v>
      </c>
      <c r="B431">
        <v>226.09751892089841</v>
      </c>
      <c r="C431">
        <v>895.66986083984375</v>
      </c>
      <c r="D431">
        <v>156.68792724609381</v>
      </c>
      <c r="E431">
        <v>205.01690673828119</v>
      </c>
      <c r="F431">
        <v>81.196075439453125</v>
      </c>
      <c r="G431">
        <v>167.79426574707031</v>
      </c>
      <c r="H431">
        <v>5732.93017578125</v>
      </c>
      <c r="I431">
        <f t="shared" si="26"/>
        <v>3.9660723368111902E-3</v>
      </c>
      <c r="J431">
        <f t="shared" si="26"/>
        <v>-1.7090327343793055E-2</v>
      </c>
      <c r="K431">
        <f t="shared" si="26"/>
        <v>-2.6994218284015145E-3</v>
      </c>
      <c r="L431">
        <f t="shared" si="26"/>
        <v>7.0924285754377374E-4</v>
      </c>
      <c r="M431">
        <f t="shared" si="26"/>
        <v>-6.2682904890958317E-3</v>
      </c>
      <c r="N431">
        <f t="shared" si="26"/>
        <v>-3.0545581244557324E-3</v>
      </c>
      <c r="O431">
        <f t="shared" si="25"/>
        <v>2.5080311033453448E-3</v>
      </c>
    </row>
    <row r="432" spans="1:15" x14ac:dyDescent="0.35">
      <c r="A432" s="2">
        <v>45560</v>
      </c>
      <c r="B432">
        <v>225.10313415527341</v>
      </c>
      <c r="C432">
        <v>902.505126953125</v>
      </c>
      <c r="D432">
        <v>154.58952331542969</v>
      </c>
      <c r="E432">
        <v>203.6604309082031</v>
      </c>
      <c r="F432">
        <v>81.513969421386719</v>
      </c>
      <c r="G432">
        <v>166.84504699707031</v>
      </c>
      <c r="H432">
        <v>5722.259765625</v>
      </c>
      <c r="I432">
        <f t="shared" si="26"/>
        <v>-4.4077346465005093E-3</v>
      </c>
      <c r="J432">
        <f t="shared" si="26"/>
        <v>7.6024848322135017E-3</v>
      </c>
      <c r="K432">
        <f t="shared" si="26"/>
        <v>-1.3482735192221443E-2</v>
      </c>
      <c r="L432">
        <f t="shared" si="26"/>
        <v>-6.6383950690796717E-3</v>
      </c>
      <c r="M432">
        <f t="shared" si="26"/>
        <v>3.9074955290719993E-3</v>
      </c>
      <c r="N432">
        <f t="shared" si="26"/>
        <v>-5.6731009158803667E-3</v>
      </c>
      <c r="O432">
        <f t="shared" si="25"/>
        <v>-1.862983206212128E-3</v>
      </c>
    </row>
    <row r="433" spans="1:15" x14ac:dyDescent="0.35">
      <c r="A433" s="2">
        <v>45561</v>
      </c>
      <c r="B433">
        <v>226.2467041015625</v>
      </c>
      <c r="C433">
        <v>895.57061767578125</v>
      </c>
      <c r="D433">
        <v>155.34996032714841</v>
      </c>
      <c r="E433">
        <v>203.26313781738281</v>
      </c>
      <c r="F433">
        <v>80.396537780761719</v>
      </c>
      <c r="G433">
        <v>167.76518249511719</v>
      </c>
      <c r="H433">
        <v>5745.3701171875</v>
      </c>
      <c r="I433">
        <f t="shared" si="26"/>
        <v>5.067343760445959E-3</v>
      </c>
      <c r="J433">
        <f t="shared" si="26"/>
        <v>-7.7132942576976504E-3</v>
      </c>
      <c r="K433">
        <f t="shared" si="26"/>
        <v>4.9070129990997037E-3</v>
      </c>
      <c r="L433">
        <f t="shared" si="26"/>
        <v>-1.9526675159241211E-3</v>
      </c>
      <c r="M433">
        <f t="shared" si="26"/>
        <v>-1.3803296672863972E-2</v>
      </c>
      <c r="N433">
        <f t="shared" si="26"/>
        <v>5.4997590405237917E-3</v>
      </c>
      <c r="O433">
        <f t="shared" si="25"/>
        <v>4.0305421581992218E-3</v>
      </c>
    </row>
    <row r="434" spans="1:15" x14ac:dyDescent="0.35">
      <c r="A434" s="2">
        <v>45562</v>
      </c>
      <c r="B434">
        <v>226.51518249511719</v>
      </c>
      <c r="C434">
        <v>879.85357666015625</v>
      </c>
      <c r="D434">
        <v>155.35960388183591</v>
      </c>
      <c r="E434">
        <v>203.9607849121094</v>
      </c>
      <c r="F434">
        <v>81.436904907226563</v>
      </c>
      <c r="G434">
        <v>168.09449768066409</v>
      </c>
      <c r="H434">
        <v>5738.169921875</v>
      </c>
      <c r="I434">
        <f t="shared" si="26"/>
        <v>1.1859585931167842E-3</v>
      </c>
      <c r="J434">
        <f t="shared" si="26"/>
        <v>-1.7705573298729415E-2</v>
      </c>
      <c r="K434">
        <f t="shared" si="26"/>
        <v>6.2074398740433279E-5</v>
      </c>
      <c r="L434">
        <f t="shared" si="26"/>
        <v>3.4263594956713351E-3</v>
      </c>
      <c r="M434">
        <f t="shared" si="26"/>
        <v>1.2857434673372432E-2</v>
      </c>
      <c r="N434">
        <f t="shared" si="26"/>
        <v>1.9610290280157312E-3</v>
      </c>
      <c r="O434">
        <f t="shared" si="25"/>
        <v>-1.2540029000721238E-3</v>
      </c>
    </row>
    <row r="435" spans="1:15" x14ac:dyDescent="0.35">
      <c r="A435" s="2">
        <v>45565</v>
      </c>
      <c r="B435">
        <v>231.696044921875</v>
      </c>
      <c r="C435">
        <v>880.74774169921875</v>
      </c>
      <c r="D435">
        <v>155.9949035644531</v>
      </c>
      <c r="E435">
        <v>204.3096008300781</v>
      </c>
      <c r="F435">
        <v>81.427276611328125</v>
      </c>
      <c r="G435">
        <v>167.7554931640625</v>
      </c>
      <c r="H435">
        <v>5762.47998046875</v>
      </c>
      <c r="I435">
        <f t="shared" si="26"/>
        <v>2.2614387908913857E-2</v>
      </c>
      <c r="J435">
        <f t="shared" si="26"/>
        <v>1.0157496834945141E-3</v>
      </c>
      <c r="K435">
        <f t="shared" si="26"/>
        <v>4.0808823967033855E-3</v>
      </c>
      <c r="L435">
        <f t="shared" si="26"/>
        <v>1.7087499609264502E-3</v>
      </c>
      <c r="M435">
        <f t="shared" si="26"/>
        <v>-1.1823712027872559E-4</v>
      </c>
      <c r="N435">
        <f t="shared" si="26"/>
        <v>-2.0187860114763891E-3</v>
      </c>
      <c r="O435">
        <f t="shared" si="25"/>
        <v>4.2276036584415087E-3</v>
      </c>
    </row>
    <row r="436" spans="1:15" x14ac:dyDescent="0.35">
      <c r="A436" s="2">
        <v>45566</v>
      </c>
      <c r="B436">
        <v>224.94403076171881</v>
      </c>
      <c r="C436">
        <v>871.667236328125</v>
      </c>
      <c r="D436">
        <v>155.9275207519531</v>
      </c>
      <c r="E436">
        <v>200.6082458496094</v>
      </c>
      <c r="F436">
        <v>82.140113830566406</v>
      </c>
      <c r="G436">
        <v>167.60054016113281</v>
      </c>
      <c r="H436">
        <v>5708.75</v>
      </c>
      <c r="I436">
        <f t="shared" si="26"/>
        <v>-2.9574742378724136E-2</v>
      </c>
      <c r="J436">
        <f t="shared" si="26"/>
        <v>-1.0363511790445395E-2</v>
      </c>
      <c r="K436">
        <f t="shared" si="26"/>
        <v>-4.3204853704155487E-4</v>
      </c>
      <c r="L436">
        <f t="shared" si="26"/>
        <v>-1.8282513890171024E-2</v>
      </c>
      <c r="M436">
        <f t="shared" si="26"/>
        <v>8.7161839566069106E-3</v>
      </c>
      <c r="N436">
        <f t="shared" si="26"/>
        <v>-9.2411048890637373E-4</v>
      </c>
      <c r="O436">
        <f t="shared" si="25"/>
        <v>-9.3678486944544469E-3</v>
      </c>
    </row>
    <row r="437" spans="1:15" x14ac:dyDescent="0.35">
      <c r="A437" s="2">
        <v>45567</v>
      </c>
      <c r="B437">
        <v>225.51084899902341</v>
      </c>
      <c r="C437">
        <v>872.809814453125</v>
      </c>
      <c r="D437">
        <v>155.13819885253909</v>
      </c>
      <c r="E437">
        <v>200.8504943847656</v>
      </c>
      <c r="F437">
        <v>82.294235229492188</v>
      </c>
      <c r="G437">
        <v>166.51573181152341</v>
      </c>
      <c r="H437">
        <v>5709.5400390625</v>
      </c>
      <c r="I437">
        <f t="shared" si="26"/>
        <v>2.5166495555282711E-3</v>
      </c>
      <c r="J437">
        <f t="shared" si="26"/>
        <v>1.3099378841022883E-3</v>
      </c>
      <c r="K437">
        <f t="shared" si="26"/>
        <v>-5.0749635447825204E-3</v>
      </c>
      <c r="L437">
        <f t="shared" si="26"/>
        <v>1.2068416516079572E-3</v>
      </c>
      <c r="M437">
        <f t="shared" si="26"/>
        <v>1.8745650764402317E-3</v>
      </c>
      <c r="N437">
        <f t="shared" si="26"/>
        <v>-6.4936206497090533E-3</v>
      </c>
      <c r="O437">
        <f t="shared" si="25"/>
        <v>1.3838132698647728E-4</v>
      </c>
    </row>
    <row r="438" spans="1:15" x14ac:dyDescent="0.35">
      <c r="A438" s="2">
        <v>45568</v>
      </c>
      <c r="B438">
        <v>224.40704345703119</v>
      </c>
      <c r="C438">
        <v>869.9683837890625</v>
      </c>
      <c r="D438">
        <v>154.4932556152344</v>
      </c>
      <c r="E438">
        <v>198.8544921875</v>
      </c>
      <c r="F438">
        <v>81.928184509277344</v>
      </c>
      <c r="G438">
        <v>164.77232360839841</v>
      </c>
      <c r="H438">
        <v>5699.93994140625</v>
      </c>
      <c r="I438">
        <f t="shared" si="26"/>
        <v>-4.9067075352227452E-3</v>
      </c>
      <c r="J438">
        <f t="shared" si="26"/>
        <v>-3.2608087301555996E-3</v>
      </c>
      <c r="K438">
        <f t="shared" si="26"/>
        <v>-4.1658827662684602E-3</v>
      </c>
      <c r="L438">
        <f t="shared" si="26"/>
        <v>-9.9874600315430166E-3</v>
      </c>
      <c r="M438">
        <f t="shared" si="26"/>
        <v>-4.4579945543275958E-3</v>
      </c>
      <c r="N438">
        <f t="shared" si="26"/>
        <v>-1.0525126208967461E-2</v>
      </c>
      <c r="O438">
        <f t="shared" si="25"/>
        <v>-1.6828286544586894E-3</v>
      </c>
    </row>
    <row r="439" spans="1:15" x14ac:dyDescent="0.35">
      <c r="A439" s="2">
        <v>45569</v>
      </c>
      <c r="B439">
        <v>225.5307312011719</v>
      </c>
      <c r="C439">
        <v>877.35992431640625</v>
      </c>
      <c r="D439">
        <v>154.29112243652341</v>
      </c>
      <c r="E439">
        <v>205.91258239746091</v>
      </c>
      <c r="F439">
        <v>80.772239685058594</v>
      </c>
      <c r="G439">
        <v>163.57130432128909</v>
      </c>
      <c r="H439">
        <v>5751.06982421875</v>
      </c>
      <c r="I439">
        <f t="shared" si="26"/>
        <v>4.9948688180586681E-3</v>
      </c>
      <c r="J439">
        <f t="shared" si="26"/>
        <v>8.4604416731209001E-3</v>
      </c>
      <c r="K439">
        <f t="shared" si="26"/>
        <v>-1.3092191312177477E-3</v>
      </c>
      <c r="L439">
        <f t="shared" si="26"/>
        <v>3.4878359197334244E-2</v>
      </c>
      <c r="M439">
        <f t="shared" si="26"/>
        <v>-1.4209726621454232E-2</v>
      </c>
      <c r="N439">
        <f t="shared" si="26"/>
        <v>-7.315656777667422E-3</v>
      </c>
      <c r="O439">
        <f t="shared" si="25"/>
        <v>8.9302556991863822E-3</v>
      </c>
    </row>
    <row r="440" spans="1:15" x14ac:dyDescent="0.35">
      <c r="A440" s="2">
        <v>45572</v>
      </c>
      <c r="B440">
        <v>220.4493408203125</v>
      </c>
      <c r="C440">
        <v>867.9019775390625</v>
      </c>
      <c r="D440">
        <v>153.5595703125</v>
      </c>
      <c r="E440">
        <v>205.6298522949219</v>
      </c>
      <c r="F440">
        <v>77.342903137207031</v>
      </c>
      <c r="G440">
        <v>161.8666076660156</v>
      </c>
      <c r="H440">
        <v>5695.93994140625</v>
      </c>
      <c r="I440">
        <f t="shared" si="26"/>
        <v>-2.278850828429712E-2</v>
      </c>
      <c r="J440">
        <f t="shared" si="26"/>
        <v>-1.0838533008160822E-2</v>
      </c>
      <c r="K440">
        <f t="shared" si="26"/>
        <v>-4.7526513226047442E-3</v>
      </c>
      <c r="L440">
        <f t="shared" si="26"/>
        <v>-1.3740024025975966E-3</v>
      </c>
      <c r="M440">
        <f t="shared" si="26"/>
        <v>-4.3384515433731598E-2</v>
      </c>
      <c r="N440">
        <f t="shared" si="26"/>
        <v>-1.0476420749337249E-2</v>
      </c>
      <c r="O440">
        <f t="shared" si="25"/>
        <v>-9.6322638293887732E-3</v>
      </c>
    </row>
    <row r="441" spans="1:15" x14ac:dyDescent="0.35">
      <c r="A441" s="2">
        <v>45573</v>
      </c>
      <c r="B441">
        <v>224.5065002441406</v>
      </c>
      <c r="C441">
        <v>884.62237548828125</v>
      </c>
      <c r="D441">
        <v>153.7135925292969</v>
      </c>
      <c r="E441">
        <v>205.45436096191409</v>
      </c>
      <c r="F441">
        <v>77.545204162597656</v>
      </c>
      <c r="G441">
        <v>162.87394714355469</v>
      </c>
      <c r="H441">
        <v>5751.1298828125</v>
      </c>
      <c r="I441">
        <f t="shared" si="26"/>
        <v>1.8236739435629836E-2</v>
      </c>
      <c r="J441">
        <f t="shared" si="26"/>
        <v>1.9082080403545008E-2</v>
      </c>
      <c r="K441">
        <f t="shared" si="26"/>
        <v>1.0025101331475612E-3</v>
      </c>
      <c r="L441">
        <f t="shared" si="26"/>
        <v>-8.5379753349381824E-4</v>
      </c>
      <c r="M441">
        <f t="shared" si="26"/>
        <v>2.6122230293121299E-3</v>
      </c>
      <c r="N441">
        <f t="shared" si="26"/>
        <v>6.2039846493510487E-3</v>
      </c>
      <c r="O441">
        <f t="shared" si="25"/>
        <v>9.6427068046943849E-3</v>
      </c>
    </row>
    <row r="442" spans="1:15" x14ac:dyDescent="0.35">
      <c r="A442" s="2">
        <v>45574</v>
      </c>
      <c r="B442">
        <v>228.25538635253909</v>
      </c>
      <c r="C442">
        <v>903.18072509765625</v>
      </c>
      <c r="D442">
        <v>154.63764953613281</v>
      </c>
      <c r="E442">
        <v>208.05726623535159</v>
      </c>
      <c r="F442">
        <v>77.622261047363281</v>
      </c>
      <c r="G442">
        <v>163.94903564453119</v>
      </c>
      <c r="H442">
        <v>5792.0400390625</v>
      </c>
      <c r="I442">
        <f t="shared" si="26"/>
        <v>1.6560456594330555E-2</v>
      </c>
      <c r="J442">
        <f t="shared" si="26"/>
        <v>2.0761812343089495E-2</v>
      </c>
      <c r="K442">
        <f t="shared" si="26"/>
        <v>5.9935531108066724E-3</v>
      </c>
      <c r="L442">
        <f t="shared" si="26"/>
        <v>1.2589438752768557E-2</v>
      </c>
      <c r="M442">
        <f t="shared" si="26"/>
        <v>9.9320938182315241E-4</v>
      </c>
      <c r="N442">
        <f t="shared" si="26"/>
        <v>6.5790500388768726E-3</v>
      </c>
      <c r="O442">
        <f t="shared" si="25"/>
        <v>7.088231016994585E-3</v>
      </c>
    </row>
    <row r="443" spans="1:15" x14ac:dyDescent="0.35">
      <c r="A443" s="2">
        <v>45575</v>
      </c>
      <c r="B443">
        <v>227.75819396972659</v>
      </c>
      <c r="C443">
        <v>887.8114013671875</v>
      </c>
      <c r="D443">
        <v>154.5028991699219</v>
      </c>
      <c r="E443">
        <v>207.49186706542969</v>
      </c>
      <c r="F443">
        <v>77.969039916992188</v>
      </c>
      <c r="G443">
        <v>163.63909912109381</v>
      </c>
      <c r="H443">
        <v>5780.0498046875</v>
      </c>
      <c r="I443">
        <f t="shared" si="26"/>
        <v>-2.1806042682985232E-3</v>
      </c>
      <c r="J443">
        <f t="shared" si="26"/>
        <v>-1.7163337340210853E-2</v>
      </c>
      <c r="K443">
        <f t="shared" si="26"/>
        <v>-8.7177418367796148E-4</v>
      </c>
      <c r="L443">
        <f t="shared" si="26"/>
        <v>-2.7212162101266746E-3</v>
      </c>
      <c r="M443">
        <f t="shared" si="26"/>
        <v>4.457568536094093E-3</v>
      </c>
      <c r="N443">
        <f t="shared" si="26"/>
        <v>-1.892233466500039E-3</v>
      </c>
      <c r="O443">
        <f t="shared" si="25"/>
        <v>-2.0722685059824846E-3</v>
      </c>
    </row>
    <row r="444" spans="1:15" x14ac:dyDescent="0.35">
      <c r="A444" s="2">
        <v>45576</v>
      </c>
      <c r="B444">
        <v>226.27653503417969</v>
      </c>
      <c r="C444">
        <v>883.24151611328125</v>
      </c>
      <c r="D444">
        <v>155.41734313964841</v>
      </c>
      <c r="E444">
        <v>216.7043762207031</v>
      </c>
      <c r="F444">
        <v>78.855270385742188</v>
      </c>
      <c r="G444">
        <v>165.71180725097659</v>
      </c>
      <c r="H444">
        <v>5815.02978515625</v>
      </c>
      <c r="I444">
        <f t="shared" si="26"/>
        <v>-6.5266557839823132E-3</v>
      </c>
      <c r="J444">
        <f t="shared" si="26"/>
        <v>-5.1606537004366716E-3</v>
      </c>
      <c r="K444">
        <f t="shared" si="26"/>
        <v>5.901173906006414E-3</v>
      </c>
      <c r="L444">
        <f t="shared" si="26"/>
        <v>4.3441959135994294E-2</v>
      </c>
      <c r="M444">
        <f t="shared" si="26"/>
        <v>1.1302328078292794E-2</v>
      </c>
      <c r="N444">
        <f t="shared" si="26"/>
        <v>1.2586790891855082E-2</v>
      </c>
      <c r="O444">
        <f t="shared" si="25"/>
        <v>6.0336087072987198E-3</v>
      </c>
    </row>
    <row r="445" spans="1:15" x14ac:dyDescent="0.35">
      <c r="A445" s="2">
        <v>45579</v>
      </c>
      <c r="B445">
        <v>230.00555419921881</v>
      </c>
      <c r="C445">
        <v>883.96661376953125</v>
      </c>
      <c r="D445">
        <v>155.5521240234375</v>
      </c>
      <c r="E445">
        <v>215.91474914550781</v>
      </c>
      <c r="F445">
        <v>79.866737365722656</v>
      </c>
      <c r="G445">
        <v>167.0871887207031</v>
      </c>
      <c r="H445">
        <v>5859.85009765625</v>
      </c>
      <c r="I445">
        <f t="shared" si="26"/>
        <v>1.6345599701801005E-2</v>
      </c>
      <c r="J445">
        <f t="shared" si="26"/>
        <v>8.2061380850312804E-4</v>
      </c>
      <c r="K445">
        <f t="shared" si="26"/>
        <v>8.6684325286583359E-4</v>
      </c>
      <c r="L445">
        <f t="shared" si="26"/>
        <v>-3.6504532775566419E-3</v>
      </c>
      <c r="M445">
        <f t="shared" si="26"/>
        <v>1.2745310954828037E-2</v>
      </c>
      <c r="N445">
        <f t="shared" si="26"/>
        <v>8.2655856349338041E-3</v>
      </c>
      <c r="O445">
        <f t="shared" si="25"/>
        <v>7.6781145745943233E-3</v>
      </c>
    </row>
    <row r="446" spans="1:15" x14ac:dyDescent="0.35">
      <c r="A446" s="2">
        <v>45580</v>
      </c>
      <c r="B446">
        <v>232.5412902832031</v>
      </c>
      <c r="C446">
        <v>888.7850341796875</v>
      </c>
      <c r="D446">
        <v>157.95854187011719</v>
      </c>
      <c r="E446">
        <v>216.8018798828125</v>
      </c>
      <c r="F446">
        <v>79.751144409179688</v>
      </c>
      <c r="G446">
        <v>168.1138610839844</v>
      </c>
      <c r="H446">
        <v>5815.259765625</v>
      </c>
      <c r="I446">
        <f t="shared" si="26"/>
        <v>1.0964344551760315E-2</v>
      </c>
      <c r="J446">
        <f t="shared" si="26"/>
        <v>5.4361052565742108E-3</v>
      </c>
      <c r="K446">
        <f t="shared" si="26"/>
        <v>1.5351727194256265E-2</v>
      </c>
      <c r="L446">
        <f t="shared" si="26"/>
        <v>4.1002906784283581E-3</v>
      </c>
      <c r="M446">
        <f t="shared" si="26"/>
        <v>-1.4483712659882908E-3</v>
      </c>
      <c r="N446">
        <f t="shared" si="26"/>
        <v>6.1257300615892955E-3</v>
      </c>
      <c r="O446">
        <f t="shared" si="25"/>
        <v>-7.6385660375134215E-3</v>
      </c>
    </row>
    <row r="447" spans="1:15" x14ac:dyDescent="0.35">
      <c r="A447" s="2">
        <v>45581</v>
      </c>
      <c r="B447">
        <v>230.48284912109381</v>
      </c>
      <c r="C447">
        <v>881.6021728515625</v>
      </c>
      <c r="D447">
        <v>158.1318054199219</v>
      </c>
      <c r="E447">
        <v>218.02049255371091</v>
      </c>
      <c r="F447">
        <v>81.292404174804688</v>
      </c>
      <c r="G447">
        <v>166.96128845214841</v>
      </c>
      <c r="H447">
        <v>5842.47021484375</v>
      </c>
      <c r="I447">
        <f t="shared" si="26"/>
        <v>-8.8913494910504588E-3</v>
      </c>
      <c r="J447">
        <f t="shared" si="26"/>
        <v>-8.1144968880803546E-3</v>
      </c>
      <c r="K447">
        <f t="shared" si="26"/>
        <v>1.0962914156873345E-3</v>
      </c>
      <c r="L447">
        <f t="shared" si="26"/>
        <v>5.6051203370045015E-3</v>
      </c>
      <c r="M447">
        <f t="shared" si="26"/>
        <v>1.9141491084391032E-2</v>
      </c>
      <c r="N447">
        <f t="shared" si="26"/>
        <v>-6.879514515758983E-3</v>
      </c>
      <c r="O447">
        <f t="shared" si="25"/>
        <v>4.6682327827797659E-3</v>
      </c>
    </row>
    <row r="448" spans="1:15" x14ac:dyDescent="0.35">
      <c r="A448" s="2">
        <v>45582</v>
      </c>
      <c r="B448">
        <v>230.85078430175781</v>
      </c>
      <c r="C448">
        <v>879.52569580078125</v>
      </c>
      <c r="D448">
        <v>158.314697265625</v>
      </c>
      <c r="E448">
        <v>218.7808837890625</v>
      </c>
      <c r="F448">
        <v>80.704795837402344</v>
      </c>
      <c r="G448">
        <v>166.86442565917969</v>
      </c>
      <c r="H448">
        <v>5841.47021484375</v>
      </c>
      <c r="I448">
        <f t="shared" si="26"/>
        <v>1.5950940144829474E-3</v>
      </c>
      <c r="J448">
        <f t="shared" si="26"/>
        <v>-2.3581229392501653E-3</v>
      </c>
      <c r="K448">
        <f t="shared" si="26"/>
        <v>1.1559101744838488E-3</v>
      </c>
      <c r="L448">
        <f t="shared" si="26"/>
        <v>3.4816373969657802E-3</v>
      </c>
      <c r="M448">
        <f t="shared" si="26"/>
        <v>-7.2545811218525224E-3</v>
      </c>
      <c r="N448">
        <f t="shared" si="26"/>
        <v>-5.8031955953393756E-4</v>
      </c>
      <c r="O448">
        <f t="shared" si="25"/>
        <v>-1.7117512853816633E-4</v>
      </c>
    </row>
    <row r="449" spans="1:15" x14ac:dyDescent="0.35">
      <c r="A449" s="2">
        <v>45583</v>
      </c>
      <c r="B449">
        <v>233.6848449707031</v>
      </c>
      <c r="C449">
        <v>883.7679443359375</v>
      </c>
      <c r="D449">
        <v>158.94036865234381</v>
      </c>
      <c r="E449">
        <v>219.7070007324219</v>
      </c>
      <c r="F449">
        <v>81.28277587890625</v>
      </c>
      <c r="G449">
        <v>166.8712463378906</v>
      </c>
      <c r="H449">
        <v>5864.669921875</v>
      </c>
      <c r="I449">
        <f t="shared" si="26"/>
        <v>1.2201844821795963E-2</v>
      </c>
      <c r="J449">
        <f t="shared" si="26"/>
        <v>4.811741644844607E-3</v>
      </c>
      <c r="K449">
        <f t="shared" si="26"/>
        <v>3.944284993899567E-3</v>
      </c>
      <c r="L449">
        <f t="shared" si="26"/>
        <v>4.2241455380673514E-3</v>
      </c>
      <c r="M449">
        <f t="shared" si="26"/>
        <v>7.1361338175775745E-3</v>
      </c>
      <c r="N449">
        <f t="shared" si="26"/>
        <v>4.0874735811302617E-5</v>
      </c>
      <c r="O449">
        <f t="shared" si="25"/>
        <v>3.9636869427743873E-3</v>
      </c>
    </row>
    <row r="450" spans="1:15" x14ac:dyDescent="0.35">
      <c r="A450" s="2">
        <v>45586</v>
      </c>
      <c r="B450">
        <v>235.15655517578119</v>
      </c>
      <c r="C450">
        <v>880.9962158203125</v>
      </c>
      <c r="D450">
        <v>156.736083984375</v>
      </c>
      <c r="E450">
        <v>217.39656066894531</v>
      </c>
      <c r="F450">
        <v>80.945625305175781</v>
      </c>
      <c r="G450">
        <v>165.17604064941409</v>
      </c>
      <c r="H450">
        <v>5853.97998046875</v>
      </c>
      <c r="I450">
        <f t="shared" si="26"/>
        <v>6.278093353117852E-3</v>
      </c>
      <c r="J450">
        <f t="shared" si="26"/>
        <v>-3.1411911656817866E-3</v>
      </c>
      <c r="K450">
        <f t="shared" si="26"/>
        <v>-1.3965694789902257E-2</v>
      </c>
      <c r="L450">
        <f t="shared" si="26"/>
        <v>-1.0571689574191636E-2</v>
      </c>
      <c r="M450">
        <f t="shared" si="26"/>
        <v>-4.1564985744474755E-3</v>
      </c>
      <c r="N450">
        <f t="shared" si="26"/>
        <v>-1.0210716866056901E-2</v>
      </c>
      <c r="O450">
        <f t="shared" si="25"/>
        <v>-1.8244327564190331E-3</v>
      </c>
    </row>
    <row r="451" spans="1:15" x14ac:dyDescent="0.35">
      <c r="A451" s="2">
        <v>45587</v>
      </c>
      <c r="B451">
        <v>234.5400085449219</v>
      </c>
      <c r="C451">
        <v>887.67236328125</v>
      </c>
      <c r="D451">
        <v>157.33287048339841</v>
      </c>
      <c r="E451">
        <v>218.48841857910159</v>
      </c>
      <c r="F451">
        <v>80.627738952636719</v>
      </c>
      <c r="G451">
        <v>165.33189392089841</v>
      </c>
      <c r="H451">
        <v>5851.2001953125</v>
      </c>
      <c r="I451">
        <f t="shared" si="26"/>
        <v>-2.6252991083800807E-3</v>
      </c>
      <c r="J451">
        <f t="shared" si="26"/>
        <v>7.5493840369072135E-3</v>
      </c>
      <c r="K451">
        <f t="shared" si="26"/>
        <v>3.800357907408822E-3</v>
      </c>
      <c r="L451">
        <f t="shared" si="26"/>
        <v>5.0098546443068685E-3</v>
      </c>
      <c r="M451">
        <f t="shared" si="26"/>
        <v>-3.9348906815390109E-3</v>
      </c>
      <c r="N451">
        <f t="shared" si="26"/>
        <v>9.4311371519168732E-4</v>
      </c>
      <c r="O451">
        <f t="shared" si="25"/>
        <v>-4.7496666719579368E-4</v>
      </c>
    </row>
    <row r="452" spans="1:15" x14ac:dyDescent="0.35">
      <c r="A452" s="2">
        <v>45588</v>
      </c>
      <c r="B452">
        <v>229.46856689453119</v>
      </c>
      <c r="C452">
        <v>893.3153076171875</v>
      </c>
      <c r="D452">
        <v>159.65269470214841</v>
      </c>
      <c r="E452">
        <v>217.79624938964841</v>
      </c>
      <c r="F452">
        <v>81.841484069824219</v>
      </c>
      <c r="G452">
        <v>165.21501159667969</v>
      </c>
      <c r="H452">
        <v>5797.419921875</v>
      </c>
      <c r="I452">
        <f t="shared" si="26"/>
        <v>-2.1860128767870909E-2</v>
      </c>
      <c r="J452">
        <f t="shared" si="26"/>
        <v>6.3368919520311543E-3</v>
      </c>
      <c r="K452">
        <f t="shared" si="26"/>
        <v>1.4637042758860016E-2</v>
      </c>
      <c r="L452">
        <f t="shared" si="26"/>
        <v>-3.1730189988500028E-3</v>
      </c>
      <c r="M452">
        <f t="shared" si="26"/>
        <v>1.4941509229972087E-2</v>
      </c>
      <c r="N452">
        <f t="shared" si="26"/>
        <v>-7.0720570750563842E-4</v>
      </c>
      <c r="O452">
        <f t="shared" si="25"/>
        <v>-9.2338242676795641E-3</v>
      </c>
    </row>
    <row r="453" spans="1:15" x14ac:dyDescent="0.35">
      <c r="A453" s="2">
        <v>45589</v>
      </c>
      <c r="B453">
        <v>229.2796325683594</v>
      </c>
      <c r="C453">
        <v>887.602783203125</v>
      </c>
      <c r="D453">
        <v>157.54463195800781</v>
      </c>
      <c r="E453">
        <v>219.32679748535159</v>
      </c>
      <c r="F453">
        <v>79.770401000976563</v>
      </c>
      <c r="G453">
        <v>165.25396728515619</v>
      </c>
      <c r="H453">
        <v>5809.85986328125</v>
      </c>
      <c r="I453">
        <f t="shared" si="26"/>
        <v>-8.2369516469049436E-4</v>
      </c>
      <c r="J453">
        <f t="shared" si="26"/>
        <v>-6.4152798890203255E-3</v>
      </c>
      <c r="K453">
        <f t="shared" si="26"/>
        <v>-1.3292002196146407E-2</v>
      </c>
      <c r="L453">
        <f t="shared" si="26"/>
        <v>7.0028535968288102E-3</v>
      </c>
      <c r="M453">
        <f t="shared" si="26"/>
        <v>-2.5631734399328285E-2</v>
      </c>
      <c r="N453">
        <f t="shared" si="26"/>
        <v>2.3576003284026984E-4</v>
      </c>
      <c r="O453">
        <f t="shared" si="25"/>
        <v>2.1434731305568283E-3</v>
      </c>
    </row>
    <row r="454" spans="1:15" x14ac:dyDescent="0.35">
      <c r="A454" s="2">
        <v>45590</v>
      </c>
      <c r="B454">
        <v>230.11492919921881</v>
      </c>
      <c r="C454">
        <v>885.41705322265625</v>
      </c>
      <c r="D454">
        <v>154.85906982421881</v>
      </c>
      <c r="E454">
        <v>216.72389221191409</v>
      </c>
      <c r="F454">
        <v>78.441070556640625</v>
      </c>
      <c r="G454">
        <v>163.8900146484375</v>
      </c>
      <c r="H454">
        <v>5808.1201171875</v>
      </c>
      <c r="I454">
        <f t="shared" si="26"/>
        <v>3.6365147561123481E-3</v>
      </c>
      <c r="J454">
        <f t="shared" si="26"/>
        <v>-2.46554611832683E-3</v>
      </c>
      <c r="K454">
        <f t="shared" si="26"/>
        <v>-1.719331925183883E-2</v>
      </c>
      <c r="L454">
        <f t="shared" si="26"/>
        <v>-1.193868626449004E-2</v>
      </c>
      <c r="M454">
        <f t="shared" si="26"/>
        <v>-1.6804871544245065E-2</v>
      </c>
      <c r="N454">
        <f t="shared" si="26"/>
        <v>-8.2879257652329428E-3</v>
      </c>
      <c r="O454">
        <f t="shared" si="25"/>
        <v>-2.9949201318627087E-4</v>
      </c>
    </row>
    <row r="455" spans="1:15" x14ac:dyDescent="0.35">
      <c r="A455" s="2">
        <v>45593</v>
      </c>
      <c r="B455">
        <v>232.0937805175781</v>
      </c>
      <c r="C455">
        <v>885.15887451171875</v>
      </c>
      <c r="D455">
        <v>155.5521240234375</v>
      </c>
      <c r="E455">
        <v>219.833740234375</v>
      </c>
      <c r="F455">
        <v>79.828208923339844</v>
      </c>
      <c r="G455">
        <v>164.94221496582031</v>
      </c>
      <c r="H455">
        <v>5823.52001953125</v>
      </c>
      <c r="I455">
        <f t="shared" si="26"/>
        <v>8.5626400685589639E-3</v>
      </c>
      <c r="J455">
        <f t="shared" si="26"/>
        <v>-2.9163246684109373E-4</v>
      </c>
      <c r="K455">
        <f t="shared" si="26"/>
        <v>4.4654017932918349E-3</v>
      </c>
      <c r="L455">
        <f t="shared" si="26"/>
        <v>1.4247377190250108E-2</v>
      </c>
      <c r="M455">
        <f t="shared" si="26"/>
        <v>1.7529287940086107E-2</v>
      </c>
      <c r="N455">
        <f t="shared" si="26"/>
        <v>6.3996397781372494E-3</v>
      </c>
      <c r="O455">
        <f t="shared" si="25"/>
        <v>2.6479346267329448E-3</v>
      </c>
    </row>
    <row r="456" spans="1:15" x14ac:dyDescent="0.35">
      <c r="A456" s="2">
        <v>45594</v>
      </c>
      <c r="B456">
        <v>232.36228942871091</v>
      </c>
      <c r="C456">
        <v>881.2147216796875</v>
      </c>
      <c r="D456">
        <v>154.09861755371091</v>
      </c>
      <c r="E456">
        <v>217.299072265625</v>
      </c>
      <c r="F456">
        <v>76.639694213867188</v>
      </c>
      <c r="G456">
        <v>162.86701965332031</v>
      </c>
      <c r="H456">
        <v>5832.919921875</v>
      </c>
      <c r="I456">
        <f t="shared" si="26"/>
        <v>1.1562296562395737E-3</v>
      </c>
      <c r="J456">
        <f t="shared" si="26"/>
        <v>-4.4658269299170036E-3</v>
      </c>
      <c r="K456">
        <f t="shared" si="26"/>
        <v>-9.388106987215138E-3</v>
      </c>
      <c r="L456">
        <f t="shared" si="26"/>
        <v>-1.1596916557963423E-2</v>
      </c>
      <c r="M456">
        <f t="shared" si="26"/>
        <v>-4.076179351889736E-2</v>
      </c>
      <c r="N456">
        <f t="shared" si="26"/>
        <v>-1.2661162745214611E-2</v>
      </c>
      <c r="O456">
        <f t="shared" si="25"/>
        <v>1.6128259449012198E-3</v>
      </c>
    </row>
    <row r="457" spans="1:15" x14ac:dyDescent="0.35">
      <c r="A457" s="2">
        <v>45595</v>
      </c>
      <c r="B457">
        <v>228.812255859375</v>
      </c>
      <c r="C457">
        <v>873.36614990234375</v>
      </c>
      <c r="D457">
        <v>154.59916687011719</v>
      </c>
      <c r="E457">
        <v>218.77113342285159</v>
      </c>
      <c r="F457">
        <v>76.186935424804688</v>
      </c>
      <c r="G457">
        <v>161.8830261230469</v>
      </c>
      <c r="H457">
        <v>5813.669921875</v>
      </c>
      <c r="I457">
        <f t="shared" si="26"/>
        <v>-1.5395922123959786E-2</v>
      </c>
      <c r="J457">
        <f t="shared" si="26"/>
        <v>-8.9464375835242339E-3</v>
      </c>
      <c r="K457">
        <f t="shared" si="26"/>
        <v>3.2429760130983131E-3</v>
      </c>
      <c r="L457">
        <f t="shared" si="26"/>
        <v>6.7515126223114171E-3</v>
      </c>
      <c r="M457">
        <f t="shared" si="26"/>
        <v>-5.9251468769486206E-3</v>
      </c>
      <c r="N457">
        <f t="shared" si="26"/>
        <v>-6.0600240363843831E-3</v>
      </c>
      <c r="O457">
        <f t="shared" si="25"/>
        <v>-3.3056916724881185E-3</v>
      </c>
    </row>
    <row r="458" spans="1:15" x14ac:dyDescent="0.35">
      <c r="A458" s="2">
        <v>45596</v>
      </c>
      <c r="B458">
        <v>224.64570617675781</v>
      </c>
      <c r="C458">
        <v>868.488037109375</v>
      </c>
      <c r="D458">
        <v>153.87724304199219</v>
      </c>
      <c r="E458">
        <v>216.34370422363281</v>
      </c>
      <c r="F458">
        <v>76.341072082519531</v>
      </c>
      <c r="G458">
        <v>160.92826843261719</v>
      </c>
      <c r="H458">
        <v>5705.4501953125</v>
      </c>
      <c r="I458">
        <f t="shared" si="26"/>
        <v>-1.8377301947281943E-2</v>
      </c>
      <c r="J458">
        <f t="shared" si="26"/>
        <v>-5.6010722164382453E-3</v>
      </c>
      <c r="K458">
        <f t="shared" si="26"/>
        <v>-4.6805857622334961E-3</v>
      </c>
      <c r="L458">
        <f t="shared" si="26"/>
        <v>-1.1157764216936768E-2</v>
      </c>
      <c r="M458">
        <f t="shared" si="26"/>
        <v>2.0210938660011803E-3</v>
      </c>
      <c r="N458">
        <f t="shared" si="26"/>
        <v>-5.9152854345103732E-3</v>
      </c>
      <c r="O458">
        <f t="shared" si="25"/>
        <v>-1.8790134928745348E-2</v>
      </c>
    </row>
    <row r="459" spans="1:15" x14ac:dyDescent="0.35">
      <c r="A459" s="2">
        <v>45597</v>
      </c>
      <c r="B459">
        <v>221.66249084472659</v>
      </c>
      <c r="C459">
        <v>872.755859375</v>
      </c>
      <c r="D459">
        <v>154.13713073730469</v>
      </c>
      <c r="E459">
        <v>217.33807373046881</v>
      </c>
      <c r="F459">
        <v>74.510818481445313</v>
      </c>
      <c r="G459">
        <v>160.8503112792969</v>
      </c>
      <c r="H459">
        <v>5728.7998046875</v>
      </c>
      <c r="I459">
        <f t="shared" si="26"/>
        <v>-1.3368608426875303E-2</v>
      </c>
      <c r="J459">
        <f t="shared" si="26"/>
        <v>4.9020482662767125E-3</v>
      </c>
      <c r="K459">
        <f t="shared" si="26"/>
        <v>1.6875040849332775E-3</v>
      </c>
      <c r="L459">
        <f t="shared" si="26"/>
        <v>4.5857183765503212E-3</v>
      </c>
      <c r="M459">
        <f t="shared" si="26"/>
        <v>-2.426676138217888E-2</v>
      </c>
      <c r="N459">
        <f t="shared" si="26"/>
        <v>-4.8453911951071651E-4</v>
      </c>
      <c r="O459">
        <f t="shared" si="25"/>
        <v>4.0841580045254591E-3</v>
      </c>
    </row>
    <row r="460" spans="1:15" x14ac:dyDescent="0.35">
      <c r="A460" s="2">
        <v>45600</v>
      </c>
      <c r="B460">
        <v>220.76751708984381</v>
      </c>
      <c r="C460">
        <v>881.47039794921875</v>
      </c>
      <c r="D460">
        <v>152.31785583496091</v>
      </c>
      <c r="E460">
        <v>214.25746154785159</v>
      </c>
      <c r="F460">
        <v>75.493385314941406</v>
      </c>
      <c r="G460">
        <v>160.83082580566409</v>
      </c>
      <c r="H460">
        <v>5712.68994140625</v>
      </c>
      <c r="I460">
        <f t="shared" si="26"/>
        <v>-4.0457245646438843E-3</v>
      </c>
      <c r="J460">
        <f t="shared" si="26"/>
        <v>9.9355601661382277E-3</v>
      </c>
      <c r="K460">
        <f t="shared" si="26"/>
        <v>-1.187317129283829E-2</v>
      </c>
      <c r="L460">
        <f t="shared" si="26"/>
        <v>-1.4275701431434371E-2</v>
      </c>
      <c r="M460">
        <f t="shared" si="26"/>
        <v>1.3100711335266441E-2</v>
      </c>
      <c r="N460">
        <f t="shared" si="26"/>
        <v>-1.2114775415942444E-4</v>
      </c>
      <c r="O460">
        <f t="shared" si="25"/>
        <v>-2.8160448131902913E-3</v>
      </c>
    </row>
    <row r="461" spans="1:15" x14ac:dyDescent="0.35">
      <c r="A461" s="2">
        <v>45601</v>
      </c>
      <c r="B461">
        <v>222.199462890625</v>
      </c>
      <c r="C461">
        <v>885.549072265625</v>
      </c>
      <c r="D461">
        <v>152.42375183105469</v>
      </c>
      <c r="E461">
        <v>215.92449951171881</v>
      </c>
      <c r="F461">
        <v>75.763099670410156</v>
      </c>
      <c r="G461">
        <v>161.4933166503906</v>
      </c>
      <c r="H461">
        <v>5782.759765625</v>
      </c>
      <c r="I461">
        <f t="shared" si="26"/>
        <v>6.4652710175059896E-3</v>
      </c>
      <c r="J461">
        <f t="shared" si="26"/>
        <v>4.6164534446377411E-3</v>
      </c>
      <c r="K461">
        <f t="shared" si="26"/>
        <v>6.949887884835095E-4</v>
      </c>
      <c r="L461">
        <f t="shared" si="26"/>
        <v>7.7504240509677566E-3</v>
      </c>
      <c r="M461">
        <f t="shared" si="26"/>
        <v>3.5663216867916243E-3</v>
      </c>
      <c r="N461">
        <f t="shared" si="26"/>
        <v>4.1107176929142631E-3</v>
      </c>
      <c r="O461">
        <f t="shared" si="25"/>
        <v>1.2191031029563081E-2</v>
      </c>
    </row>
    <row r="462" spans="1:15" x14ac:dyDescent="0.35">
      <c r="A462" s="2">
        <v>45602</v>
      </c>
      <c r="B462">
        <v>221.47357177734381</v>
      </c>
      <c r="C462">
        <v>894.5819091796875</v>
      </c>
      <c r="D462">
        <v>151.97132873535159</v>
      </c>
      <c r="E462">
        <v>240.85198974609381</v>
      </c>
      <c r="F462">
        <v>71.784683227539063</v>
      </c>
      <c r="G462">
        <v>156.9045715332031</v>
      </c>
      <c r="H462">
        <v>5929.0400390625</v>
      </c>
      <c r="I462">
        <f t="shared" si="26"/>
        <v>-3.2721923770524216E-3</v>
      </c>
      <c r="J462">
        <f t="shared" si="26"/>
        <v>1.0148595283610949E-2</v>
      </c>
      <c r="K462">
        <f t="shared" si="26"/>
        <v>-2.9726067057991353E-3</v>
      </c>
      <c r="L462">
        <f t="shared" si="26"/>
        <v>0.10925378710841459</v>
      </c>
      <c r="M462">
        <f t="shared" si="26"/>
        <v>-5.3940234605696344E-2</v>
      </c>
      <c r="N462">
        <f t="shared" si="26"/>
        <v>-2.8825962917944314E-2</v>
      </c>
      <c r="O462">
        <f t="shared" si="25"/>
        <v>2.4981280957186654E-2</v>
      </c>
    </row>
    <row r="463" spans="1:15" x14ac:dyDescent="0.35">
      <c r="A463" s="2">
        <v>45603</v>
      </c>
      <c r="B463">
        <v>226.20692443847659</v>
      </c>
      <c r="C463">
        <v>909.18572998046875</v>
      </c>
      <c r="D463">
        <v>150.8643493652344</v>
      </c>
      <c r="E463">
        <v>230.44035339355469</v>
      </c>
      <c r="F463">
        <v>71.881027221679688</v>
      </c>
      <c r="G463">
        <v>159.2038269042969</v>
      </c>
      <c r="H463">
        <v>5973.10009765625</v>
      </c>
      <c r="I463">
        <f t="shared" si="26"/>
        <v>2.1146907639858999E-2</v>
      </c>
      <c r="J463">
        <f t="shared" si="26"/>
        <v>1.6192928167802895E-2</v>
      </c>
      <c r="K463">
        <f t="shared" si="26"/>
        <v>-7.3107918294980853E-3</v>
      </c>
      <c r="L463">
        <f t="shared" si="26"/>
        <v>-4.4190535968926407E-2</v>
      </c>
      <c r="M463">
        <f t="shared" si="26"/>
        <v>1.3412248236827878E-3</v>
      </c>
      <c r="N463">
        <f t="shared" si="26"/>
        <v>1.4547515546189181E-2</v>
      </c>
      <c r="O463">
        <f t="shared" si="25"/>
        <v>7.4037541739956567E-3</v>
      </c>
    </row>
    <row r="464" spans="1:15" x14ac:dyDescent="0.35">
      <c r="A464" s="2">
        <v>45604</v>
      </c>
      <c r="B464">
        <v>225.93812561035159</v>
      </c>
      <c r="C464">
        <v>938.90069580078125</v>
      </c>
      <c r="D464">
        <v>149.65153503417969</v>
      </c>
      <c r="E464">
        <v>231.0252685546875</v>
      </c>
      <c r="F464">
        <v>74.144767761230469</v>
      </c>
      <c r="G464">
        <v>163.39314270019531</v>
      </c>
      <c r="H464">
        <v>5995.5400390625</v>
      </c>
      <c r="I464">
        <f t="shared" si="26"/>
        <v>-1.188993929106832E-3</v>
      </c>
      <c r="J464">
        <f t="shared" si="26"/>
        <v>3.2160321627896137E-2</v>
      </c>
      <c r="K464">
        <f t="shared" si="26"/>
        <v>-8.0715927419553433E-3</v>
      </c>
      <c r="L464">
        <f t="shared" si="26"/>
        <v>2.5350337990715263E-3</v>
      </c>
      <c r="M464">
        <f t="shared" si="26"/>
        <v>3.1007150598847198E-2</v>
      </c>
      <c r="N464">
        <f t="shared" si="26"/>
        <v>2.59739037412773E-2</v>
      </c>
      <c r="O464">
        <f t="shared" si="25"/>
        <v>3.7497940357180464E-3</v>
      </c>
    </row>
    <row r="465" spans="1:15" x14ac:dyDescent="0.35">
      <c r="A465" s="2">
        <v>45607</v>
      </c>
      <c r="B465">
        <v>223.2204284667969</v>
      </c>
      <c r="C465">
        <v>928.03741455078125</v>
      </c>
      <c r="D465">
        <v>149.23760986328119</v>
      </c>
      <c r="E465">
        <v>233.27723693847659</v>
      </c>
      <c r="F465">
        <v>73.123680114746094</v>
      </c>
      <c r="G465">
        <v>161.7563781738281</v>
      </c>
      <c r="H465">
        <v>6001.35009765625</v>
      </c>
      <c r="I465">
        <f t="shared" si="26"/>
        <v>-1.2101429594558958E-2</v>
      </c>
      <c r="J465">
        <f t="shared" si="26"/>
        <v>-1.163766896771146E-2</v>
      </c>
      <c r="K465">
        <f t="shared" si="26"/>
        <v>-2.7697589061763499E-3</v>
      </c>
      <c r="L465">
        <f t="shared" si="26"/>
        <v>9.7005121285862993E-3</v>
      </c>
      <c r="M465">
        <f t="shared" si="26"/>
        <v>-1.3867247521594354E-2</v>
      </c>
      <c r="N465">
        <f t="shared" si="26"/>
        <v>-1.006785030694821E-2</v>
      </c>
      <c r="O465">
        <f t="shared" si="25"/>
        <v>9.6859419095692381E-4</v>
      </c>
    </row>
    <row r="466" spans="1:15" x14ac:dyDescent="0.35">
      <c r="A466" s="2">
        <v>45608</v>
      </c>
      <c r="B466">
        <v>223.2204284667969</v>
      </c>
      <c r="C466">
        <v>927.53997802734375</v>
      </c>
      <c r="D466">
        <v>146.92742919921881</v>
      </c>
      <c r="E466">
        <v>233.54046630859381</v>
      </c>
      <c r="F466">
        <v>71.53424072265625</v>
      </c>
      <c r="G466">
        <v>161.5712585449219</v>
      </c>
      <c r="H466">
        <v>5983.990234375</v>
      </c>
      <c r="I466">
        <f t="shared" si="26"/>
        <v>0</v>
      </c>
      <c r="J466">
        <f t="shared" si="26"/>
        <v>-5.361528302114531E-4</v>
      </c>
      <c r="K466">
        <f t="shared" si="26"/>
        <v>-1.5600946872977757E-2</v>
      </c>
      <c r="L466">
        <f t="shared" si="26"/>
        <v>1.1277609918612093E-3</v>
      </c>
      <c r="M466">
        <f t="shared" si="26"/>
        <v>-2.1976029382132244E-2</v>
      </c>
      <c r="N466">
        <f t="shared" si="26"/>
        <v>-1.1450901692954311E-3</v>
      </c>
      <c r="O466">
        <f t="shared" si="25"/>
        <v>-2.8968514769364996E-3</v>
      </c>
    </row>
    <row r="467" spans="1:15" x14ac:dyDescent="0.35">
      <c r="A467" s="2">
        <v>45609</v>
      </c>
      <c r="B467">
        <v>224.1064147949219</v>
      </c>
      <c r="C467">
        <v>928.8829345703125</v>
      </c>
      <c r="D467">
        <v>147.5050048828125</v>
      </c>
      <c r="E467">
        <v>235.10026550292969</v>
      </c>
      <c r="F467">
        <v>71.514976501464844</v>
      </c>
      <c r="G467">
        <v>162.29222106933591</v>
      </c>
      <c r="H467">
        <v>5985.3798828125</v>
      </c>
      <c r="I467">
        <f t="shared" si="26"/>
        <v>3.9612533878111301E-3</v>
      </c>
      <c r="J467">
        <f t="shared" si="26"/>
        <v>1.4468220232818701E-3</v>
      </c>
      <c r="K467">
        <f t="shared" si="26"/>
        <v>3.9233206508158839E-3</v>
      </c>
      <c r="L467">
        <f t="shared" si="26"/>
        <v>6.656719522051156E-3</v>
      </c>
      <c r="M467">
        <f t="shared" si="26"/>
        <v>-2.6933696921505724E-4</v>
      </c>
      <c r="N467">
        <f t="shared" si="26"/>
        <v>4.452269309429018E-3</v>
      </c>
      <c r="O467">
        <f t="shared" si="25"/>
        <v>2.3220076414018386E-4</v>
      </c>
    </row>
    <row r="468" spans="1:15" x14ac:dyDescent="0.35">
      <c r="A468" s="2">
        <v>45610</v>
      </c>
      <c r="B468">
        <v>227.19245910644531</v>
      </c>
      <c r="C468">
        <v>919.093994140625</v>
      </c>
      <c r="D468">
        <v>146.1862487792969</v>
      </c>
      <c r="E468">
        <v>235.79240417480469</v>
      </c>
      <c r="F468">
        <v>72.516792297363281</v>
      </c>
      <c r="G468">
        <v>162.77934265136719</v>
      </c>
      <c r="H468">
        <v>5949.169921875</v>
      </c>
      <c r="I468">
        <f t="shared" si="26"/>
        <v>1.3676490647910995E-2</v>
      </c>
      <c r="J468">
        <f t="shared" si="26"/>
        <v>-1.059432272815394E-2</v>
      </c>
      <c r="K468">
        <f t="shared" si="26"/>
        <v>-8.9806213182790813E-3</v>
      </c>
      <c r="L468">
        <f t="shared" si="26"/>
        <v>2.9396897207632834E-3</v>
      </c>
      <c r="M468">
        <f t="shared" si="26"/>
        <v>1.3911263611110313E-2</v>
      </c>
      <c r="N468">
        <f t="shared" si="26"/>
        <v>2.9970135872231709E-3</v>
      </c>
      <c r="O468">
        <f t="shared" si="25"/>
        <v>-6.0681085822440004E-3</v>
      </c>
    </row>
    <row r="469" spans="1:15" x14ac:dyDescent="0.35">
      <c r="A469" s="2">
        <v>45611</v>
      </c>
      <c r="B469">
        <v>223.98695373535159</v>
      </c>
      <c r="C469">
        <v>902.361328125</v>
      </c>
      <c r="D469">
        <v>148.23655700683591</v>
      </c>
      <c r="E469">
        <v>239.1459655761719</v>
      </c>
      <c r="F469">
        <v>73.547531127929688</v>
      </c>
      <c r="G469">
        <v>165.17604064941409</v>
      </c>
      <c r="H469">
        <v>5870.6201171875</v>
      </c>
      <c r="I469">
        <f t="shared" si="26"/>
        <v>-1.4209687837560925E-2</v>
      </c>
      <c r="J469">
        <f t="shared" si="26"/>
        <v>-1.8373370488145694E-2</v>
      </c>
      <c r="K469">
        <f t="shared" si="26"/>
        <v>1.3927870608685484E-2</v>
      </c>
      <c r="L469">
        <f t="shared" si="26"/>
        <v>1.4122325552062229E-2</v>
      </c>
      <c r="M469">
        <f t="shared" si="26"/>
        <v>1.4113726286718654E-2</v>
      </c>
      <c r="N469">
        <f t="shared" si="26"/>
        <v>1.4616260553503773E-2</v>
      </c>
      <c r="O469">
        <f t="shared" si="25"/>
        <v>-1.3291430866793769E-2</v>
      </c>
    </row>
    <row r="470" spans="1:15" x14ac:dyDescent="0.35">
      <c r="A470" s="2">
        <v>45614</v>
      </c>
      <c r="B470">
        <v>226.9933776855469</v>
      </c>
      <c r="C470">
        <v>914.7366943359375</v>
      </c>
      <c r="D470">
        <v>148.97772216796881</v>
      </c>
      <c r="E470">
        <v>238.87300109863281</v>
      </c>
      <c r="F470">
        <v>73.5860595703125</v>
      </c>
      <c r="G470">
        <v>166.3548889160156</v>
      </c>
      <c r="H470">
        <v>5893.6201171875</v>
      </c>
      <c r="I470">
        <f t="shared" si="26"/>
        <v>1.3333035958434261E-2</v>
      </c>
      <c r="J470">
        <f t="shared" si="26"/>
        <v>1.3621232755832442E-2</v>
      </c>
      <c r="K470">
        <f t="shared" si="26"/>
        <v>4.9874232121417733E-3</v>
      </c>
      <c r="L470">
        <f t="shared" ref="L470:O533" si="27">LN(E470/E469)</f>
        <v>-1.1420655925315154E-3</v>
      </c>
      <c r="M470">
        <f t="shared" si="27"/>
        <v>5.237205600789475E-4</v>
      </c>
      <c r="N470">
        <f t="shared" si="27"/>
        <v>7.1115731883301227E-3</v>
      </c>
      <c r="O470">
        <f t="shared" si="25"/>
        <v>3.9101597462065374E-3</v>
      </c>
    </row>
    <row r="471" spans="1:15" x14ac:dyDescent="0.35">
      <c r="A471" s="2">
        <v>45615</v>
      </c>
      <c r="B471">
        <v>227.25218200683591</v>
      </c>
      <c r="C471">
        <v>925.32159423828125</v>
      </c>
      <c r="D471">
        <v>147.2739562988281</v>
      </c>
      <c r="E471">
        <v>236.98173522949219</v>
      </c>
      <c r="F471">
        <v>74.250732421875</v>
      </c>
      <c r="G471">
        <v>166.3646240234375</v>
      </c>
      <c r="H471">
        <v>5916.97998046875</v>
      </c>
      <c r="I471">
        <f t="shared" ref="I471:O534" si="28">LN(B471/B470)</f>
        <v>1.1394909373147902E-3</v>
      </c>
      <c r="J471">
        <f t="shared" si="28"/>
        <v>1.1505088426259689E-2</v>
      </c>
      <c r="K471">
        <f t="shared" si="28"/>
        <v>-1.1502278483469772E-2</v>
      </c>
      <c r="L471">
        <f t="shared" si="27"/>
        <v>-7.9489629216940652E-3</v>
      </c>
      <c r="M471">
        <f t="shared" si="27"/>
        <v>8.9920421190249639E-3</v>
      </c>
      <c r="N471">
        <f t="shared" si="27"/>
        <v>5.8518403917285433E-5</v>
      </c>
      <c r="O471">
        <f t="shared" si="25"/>
        <v>3.955750520596487E-3</v>
      </c>
    </row>
    <row r="472" spans="1:15" x14ac:dyDescent="0.35">
      <c r="A472" s="2">
        <v>45616</v>
      </c>
      <c r="B472">
        <v>227.9689636230469</v>
      </c>
      <c r="C472">
        <v>923.26226806640625</v>
      </c>
      <c r="D472">
        <v>147.3798522949219</v>
      </c>
      <c r="E472">
        <v>234.72978210449219</v>
      </c>
      <c r="F472">
        <v>74.058067321777344</v>
      </c>
      <c r="G472">
        <v>166.49128723144531</v>
      </c>
      <c r="H472">
        <v>5917.10986328125</v>
      </c>
      <c r="I472">
        <f t="shared" si="28"/>
        <v>3.1491604265965587E-3</v>
      </c>
      <c r="J472">
        <f t="shared" si="28"/>
        <v>-2.2280049780193942E-3</v>
      </c>
      <c r="K472">
        <f t="shared" si="28"/>
        <v>7.1878250044322273E-4</v>
      </c>
      <c r="L472">
        <f t="shared" si="27"/>
        <v>-9.5480824642236693E-3</v>
      </c>
      <c r="M472">
        <f t="shared" si="27"/>
        <v>-2.5981628711446488E-3</v>
      </c>
      <c r="N472">
        <f t="shared" si="27"/>
        <v>7.6106933864662036E-4</v>
      </c>
      <c r="O472">
        <f t="shared" si="25"/>
        <v>2.19506213354446E-5</v>
      </c>
    </row>
    <row r="473" spans="1:15" x14ac:dyDescent="0.35">
      <c r="A473" s="2">
        <v>45617</v>
      </c>
      <c r="B473">
        <v>227.49113464355469</v>
      </c>
      <c r="C473">
        <v>950.689208984375</v>
      </c>
      <c r="D473">
        <v>149.6803894042969</v>
      </c>
      <c r="E473">
        <v>238.6097717285156</v>
      </c>
      <c r="F473">
        <v>74.520454406738281</v>
      </c>
      <c r="G473">
        <v>168.30340576171881</v>
      </c>
      <c r="H473">
        <v>5948.7099609375</v>
      </c>
      <c r="I473">
        <f t="shared" si="28"/>
        <v>-2.0982261963951201E-3</v>
      </c>
      <c r="J473">
        <f t="shared" si="28"/>
        <v>2.9273863142171959E-2</v>
      </c>
      <c r="K473">
        <f t="shared" si="28"/>
        <v>1.5489000408493278E-2</v>
      </c>
      <c r="L473">
        <f t="shared" si="27"/>
        <v>1.6394474102664112E-2</v>
      </c>
      <c r="M473">
        <f t="shared" si="27"/>
        <v>6.2241644664240816E-3</v>
      </c>
      <c r="N473">
        <f t="shared" si="27"/>
        <v>1.0825358136000491E-2</v>
      </c>
      <c r="O473">
        <f t="shared" si="25"/>
        <v>5.3262518442884913E-3</v>
      </c>
    </row>
    <row r="474" spans="1:15" x14ac:dyDescent="0.35">
      <c r="A474" s="2">
        <v>45618</v>
      </c>
      <c r="B474">
        <v>228.83502197265619</v>
      </c>
      <c r="C474">
        <v>959.00579833984375</v>
      </c>
      <c r="D474">
        <v>149.36274719238281</v>
      </c>
      <c r="E474">
        <v>242.3045654296875</v>
      </c>
      <c r="F474">
        <v>73.701011657714844</v>
      </c>
      <c r="G474">
        <v>171.74253845214841</v>
      </c>
      <c r="H474">
        <v>5969.33984375</v>
      </c>
      <c r="I474">
        <f t="shared" si="28"/>
        <v>5.8900468222810318E-3</v>
      </c>
      <c r="J474">
        <f t="shared" si="28"/>
        <v>8.7099164003083956E-3</v>
      </c>
      <c r="K474">
        <f t="shared" si="28"/>
        <v>-2.1243913837317172E-3</v>
      </c>
      <c r="L474">
        <f t="shared" si="27"/>
        <v>1.5366006437418261E-2</v>
      </c>
      <c r="M474">
        <f t="shared" si="27"/>
        <v>-1.1057117697052614E-2</v>
      </c>
      <c r="N474">
        <f t="shared" si="27"/>
        <v>2.0228148673851653E-2</v>
      </c>
      <c r="O474">
        <f t="shared" si="25"/>
        <v>3.4619595915364653E-3</v>
      </c>
    </row>
    <row r="475" spans="1:15" x14ac:dyDescent="0.35">
      <c r="A475" s="2">
        <v>45621</v>
      </c>
      <c r="B475">
        <v>231.82151794433591</v>
      </c>
      <c r="C475">
        <v>955.9019775390625</v>
      </c>
      <c r="D475">
        <v>149.9499206542969</v>
      </c>
      <c r="E475">
        <v>244.0008239746094</v>
      </c>
      <c r="F475">
        <v>74.3216552734375</v>
      </c>
      <c r="G475">
        <v>172.82395935058591</v>
      </c>
      <c r="H475">
        <v>5987.3701171875</v>
      </c>
      <c r="I475">
        <f t="shared" si="28"/>
        <v>1.2966440528748457E-2</v>
      </c>
      <c r="J475">
        <f t="shared" si="28"/>
        <v>-3.2417472611785815E-3</v>
      </c>
      <c r="K475">
        <f t="shared" si="28"/>
        <v>3.9234838897427259E-3</v>
      </c>
      <c r="L475">
        <f t="shared" si="27"/>
        <v>6.9761325336361512E-3</v>
      </c>
      <c r="M475">
        <f t="shared" si="27"/>
        <v>8.3858407050437511E-3</v>
      </c>
      <c r="N475">
        <f t="shared" si="27"/>
        <v>6.2770144867748531E-3</v>
      </c>
      <c r="O475">
        <f t="shared" si="25"/>
        <v>3.0159278201245415E-3</v>
      </c>
    </row>
    <row r="476" spans="1:15" x14ac:dyDescent="0.35">
      <c r="A476" s="2">
        <v>45622</v>
      </c>
      <c r="B476">
        <v>234.0016784667969</v>
      </c>
      <c r="C476">
        <v>966.45684814453125</v>
      </c>
      <c r="D476">
        <v>149.93052673339841</v>
      </c>
      <c r="E476">
        <v>243.68885803222659</v>
      </c>
      <c r="F476">
        <v>75.145942687988281</v>
      </c>
      <c r="G476">
        <v>174.6945495605469</v>
      </c>
      <c r="H476">
        <v>6021.6298828125</v>
      </c>
      <c r="I476">
        <f t="shared" si="28"/>
        <v>9.360531884026144E-3</v>
      </c>
      <c r="J476">
        <f t="shared" si="28"/>
        <v>1.0981276263835655E-2</v>
      </c>
      <c r="K476">
        <f t="shared" si="28"/>
        <v>-1.2934435102034177E-4</v>
      </c>
      <c r="L476">
        <f t="shared" si="27"/>
        <v>-1.2793626621355506E-3</v>
      </c>
      <c r="M476">
        <f t="shared" si="27"/>
        <v>1.1029758721931834E-2</v>
      </c>
      <c r="N476">
        <f t="shared" si="27"/>
        <v>1.0765517393616282E-2</v>
      </c>
      <c r="O476">
        <f t="shared" si="25"/>
        <v>5.705697155263866E-3</v>
      </c>
    </row>
    <row r="477" spans="1:15" x14ac:dyDescent="0.35">
      <c r="A477" s="2">
        <v>45623</v>
      </c>
      <c r="B477">
        <v>233.87223815917969</v>
      </c>
      <c r="C477">
        <v>956.55853271484375</v>
      </c>
      <c r="D477">
        <v>150.78437805175781</v>
      </c>
      <c r="E477">
        <v>243.51338195800781</v>
      </c>
      <c r="F477">
        <v>76.144775390625</v>
      </c>
      <c r="G477">
        <v>174.7432556152344</v>
      </c>
      <c r="H477">
        <v>5998.740234375</v>
      </c>
      <c r="I477">
        <f t="shared" si="28"/>
        <v>-5.5331278927908624E-4</v>
      </c>
      <c r="J477">
        <f t="shared" si="28"/>
        <v>-1.0294668411747247E-2</v>
      </c>
      <c r="K477">
        <f t="shared" si="28"/>
        <v>5.6788246902893984E-3</v>
      </c>
      <c r="L477">
        <f t="shared" si="27"/>
        <v>-7.2034185150732992E-4</v>
      </c>
      <c r="M477">
        <f t="shared" si="27"/>
        <v>1.3204342313582997E-2</v>
      </c>
      <c r="N477">
        <f t="shared" si="27"/>
        <v>2.7876809138271849E-4</v>
      </c>
      <c r="O477">
        <f t="shared" si="25"/>
        <v>-3.8084810835777119E-3</v>
      </c>
    </row>
    <row r="478" spans="1:15" x14ac:dyDescent="0.35">
      <c r="A478" s="2">
        <v>45625</v>
      </c>
      <c r="B478">
        <v>236.2614440917969</v>
      </c>
      <c r="C478">
        <v>966.8349609375</v>
      </c>
      <c r="D478">
        <v>150.40596008300781</v>
      </c>
      <c r="E478">
        <v>243.4451599121094</v>
      </c>
      <c r="F478">
        <v>76.290245056152344</v>
      </c>
      <c r="G478">
        <v>174.64582824707031</v>
      </c>
      <c r="H478">
        <v>6032.3798828125</v>
      </c>
      <c r="I478">
        <f t="shared" si="28"/>
        <v>1.0164030323116146E-2</v>
      </c>
      <c r="J478">
        <f t="shared" si="28"/>
        <v>1.0685827983223935E-2</v>
      </c>
      <c r="K478">
        <f t="shared" si="28"/>
        <v>-2.51281744435975E-3</v>
      </c>
      <c r="L478">
        <f t="shared" si="27"/>
        <v>-2.8019652795395391E-4</v>
      </c>
      <c r="M478">
        <f t="shared" si="27"/>
        <v>1.9086127224669314E-3</v>
      </c>
      <c r="N478">
        <f t="shared" si="27"/>
        <v>-5.5770128598367724E-4</v>
      </c>
      <c r="O478">
        <f t="shared" si="25"/>
        <v>5.5921203968016227E-3</v>
      </c>
    </row>
    <row r="479" spans="1:15" x14ac:dyDescent="0.35">
      <c r="A479" s="2">
        <v>45628</v>
      </c>
      <c r="B479">
        <v>238.51127624511719</v>
      </c>
      <c r="C479">
        <v>969.938720703125</v>
      </c>
      <c r="D479">
        <v>150.20220947265619</v>
      </c>
      <c r="E479">
        <v>240.0623474121094</v>
      </c>
      <c r="F479">
        <v>74.7386474609375</v>
      </c>
      <c r="G479">
        <v>175.0744934082031</v>
      </c>
      <c r="H479">
        <v>6047.14990234375</v>
      </c>
      <c r="I479">
        <f t="shared" si="28"/>
        <v>9.4775832636369035E-3</v>
      </c>
      <c r="J479">
        <f t="shared" si="28"/>
        <v>3.2050852941801554E-3</v>
      </c>
      <c r="K479">
        <f t="shared" si="28"/>
        <v>-1.3555895161078224E-3</v>
      </c>
      <c r="L479">
        <f t="shared" si="27"/>
        <v>-1.3993030702454287E-2</v>
      </c>
      <c r="M479">
        <f t="shared" si="27"/>
        <v>-2.054775295850246E-2</v>
      </c>
      <c r="N479">
        <f t="shared" si="27"/>
        <v>2.4514753605625757E-3</v>
      </c>
      <c r="O479">
        <f t="shared" si="25"/>
        <v>2.4454638805813736E-3</v>
      </c>
    </row>
    <row r="480" spans="1:15" x14ac:dyDescent="0.35">
      <c r="A480" s="2">
        <v>45629</v>
      </c>
      <c r="B480">
        <v>241.5574951171875</v>
      </c>
      <c r="C480">
        <v>977.0516357421875</v>
      </c>
      <c r="D480">
        <v>147.83467102050781</v>
      </c>
      <c r="E480">
        <v>238.66827392578119</v>
      </c>
      <c r="F480">
        <v>73.98223876953125</v>
      </c>
      <c r="G480">
        <v>170.9046630859375</v>
      </c>
      <c r="H480">
        <v>6049.8798828125</v>
      </c>
      <c r="I480">
        <f t="shared" si="28"/>
        <v>1.2690930712197498E-2</v>
      </c>
      <c r="J480">
        <f t="shared" si="28"/>
        <v>7.3066069998355323E-3</v>
      </c>
      <c r="K480">
        <f t="shared" si="28"/>
        <v>-1.5887887768618544E-2</v>
      </c>
      <c r="L480">
        <f t="shared" si="27"/>
        <v>-5.8240578928101692E-3</v>
      </c>
      <c r="M480">
        <f t="shared" si="27"/>
        <v>-1.0172279536970951E-2</v>
      </c>
      <c r="N480">
        <f t="shared" si="27"/>
        <v>-2.4105684753106277E-2</v>
      </c>
      <c r="O480">
        <f t="shared" si="25"/>
        <v>4.5134724202218132E-4</v>
      </c>
    </row>
    <row r="481" spans="1:15" x14ac:dyDescent="0.35">
      <c r="A481" s="2">
        <v>45630</v>
      </c>
      <c r="B481">
        <v>241.91587829589841</v>
      </c>
      <c r="C481">
        <v>985.77606201171875</v>
      </c>
      <c r="D481">
        <v>146.0008239746094</v>
      </c>
      <c r="E481">
        <v>237.28395080566409</v>
      </c>
      <c r="F481">
        <v>73.448883056640625</v>
      </c>
      <c r="G481">
        <v>170.60264587402341</v>
      </c>
      <c r="H481">
        <v>6086.490234375</v>
      </c>
      <c r="I481">
        <f t="shared" si="28"/>
        <v>1.4825356020006239E-3</v>
      </c>
      <c r="J481">
        <f t="shared" si="28"/>
        <v>8.889709203537639E-3</v>
      </c>
      <c r="K481">
        <f t="shared" si="28"/>
        <v>-1.2482296303205005E-2</v>
      </c>
      <c r="L481">
        <f t="shared" si="27"/>
        <v>-5.8170839500128182E-3</v>
      </c>
      <c r="M481">
        <f t="shared" si="27"/>
        <v>-7.2353521164409381E-3</v>
      </c>
      <c r="N481">
        <f t="shared" si="27"/>
        <v>-1.7687310504129234E-3</v>
      </c>
      <c r="O481">
        <f t="shared" si="25"/>
        <v>6.0331816281361198E-3</v>
      </c>
    </row>
    <row r="482" spans="1:15" x14ac:dyDescent="0.35">
      <c r="A482" s="2">
        <v>45631</v>
      </c>
      <c r="B482">
        <v>241.94572448730469</v>
      </c>
      <c r="C482">
        <v>977.16107177734375</v>
      </c>
      <c r="D482">
        <v>145.07902526855469</v>
      </c>
      <c r="E482">
        <v>239.3116760253906</v>
      </c>
      <c r="F482">
        <v>73.89495849609375</v>
      </c>
      <c r="G482">
        <v>171.49897766113281</v>
      </c>
      <c r="H482">
        <v>6075.10986328125</v>
      </c>
      <c r="I482">
        <f t="shared" si="28"/>
        <v>1.2336664563769673E-4</v>
      </c>
      <c r="J482">
        <f t="shared" si="28"/>
        <v>-8.7777090769909482E-3</v>
      </c>
      <c r="K482">
        <f t="shared" si="28"/>
        <v>-6.333669541014963E-3</v>
      </c>
      <c r="L482">
        <f t="shared" si="27"/>
        <v>8.509257495280283E-3</v>
      </c>
      <c r="M482">
        <f t="shared" si="27"/>
        <v>6.0549093546572712E-3</v>
      </c>
      <c r="N482">
        <f t="shared" si="27"/>
        <v>5.2401612649420415E-3</v>
      </c>
      <c r="O482">
        <f t="shared" si="25"/>
        <v>-1.8715258393823342E-3</v>
      </c>
    </row>
    <row r="483" spans="1:15" x14ac:dyDescent="0.35">
      <c r="A483" s="2">
        <v>45632</v>
      </c>
      <c r="B483">
        <v>241.74664306640619</v>
      </c>
      <c r="C483">
        <v>987.457275390625</v>
      </c>
      <c r="D483">
        <v>144.87525939941409</v>
      </c>
      <c r="E483">
        <v>241.1444396972656</v>
      </c>
      <c r="F483">
        <v>72.964004516601563</v>
      </c>
      <c r="G483">
        <v>169.34587097167969</v>
      </c>
      <c r="H483">
        <v>6090.27001953125</v>
      </c>
      <c r="I483">
        <f t="shared" si="28"/>
        <v>-8.2317375875520609E-4</v>
      </c>
      <c r="J483">
        <f t="shared" si="28"/>
        <v>1.0481728316731238E-2</v>
      </c>
      <c r="K483">
        <f t="shared" si="28"/>
        <v>-1.4055036497762148E-3</v>
      </c>
      <c r="L483">
        <f t="shared" si="27"/>
        <v>7.629302663655301E-3</v>
      </c>
      <c r="M483">
        <f t="shared" si="27"/>
        <v>-1.2678374279382152E-2</v>
      </c>
      <c r="N483">
        <f t="shared" si="27"/>
        <v>-1.2634108087854697E-2</v>
      </c>
      <c r="O483">
        <f t="shared" si="25"/>
        <v>2.4923453675383123E-3</v>
      </c>
    </row>
    <row r="484" spans="1:15" x14ac:dyDescent="0.35">
      <c r="A484" s="2">
        <v>45635</v>
      </c>
      <c r="B484">
        <v>245.63902282714841</v>
      </c>
      <c r="C484">
        <v>982.73199462890625</v>
      </c>
      <c r="D484">
        <v>145.1566467285156</v>
      </c>
      <c r="E484">
        <v>237.68365478515619</v>
      </c>
      <c r="F484">
        <v>72.440338134765625</v>
      </c>
      <c r="G484">
        <v>166.39385986328119</v>
      </c>
      <c r="H484">
        <v>6052.85009765625</v>
      </c>
      <c r="I484">
        <f t="shared" si="28"/>
        <v>1.5972823118797299E-2</v>
      </c>
      <c r="J484">
        <f t="shared" si="28"/>
        <v>-4.79678769346693E-3</v>
      </c>
      <c r="K484">
        <f t="shared" si="28"/>
        <v>1.9403893947119522E-3</v>
      </c>
      <c r="L484">
        <f t="shared" si="27"/>
        <v>-1.4455480853557547E-2</v>
      </c>
      <c r="M484">
        <f t="shared" si="27"/>
        <v>-7.2029299313278849E-3</v>
      </c>
      <c r="N484">
        <f t="shared" si="27"/>
        <v>-1.7585569494594094E-2</v>
      </c>
      <c r="O484">
        <f t="shared" si="25"/>
        <v>-6.1631672852274621E-3</v>
      </c>
    </row>
    <row r="485" spans="1:15" x14ac:dyDescent="0.35">
      <c r="A485" s="2">
        <v>45636</v>
      </c>
      <c r="B485">
        <v>246.65443420410159</v>
      </c>
      <c r="C485">
        <v>988.2431640625</v>
      </c>
      <c r="D485">
        <v>144.7976379394531</v>
      </c>
      <c r="E485">
        <v>236.75752258300781</v>
      </c>
      <c r="F485">
        <v>71.89727783203125</v>
      </c>
      <c r="G485">
        <v>167.8454895019531</v>
      </c>
      <c r="H485">
        <v>6034.91015625</v>
      </c>
      <c r="I485">
        <f t="shared" si="28"/>
        <v>4.1252338516178898E-3</v>
      </c>
      <c r="J485">
        <f t="shared" si="28"/>
        <v>5.5923422194780591E-3</v>
      </c>
      <c r="K485">
        <f t="shared" si="28"/>
        <v>-2.4763143123133369E-3</v>
      </c>
      <c r="L485">
        <f t="shared" si="27"/>
        <v>-3.9041020158865009E-3</v>
      </c>
      <c r="M485">
        <f t="shared" si="27"/>
        <v>-7.5248972572886435E-3</v>
      </c>
      <c r="N485">
        <f t="shared" si="27"/>
        <v>8.6862230230853633E-3</v>
      </c>
      <c r="O485">
        <f t="shared" si="25"/>
        <v>-2.9682843142792522E-3</v>
      </c>
    </row>
    <row r="486" spans="1:15" x14ac:dyDescent="0.35">
      <c r="A486" s="2">
        <v>45637</v>
      </c>
      <c r="B486">
        <v>245.3802185058594</v>
      </c>
      <c r="C486">
        <v>989.52655029296875</v>
      </c>
      <c r="D486">
        <v>142.2845764160156</v>
      </c>
      <c r="E486">
        <v>237.41070556640619</v>
      </c>
      <c r="F486">
        <v>71.742118835449219</v>
      </c>
      <c r="G486">
        <v>166.23797607421881</v>
      </c>
      <c r="H486">
        <v>6084.18994140625</v>
      </c>
      <c r="I486">
        <f t="shared" si="28"/>
        <v>-5.1793853938362118E-3</v>
      </c>
      <c r="J486">
        <f t="shared" si="28"/>
        <v>1.2978117738267696E-3</v>
      </c>
      <c r="K486">
        <f t="shared" si="28"/>
        <v>-1.7508055824614253E-2</v>
      </c>
      <c r="L486">
        <f t="shared" si="27"/>
        <v>2.7550702800490596E-3</v>
      </c>
      <c r="M486">
        <f t="shared" si="27"/>
        <v>-2.1603969458212969E-3</v>
      </c>
      <c r="N486">
        <f t="shared" si="27"/>
        <v>-9.6234983144586877E-3</v>
      </c>
      <c r="O486">
        <f t="shared" si="25"/>
        <v>8.1326264113682351E-3</v>
      </c>
    </row>
    <row r="487" spans="1:15" x14ac:dyDescent="0.35">
      <c r="A487" s="2">
        <v>45638</v>
      </c>
      <c r="B487">
        <v>246.8435974121094</v>
      </c>
      <c r="C487">
        <v>983.25927734375</v>
      </c>
      <c r="D487">
        <v>141.8964538574219</v>
      </c>
      <c r="E487">
        <v>235.4609375</v>
      </c>
      <c r="F487">
        <v>71.005111694335938</v>
      </c>
      <c r="G487">
        <v>166.45233154296881</v>
      </c>
      <c r="H487">
        <v>6051.25</v>
      </c>
      <c r="I487">
        <f t="shared" si="28"/>
        <v>5.9460073665833771E-3</v>
      </c>
      <c r="J487">
        <f t="shared" si="28"/>
        <v>-6.3537500580447539E-3</v>
      </c>
      <c r="K487">
        <f t="shared" si="28"/>
        <v>-2.7315180013358568E-3</v>
      </c>
      <c r="L487">
        <f t="shared" si="27"/>
        <v>-8.2465470051681661E-3</v>
      </c>
      <c r="M487">
        <f t="shared" si="27"/>
        <v>-1.0326136447387448E-2</v>
      </c>
      <c r="N487">
        <f t="shared" si="27"/>
        <v>1.2886188356215822E-3</v>
      </c>
      <c r="O487">
        <f t="shared" si="25"/>
        <v>-5.4287314614632513E-3</v>
      </c>
    </row>
    <row r="488" spans="1:15" x14ac:dyDescent="0.35">
      <c r="A488" s="2">
        <v>45639</v>
      </c>
      <c r="B488">
        <v>247.0128173828125</v>
      </c>
      <c r="C488">
        <v>984.2142333984375</v>
      </c>
      <c r="D488">
        <v>142.2651672363281</v>
      </c>
      <c r="E488">
        <v>233.91090393066409</v>
      </c>
      <c r="F488">
        <v>71.39300537109375</v>
      </c>
      <c r="G488">
        <v>166.6568908691406</v>
      </c>
      <c r="H488">
        <v>6051.08984375</v>
      </c>
      <c r="I488">
        <f t="shared" si="28"/>
        <v>6.8530031100658834E-4</v>
      </c>
      <c r="J488">
        <f t="shared" si="28"/>
        <v>9.7074356982698902E-4</v>
      </c>
      <c r="K488">
        <f t="shared" si="28"/>
        <v>2.5950977082196442E-3</v>
      </c>
      <c r="L488">
        <f t="shared" si="27"/>
        <v>-6.6047387900892741E-3</v>
      </c>
      <c r="M488">
        <f t="shared" si="27"/>
        <v>5.4480304118478019E-3</v>
      </c>
      <c r="N488">
        <f t="shared" si="27"/>
        <v>1.2281818582156002E-3</v>
      </c>
      <c r="O488">
        <f t="shared" si="25"/>
        <v>-2.6466989371873972E-5</v>
      </c>
    </row>
    <row r="489" spans="1:15" x14ac:dyDescent="0.35">
      <c r="A489" s="2">
        <v>45642</v>
      </c>
      <c r="B489">
        <v>249.90971374511719</v>
      </c>
      <c r="C489">
        <v>987.7159423828125</v>
      </c>
      <c r="D489">
        <v>139.57743835449219</v>
      </c>
      <c r="E489">
        <v>233.55995178222659</v>
      </c>
      <c r="F489">
        <v>70.588104248046875</v>
      </c>
      <c r="G489">
        <v>166.7348327636719</v>
      </c>
      <c r="H489">
        <v>6074.080078125</v>
      </c>
      <c r="I489">
        <f t="shared" si="28"/>
        <v>1.1659480094418573E-2</v>
      </c>
      <c r="J489">
        <f t="shared" si="28"/>
        <v>3.551558476192586E-3</v>
      </c>
      <c r="K489">
        <f t="shared" si="28"/>
        <v>-1.9073130232889781E-2</v>
      </c>
      <c r="L489">
        <f t="shared" si="27"/>
        <v>-1.5014934517657414E-3</v>
      </c>
      <c r="M489">
        <f t="shared" si="27"/>
        <v>-1.1338265324320281E-2</v>
      </c>
      <c r="N489">
        <f t="shared" si="27"/>
        <v>4.6756947114346488E-4</v>
      </c>
      <c r="O489">
        <f t="shared" si="25"/>
        <v>3.7921550087844295E-3</v>
      </c>
    </row>
    <row r="490" spans="1:15" x14ac:dyDescent="0.35">
      <c r="A490" s="2">
        <v>45643</v>
      </c>
      <c r="B490">
        <v>252.33872985839841</v>
      </c>
      <c r="C490">
        <v>976.98199462890625</v>
      </c>
      <c r="D490">
        <v>142.0614013671875</v>
      </c>
      <c r="E490">
        <v>232.37059020996091</v>
      </c>
      <c r="F490">
        <v>70.083831787109375</v>
      </c>
      <c r="G490">
        <v>165.94569396972659</v>
      </c>
      <c r="H490">
        <v>6050.60986328125</v>
      </c>
      <c r="I490">
        <f t="shared" si="28"/>
        <v>9.6726434194961547E-3</v>
      </c>
      <c r="J490">
        <f t="shared" si="28"/>
        <v>-1.0926926070635438E-2</v>
      </c>
      <c r="K490">
        <f t="shared" si="28"/>
        <v>1.7639807240765859E-2</v>
      </c>
      <c r="L490">
        <f t="shared" si="27"/>
        <v>-5.1053281483104075E-3</v>
      </c>
      <c r="M490">
        <f t="shared" si="27"/>
        <v>-7.169512771290321E-3</v>
      </c>
      <c r="N490">
        <f t="shared" si="27"/>
        <v>-4.7441326474706551E-3</v>
      </c>
      <c r="O490">
        <f t="shared" si="27"/>
        <v>-3.8714794806554956E-3</v>
      </c>
    </row>
    <row r="491" spans="1:15" x14ac:dyDescent="0.35">
      <c r="A491" s="2">
        <v>45644</v>
      </c>
      <c r="B491">
        <v>246.93318176269531</v>
      </c>
      <c r="C491">
        <v>959.73199462890625</v>
      </c>
      <c r="D491">
        <v>140.45069885253909</v>
      </c>
      <c r="E491">
        <v>224.58135986328119</v>
      </c>
      <c r="F491">
        <v>68.38677978515625</v>
      </c>
      <c r="G491">
        <v>164.7278747558594</v>
      </c>
      <c r="H491">
        <v>5872.16015625</v>
      </c>
      <c r="I491">
        <f t="shared" si="28"/>
        <v>-2.1654570181951178E-2</v>
      </c>
      <c r="J491">
        <f t="shared" si="28"/>
        <v>-1.7814149404767336E-2</v>
      </c>
      <c r="K491">
        <f t="shared" si="28"/>
        <v>-1.1402838787823943E-2</v>
      </c>
      <c r="L491">
        <f t="shared" si="27"/>
        <v>-3.4095422554160253E-2</v>
      </c>
      <c r="M491">
        <f t="shared" si="27"/>
        <v>-2.4512594507745001E-2</v>
      </c>
      <c r="N491">
        <f t="shared" si="27"/>
        <v>-7.3657215755377654E-3</v>
      </c>
      <c r="O491">
        <f t="shared" si="27"/>
        <v>-2.993650530451818E-2</v>
      </c>
    </row>
    <row r="492" spans="1:15" x14ac:dyDescent="0.35">
      <c r="A492" s="2">
        <v>45645</v>
      </c>
      <c r="B492">
        <v>248.66532897949219</v>
      </c>
      <c r="C492">
        <v>949.843505859375</v>
      </c>
      <c r="D492">
        <v>139.3154602050781</v>
      </c>
      <c r="E492">
        <v>227.10630798339841</v>
      </c>
      <c r="F492">
        <v>67.659469604492188</v>
      </c>
      <c r="G492">
        <v>164.83503723144531</v>
      </c>
      <c r="H492">
        <v>5867.080078125</v>
      </c>
      <c r="I492">
        <f t="shared" si="28"/>
        <v>6.9901512304499846E-3</v>
      </c>
      <c r="J492">
        <f t="shared" si="28"/>
        <v>-1.0356832873839315E-2</v>
      </c>
      <c r="K492">
        <f t="shared" si="28"/>
        <v>-8.1156697595860285E-3</v>
      </c>
      <c r="L492">
        <f t="shared" si="27"/>
        <v>1.1180178696860157E-2</v>
      </c>
      <c r="M492">
        <f t="shared" si="27"/>
        <v>-1.0692203760864424E-2</v>
      </c>
      <c r="N492">
        <f t="shared" si="27"/>
        <v>6.5033094116424069E-4</v>
      </c>
      <c r="O492">
        <f t="shared" si="27"/>
        <v>-8.6548675053679336E-4</v>
      </c>
    </row>
    <row r="493" spans="1:15" x14ac:dyDescent="0.35">
      <c r="A493" s="2">
        <v>45646</v>
      </c>
      <c r="B493">
        <v>253.34417724609381</v>
      </c>
      <c r="C493">
        <v>949.11737060546875</v>
      </c>
      <c r="D493">
        <v>140.17903137207031</v>
      </c>
      <c r="E493">
        <v>231.62971496582031</v>
      </c>
      <c r="F493">
        <v>69.501998901367188</v>
      </c>
      <c r="G493">
        <v>163.734130859375</v>
      </c>
      <c r="H493">
        <v>5930.85009765625</v>
      </c>
      <c r="I493">
        <f t="shared" si="28"/>
        <v>1.8641016532811541E-2</v>
      </c>
      <c r="J493">
        <f t="shared" si="28"/>
        <v>-7.6477119491746121E-4</v>
      </c>
      <c r="K493">
        <f t="shared" si="28"/>
        <v>6.1795415730567646E-3</v>
      </c>
      <c r="L493">
        <f t="shared" si="27"/>
        <v>1.9721815467293589E-2</v>
      </c>
      <c r="M493">
        <f t="shared" si="27"/>
        <v>2.6868189135652965E-2</v>
      </c>
      <c r="N493">
        <f t="shared" si="27"/>
        <v>-6.701240401200367E-3</v>
      </c>
      <c r="O493">
        <f t="shared" si="27"/>
        <v>1.0810479402397299E-2</v>
      </c>
    </row>
    <row r="494" spans="1:15" x14ac:dyDescent="0.35">
      <c r="A494" s="2">
        <v>45649</v>
      </c>
      <c r="B494">
        <v>254.12068176269531</v>
      </c>
      <c r="C494">
        <v>944.97894287109375</v>
      </c>
      <c r="D494">
        <v>140.95526123046881</v>
      </c>
      <c r="E494">
        <v>232.39985656738281</v>
      </c>
      <c r="F494">
        <v>70.297187805175781</v>
      </c>
      <c r="G494">
        <v>163.7828369140625</v>
      </c>
      <c r="H494">
        <v>5974.06982421875</v>
      </c>
      <c r="I494">
        <f t="shared" si="28"/>
        <v>3.0603306173970337E-3</v>
      </c>
      <c r="J494">
        <f t="shared" si="28"/>
        <v>-4.3698245863502466E-3</v>
      </c>
      <c r="K494">
        <f t="shared" si="28"/>
        <v>5.522142629737407E-3</v>
      </c>
      <c r="L494">
        <f t="shared" si="27"/>
        <v>3.3193673676826666E-3</v>
      </c>
      <c r="M494">
        <f t="shared" si="27"/>
        <v>1.1376281917258134E-2</v>
      </c>
      <c r="N494">
        <f t="shared" si="27"/>
        <v>2.9742614788886895E-4</v>
      </c>
      <c r="O494">
        <f t="shared" si="27"/>
        <v>7.260849585616372E-3</v>
      </c>
    </row>
    <row r="495" spans="1:15" x14ac:dyDescent="0.35">
      <c r="A495" s="2">
        <v>45650</v>
      </c>
      <c r="B495">
        <v>257.0374755859375</v>
      </c>
      <c r="C495">
        <v>953.84271240234375</v>
      </c>
      <c r="D495">
        <v>141.51802062988281</v>
      </c>
      <c r="E495">
        <v>236.22132873535159</v>
      </c>
      <c r="F495">
        <v>70.704483032226563</v>
      </c>
      <c r="G495">
        <v>164.59147644042969</v>
      </c>
      <c r="H495">
        <v>6040.0400390625</v>
      </c>
      <c r="I495">
        <f t="shared" si="28"/>
        <v>1.1412614432788477E-2</v>
      </c>
      <c r="J495">
        <f t="shared" si="28"/>
        <v>9.3361415904090091E-3</v>
      </c>
      <c r="K495">
        <f t="shared" si="28"/>
        <v>3.9845194579588095E-3</v>
      </c>
      <c r="L495">
        <f t="shared" si="27"/>
        <v>1.6309791361156564E-2</v>
      </c>
      <c r="M495">
        <f t="shared" si="27"/>
        <v>5.7771848723557739E-3</v>
      </c>
      <c r="N495">
        <f t="shared" si="27"/>
        <v>4.9251182450243194E-3</v>
      </c>
      <c r="O495">
        <f t="shared" si="27"/>
        <v>1.0982233165126825E-2</v>
      </c>
    </row>
    <row r="496" spans="1:15" x14ac:dyDescent="0.35">
      <c r="A496" s="2">
        <v>45652</v>
      </c>
      <c r="B496">
        <v>257.853759765625</v>
      </c>
      <c r="C496">
        <v>951.17657470703125</v>
      </c>
      <c r="D496">
        <v>141.25605773925781</v>
      </c>
      <c r="E496">
        <v>237.03050231933591</v>
      </c>
      <c r="F496">
        <v>70.180824279785156</v>
      </c>
      <c r="G496">
        <v>165.78007507324219</v>
      </c>
      <c r="H496">
        <v>6037.58984375</v>
      </c>
      <c r="I496">
        <f t="shared" si="28"/>
        <v>3.1707079379532798E-3</v>
      </c>
      <c r="J496">
        <f t="shared" si="28"/>
        <v>-2.7990681816930461E-3</v>
      </c>
      <c r="K496">
        <f t="shared" si="28"/>
        <v>-1.8528074926582752E-3</v>
      </c>
      <c r="L496">
        <f t="shared" si="27"/>
        <v>3.4196354643327596E-3</v>
      </c>
      <c r="M496">
        <f t="shared" si="27"/>
        <v>-7.4338648079233178E-3</v>
      </c>
      <c r="N496">
        <f t="shared" si="27"/>
        <v>7.1955575822068045E-3</v>
      </c>
      <c r="O496">
        <f t="shared" si="27"/>
        <v>-4.0574108825781912E-4</v>
      </c>
    </row>
    <row r="497" spans="1:15" x14ac:dyDescent="0.35">
      <c r="A497" s="2">
        <v>45653</v>
      </c>
      <c r="B497">
        <v>254.439208984375</v>
      </c>
      <c r="C497">
        <v>934.82196044921875</v>
      </c>
      <c r="D497">
        <v>140.7417907714844</v>
      </c>
      <c r="E497">
        <v>235.1099853515625</v>
      </c>
      <c r="F497">
        <v>69.928688049316406</v>
      </c>
      <c r="G497">
        <v>165.1662902832031</v>
      </c>
      <c r="H497">
        <v>5970.83984375</v>
      </c>
      <c r="I497">
        <f t="shared" si="28"/>
        <v>-1.3330658646657596E-2</v>
      </c>
      <c r="J497">
        <f t="shared" si="28"/>
        <v>-1.7343623452818153E-2</v>
      </c>
      <c r="K497">
        <f t="shared" si="28"/>
        <v>-3.6473153294826906E-3</v>
      </c>
      <c r="L497">
        <f t="shared" si="27"/>
        <v>-8.1354071948506294E-3</v>
      </c>
      <c r="M497">
        <f t="shared" si="27"/>
        <v>-3.5991346833423518E-3</v>
      </c>
      <c r="N497">
        <f t="shared" si="27"/>
        <v>-3.7092747226209568E-3</v>
      </c>
      <c r="O497">
        <f t="shared" si="27"/>
        <v>-1.1117304964912211E-2</v>
      </c>
    </row>
    <row r="498" spans="1:15" x14ac:dyDescent="0.35">
      <c r="A498" s="2">
        <v>45656</v>
      </c>
      <c r="B498">
        <v>251.0644836425781</v>
      </c>
      <c r="C498">
        <v>917.42279052734375</v>
      </c>
      <c r="D498">
        <v>139.08258056640619</v>
      </c>
      <c r="E498">
        <v>233.3064880371094</v>
      </c>
      <c r="F498">
        <v>69.589279174804688</v>
      </c>
      <c r="G498">
        <v>162.7890930175781</v>
      </c>
      <c r="H498">
        <v>5906.93994140625</v>
      </c>
      <c r="I498">
        <f t="shared" si="28"/>
        <v>-1.3352129877046667E-2</v>
      </c>
      <c r="J498">
        <f t="shared" si="28"/>
        <v>-1.8787670151335079E-2</v>
      </c>
      <c r="K498">
        <f t="shared" si="28"/>
        <v>-1.1859078912479488E-2</v>
      </c>
      <c r="L498">
        <f t="shared" si="27"/>
        <v>-7.700438941409397E-3</v>
      </c>
      <c r="M498">
        <f t="shared" si="27"/>
        <v>-4.8654599952224148E-3</v>
      </c>
      <c r="N498">
        <f t="shared" si="27"/>
        <v>-1.449733117169332E-2</v>
      </c>
      <c r="O498">
        <f t="shared" si="27"/>
        <v>-1.0759673941729728E-2</v>
      </c>
    </row>
    <row r="499" spans="1:15" x14ac:dyDescent="0.35">
      <c r="A499" s="2">
        <v>45657</v>
      </c>
      <c r="B499">
        <v>249.2925109863281</v>
      </c>
      <c r="C499">
        <v>911.51361083984375</v>
      </c>
      <c r="D499">
        <v>140.32456970214841</v>
      </c>
      <c r="E499">
        <v>233.68669128417969</v>
      </c>
      <c r="F499">
        <v>69.521385192871094</v>
      </c>
      <c r="G499">
        <v>163.3346862792969</v>
      </c>
      <c r="H499">
        <v>5881.6298828125</v>
      </c>
      <c r="I499">
        <f t="shared" si="28"/>
        <v>-7.0828631682468583E-3</v>
      </c>
      <c r="J499">
        <f t="shared" si="28"/>
        <v>-6.461898013628036E-3</v>
      </c>
      <c r="K499">
        <f t="shared" si="28"/>
        <v>8.8902328713994505E-3</v>
      </c>
      <c r="L499">
        <f t="shared" si="27"/>
        <v>1.6283035723472059E-3</v>
      </c>
      <c r="M499">
        <f t="shared" si="27"/>
        <v>-9.7611477355794018E-4</v>
      </c>
      <c r="N499">
        <f t="shared" si="27"/>
        <v>3.3459306273189338E-3</v>
      </c>
      <c r="O499">
        <f t="shared" si="27"/>
        <v>-4.2940064589823065E-3</v>
      </c>
    </row>
    <row r="500" spans="1:15" x14ac:dyDescent="0.35">
      <c r="A500" s="2">
        <v>45659</v>
      </c>
      <c r="B500">
        <v>242.7521057128906</v>
      </c>
      <c r="C500">
        <v>905.087158203125</v>
      </c>
      <c r="D500">
        <v>139.74238586425781</v>
      </c>
      <c r="E500">
        <v>233.9693908691406</v>
      </c>
      <c r="F500">
        <v>69.443809509277344</v>
      </c>
      <c r="G500">
        <v>161.70765686035159</v>
      </c>
      <c r="H500">
        <v>5868.5498046875</v>
      </c>
      <c r="I500">
        <f t="shared" si="28"/>
        <v>-2.6586168367893813E-2</v>
      </c>
      <c r="J500">
        <f t="shared" si="28"/>
        <v>-7.0752798908901189E-3</v>
      </c>
      <c r="K500">
        <f t="shared" si="28"/>
        <v>-4.1574678117800093E-3</v>
      </c>
      <c r="L500">
        <f t="shared" si="27"/>
        <v>1.2090064908139222E-3</v>
      </c>
      <c r="M500">
        <f t="shared" si="27"/>
        <v>-1.1164765654929376E-3</v>
      </c>
      <c r="N500">
        <f t="shared" si="27"/>
        <v>-1.0011268023470866E-2</v>
      </c>
      <c r="O500">
        <f t="shared" si="27"/>
        <v>-2.2263631494489921E-3</v>
      </c>
    </row>
    <row r="501" spans="1:15" x14ac:dyDescent="0.35">
      <c r="A501" s="2">
        <v>45660</v>
      </c>
      <c r="B501">
        <v>242.26429748535159</v>
      </c>
      <c r="C501">
        <v>911.822021484375</v>
      </c>
      <c r="D501">
        <v>139.9073486328125</v>
      </c>
      <c r="E501">
        <v>237.16697692871091</v>
      </c>
      <c r="F501">
        <v>69.81231689453125</v>
      </c>
      <c r="G501">
        <v>160.8795471191406</v>
      </c>
      <c r="H501">
        <v>5942.47021484375</v>
      </c>
      <c r="I501">
        <f t="shared" si="28"/>
        <v>-2.0115129665821828E-3</v>
      </c>
      <c r="J501">
        <f t="shared" si="28"/>
        <v>7.4135726791240896E-3</v>
      </c>
      <c r="K501">
        <f t="shared" si="28"/>
        <v>1.1797814718861519E-3</v>
      </c>
      <c r="L501">
        <f t="shared" si="27"/>
        <v>1.3574138513497586E-2</v>
      </c>
      <c r="M501">
        <f t="shared" si="27"/>
        <v>5.2925247161864971E-3</v>
      </c>
      <c r="N501">
        <f t="shared" si="27"/>
        <v>-5.1341872837309703E-3</v>
      </c>
      <c r="O501">
        <f t="shared" si="27"/>
        <v>1.251735670782609E-2</v>
      </c>
    </row>
    <row r="502" spans="1:15" x14ac:dyDescent="0.35">
      <c r="A502" s="2">
        <v>45663</v>
      </c>
      <c r="B502">
        <v>243.89691162109381</v>
      </c>
      <c r="C502">
        <v>917.920166015625</v>
      </c>
      <c r="D502">
        <v>139.39308166503909</v>
      </c>
      <c r="E502">
        <v>236.01068115234381</v>
      </c>
      <c r="F502">
        <v>69.084999084472656</v>
      </c>
      <c r="G502">
        <v>156.46614074707031</v>
      </c>
      <c r="H502">
        <v>5975.3798828125</v>
      </c>
      <c r="I502">
        <f t="shared" si="28"/>
        <v>6.7163740848988299E-3</v>
      </c>
      <c r="J502">
        <f t="shared" si="28"/>
        <v>6.6656025656557892E-3</v>
      </c>
      <c r="K502">
        <f t="shared" si="28"/>
        <v>-3.682540326871753E-3</v>
      </c>
      <c r="L502">
        <f t="shared" si="27"/>
        <v>-4.887373941969665E-3</v>
      </c>
      <c r="M502">
        <f t="shared" si="27"/>
        <v>-1.0472836751718629E-2</v>
      </c>
      <c r="N502">
        <f t="shared" si="27"/>
        <v>-2.7816296919042423E-2</v>
      </c>
      <c r="O502">
        <f t="shared" si="27"/>
        <v>5.5227664968181709E-3</v>
      </c>
    </row>
    <row r="503" spans="1:15" x14ac:dyDescent="0.35">
      <c r="A503" s="2">
        <v>45664</v>
      </c>
      <c r="B503">
        <v>241.1194763183594</v>
      </c>
      <c r="C503">
        <v>916.58709716796875</v>
      </c>
      <c r="D503">
        <v>141.88673400878909</v>
      </c>
      <c r="E503">
        <v>238.2840576171875</v>
      </c>
      <c r="F503">
        <v>68.29949951171875</v>
      </c>
      <c r="G503">
        <v>157.14813232421881</v>
      </c>
      <c r="H503">
        <v>5909.02978515625</v>
      </c>
      <c r="I503">
        <f t="shared" si="28"/>
        <v>-1.1453079657173515E-2</v>
      </c>
      <c r="J503">
        <f t="shared" si="28"/>
        <v>-1.4533265788008658E-3</v>
      </c>
      <c r="K503">
        <f t="shared" si="28"/>
        <v>1.7731223766309021E-2</v>
      </c>
      <c r="L503">
        <f t="shared" si="27"/>
        <v>9.5864182718066095E-3</v>
      </c>
      <c r="M503">
        <f t="shared" si="27"/>
        <v>-1.1435178499833026E-2</v>
      </c>
      <c r="N503">
        <f t="shared" si="27"/>
        <v>4.3492449850029615E-3</v>
      </c>
      <c r="O503">
        <f t="shared" si="27"/>
        <v>-1.1166021516637011E-2</v>
      </c>
    </row>
    <row r="504" spans="1:15" x14ac:dyDescent="0.35">
      <c r="A504" s="2">
        <v>45665</v>
      </c>
      <c r="B504">
        <v>241.6072692871094</v>
      </c>
      <c r="C504">
        <v>922.55596923828125</v>
      </c>
      <c r="D504">
        <v>138.04437255859381</v>
      </c>
      <c r="E504">
        <v>238.244873046875</v>
      </c>
      <c r="F504">
        <v>68.522552490234375</v>
      </c>
      <c r="G504">
        <v>157.92753601074219</v>
      </c>
      <c r="H504">
        <v>5918.25</v>
      </c>
      <c r="I504">
        <f t="shared" si="28"/>
        <v>2.0209907125273634E-3</v>
      </c>
      <c r="J504">
        <f t="shared" si="28"/>
        <v>6.4909501998526896E-3</v>
      </c>
      <c r="K504">
        <f t="shared" si="28"/>
        <v>-2.7453917731665455E-2</v>
      </c>
      <c r="L504">
        <f t="shared" si="27"/>
        <v>-1.6445830621953072E-4</v>
      </c>
      <c r="M504">
        <f t="shared" si="27"/>
        <v>3.2604857602110695E-3</v>
      </c>
      <c r="N504">
        <f t="shared" si="27"/>
        <v>4.9474164757035508E-3</v>
      </c>
      <c r="O504">
        <f t="shared" si="27"/>
        <v>1.5591440938312422E-3</v>
      </c>
    </row>
    <row r="505" spans="1:15" x14ac:dyDescent="0.35">
      <c r="A505" s="2">
        <v>45667</v>
      </c>
      <c r="B505">
        <v>235.7835998535156</v>
      </c>
      <c r="C505">
        <v>932.0762939453125</v>
      </c>
      <c r="D505">
        <v>137.84059143066409</v>
      </c>
      <c r="E505">
        <v>235.05036926269531</v>
      </c>
      <c r="F505">
        <v>65.341766357421875</v>
      </c>
      <c r="G505">
        <v>154.47865295410159</v>
      </c>
      <c r="H505">
        <v>5827.0400390625</v>
      </c>
      <c r="I505">
        <f t="shared" si="28"/>
        <v>-2.4399119120156982E-2</v>
      </c>
      <c r="J505">
        <f t="shared" si="28"/>
        <v>1.0266626456285614E-2</v>
      </c>
      <c r="K505">
        <f t="shared" si="28"/>
        <v>-1.4772908392241177E-3</v>
      </c>
      <c r="L505">
        <f t="shared" si="27"/>
        <v>-1.3499194621865742E-2</v>
      </c>
      <c r="M505">
        <f t="shared" si="27"/>
        <v>-4.7531485384808059E-2</v>
      </c>
      <c r="N505">
        <f t="shared" si="27"/>
        <v>-2.2080376769576863E-2</v>
      </c>
      <c r="O505">
        <f t="shared" si="27"/>
        <v>-1.5531637650233373E-2</v>
      </c>
    </row>
    <row r="506" spans="1:15" x14ac:dyDescent="0.35">
      <c r="A506" s="2">
        <v>45670</v>
      </c>
      <c r="B506">
        <v>233.3446350097656</v>
      </c>
      <c r="C506">
        <v>919.89984130859375</v>
      </c>
      <c r="D506">
        <v>140.17903137207031</v>
      </c>
      <c r="E506">
        <v>239.30317687988281</v>
      </c>
      <c r="F506">
        <v>64.934478759765625</v>
      </c>
      <c r="G506">
        <v>154.75144958496091</v>
      </c>
      <c r="H506">
        <v>5836.22021484375</v>
      </c>
      <c r="I506">
        <f t="shared" si="28"/>
        <v>-1.0397953638301479E-2</v>
      </c>
      <c r="J506">
        <f t="shared" si="28"/>
        <v>-1.3149875817864068E-2</v>
      </c>
      <c r="K506">
        <f t="shared" si="28"/>
        <v>1.6822518246870626E-2</v>
      </c>
      <c r="L506">
        <f t="shared" si="27"/>
        <v>1.7931442081299556E-2</v>
      </c>
      <c r="M506">
        <f t="shared" si="27"/>
        <v>-6.2526967098160734E-3</v>
      </c>
      <c r="N506">
        <f t="shared" si="27"/>
        <v>1.7643605805947673E-3</v>
      </c>
      <c r="O506">
        <f t="shared" si="27"/>
        <v>1.5742043780551176E-3</v>
      </c>
    </row>
    <row r="507" spans="1:15" x14ac:dyDescent="0.35">
      <c r="A507" s="2">
        <v>45671</v>
      </c>
      <c r="B507">
        <v>232.22969055175781</v>
      </c>
      <c r="C507">
        <v>912.4686279296875</v>
      </c>
      <c r="D507">
        <v>140.45069885253909</v>
      </c>
      <c r="E507">
        <v>242.49766540527341</v>
      </c>
      <c r="F507">
        <v>65.923622131347656</v>
      </c>
      <c r="G507">
        <v>155.6282653808594</v>
      </c>
      <c r="H507">
        <v>5842.91015625</v>
      </c>
      <c r="I507">
        <f t="shared" si="28"/>
        <v>-4.789553582225577E-3</v>
      </c>
      <c r="J507">
        <f t="shared" si="28"/>
        <v>-8.1110914590853261E-3</v>
      </c>
      <c r="K507">
        <f t="shared" si="28"/>
        <v>1.9361281865292416E-3</v>
      </c>
      <c r="L507">
        <f t="shared" si="27"/>
        <v>1.3260812589878507E-2</v>
      </c>
      <c r="M507">
        <f t="shared" si="27"/>
        <v>1.511808905034528E-2</v>
      </c>
      <c r="N507">
        <f t="shared" si="27"/>
        <v>5.6499705754430316E-3</v>
      </c>
      <c r="O507">
        <f t="shared" si="27"/>
        <v>1.145623334164268E-3</v>
      </c>
    </row>
    <row r="508" spans="1:15" x14ac:dyDescent="0.35">
      <c r="A508" s="2">
        <v>45672</v>
      </c>
      <c r="B508">
        <v>236.79901123046881</v>
      </c>
      <c r="C508">
        <v>918.7060546875</v>
      </c>
      <c r="D508">
        <v>140.66416931152341</v>
      </c>
      <c r="E508">
        <v>247.27961730957031</v>
      </c>
      <c r="F508">
        <v>67.193984985351563</v>
      </c>
      <c r="G508">
        <v>155.54058837890619</v>
      </c>
      <c r="H508">
        <v>5949.91015625</v>
      </c>
      <c r="I508">
        <f t="shared" si="28"/>
        <v>1.9484800077892047E-2</v>
      </c>
      <c r="J508">
        <f t="shared" si="28"/>
        <v>6.8125132358229975E-3</v>
      </c>
      <c r="K508">
        <f t="shared" si="28"/>
        <v>1.5187421527055359E-3</v>
      </c>
      <c r="L508">
        <f t="shared" si="27"/>
        <v>1.9527667086613562E-2</v>
      </c>
      <c r="M508">
        <f t="shared" si="27"/>
        <v>1.9086902903821989E-2</v>
      </c>
      <c r="N508">
        <f t="shared" si="27"/>
        <v>-5.635332920639265E-4</v>
      </c>
      <c r="O508">
        <f t="shared" si="27"/>
        <v>1.8147132504516373E-2</v>
      </c>
    </row>
    <row r="509" spans="1:15" x14ac:dyDescent="0.35">
      <c r="A509" s="2">
        <v>45673</v>
      </c>
      <c r="B509">
        <v>227.23228454589841</v>
      </c>
      <c r="C509">
        <v>914.97552490234375</v>
      </c>
      <c r="D509">
        <v>143.38102722167969</v>
      </c>
      <c r="E509">
        <v>249.1610412597656</v>
      </c>
      <c r="F509">
        <v>69.211067199707031</v>
      </c>
      <c r="G509">
        <v>156.36872863769531</v>
      </c>
      <c r="H509">
        <v>5937.33984375</v>
      </c>
      <c r="I509">
        <f t="shared" si="28"/>
        <v>-4.1238953228875275E-2</v>
      </c>
      <c r="J509">
        <f t="shared" si="28"/>
        <v>-4.0689015732649153E-3</v>
      </c>
      <c r="K509">
        <f t="shared" si="28"/>
        <v>1.913034122861744E-2</v>
      </c>
      <c r="L509">
        <f t="shared" si="27"/>
        <v>7.5796892349254182E-3</v>
      </c>
      <c r="M509">
        <f t="shared" si="27"/>
        <v>2.9577046091321401E-2</v>
      </c>
      <c r="N509">
        <f t="shared" si="27"/>
        <v>5.3101472740715774E-3</v>
      </c>
      <c r="O509">
        <f t="shared" si="27"/>
        <v>-2.1149243408667613E-3</v>
      </c>
    </row>
    <row r="510" spans="1:15" x14ac:dyDescent="0.35">
      <c r="A510" s="2">
        <v>45674</v>
      </c>
      <c r="B510">
        <v>228.94453430175781</v>
      </c>
      <c r="C510">
        <v>938.2938232421875</v>
      </c>
      <c r="D510">
        <v>142.6629943847656</v>
      </c>
      <c r="E510">
        <v>253.9527893066406</v>
      </c>
      <c r="F510">
        <v>68.619529724121094</v>
      </c>
      <c r="G510">
        <v>156.98249816894531</v>
      </c>
      <c r="H510">
        <v>5996.66015625</v>
      </c>
      <c r="I510">
        <f t="shared" si="28"/>
        <v>7.506991702556455E-3</v>
      </c>
      <c r="J510">
        <f t="shared" si="28"/>
        <v>2.5165828172939088E-2</v>
      </c>
      <c r="K510">
        <f t="shared" si="28"/>
        <v>-5.0204464406703618E-3</v>
      </c>
      <c r="L510">
        <f t="shared" si="27"/>
        <v>1.9048941413297316E-2</v>
      </c>
      <c r="M510">
        <f t="shared" si="27"/>
        <v>-8.5835963963235961E-3</v>
      </c>
      <c r="N510">
        <f t="shared" si="27"/>
        <v>3.9174591555842268E-3</v>
      </c>
      <c r="O510">
        <f t="shared" si="27"/>
        <v>9.9414783083940327E-3</v>
      </c>
    </row>
    <row r="511" spans="1:15" x14ac:dyDescent="0.35">
      <c r="A511" s="2">
        <v>45678</v>
      </c>
      <c r="B511">
        <v>221.6375732421875</v>
      </c>
      <c r="C511">
        <v>942.81024169921875</v>
      </c>
      <c r="D511">
        <v>143.74971008300781</v>
      </c>
      <c r="E511">
        <v>257.74502563476563</v>
      </c>
      <c r="F511">
        <v>68.706794738769531</v>
      </c>
      <c r="G511">
        <v>157.55731201171881</v>
      </c>
      <c r="H511">
        <v>6049.240234375</v>
      </c>
      <c r="I511">
        <f t="shared" si="28"/>
        <v>-3.2436271085390274E-2</v>
      </c>
      <c r="J511">
        <f t="shared" si="28"/>
        <v>4.8018897195049081E-3</v>
      </c>
      <c r="K511">
        <f t="shared" si="28"/>
        <v>7.588496572866317E-3</v>
      </c>
      <c r="L511">
        <f t="shared" si="27"/>
        <v>1.4822442653387783E-2</v>
      </c>
      <c r="M511">
        <f t="shared" si="27"/>
        <v>1.2709147606738782E-3</v>
      </c>
      <c r="N511">
        <f t="shared" si="27"/>
        <v>3.6549553605966958E-3</v>
      </c>
      <c r="O511">
        <f t="shared" si="27"/>
        <v>8.7300094405960496E-3</v>
      </c>
    </row>
    <row r="512" spans="1:15" x14ac:dyDescent="0.35">
      <c r="A512" s="2">
        <v>45679</v>
      </c>
      <c r="B512">
        <v>222.82221984863281</v>
      </c>
      <c r="C512">
        <v>939.7960205078125</v>
      </c>
      <c r="D512">
        <v>140.95526123046881</v>
      </c>
      <c r="E512">
        <v>257.558837890625</v>
      </c>
      <c r="F512">
        <v>66.418190002441406</v>
      </c>
      <c r="G512">
        <v>160.49957275390619</v>
      </c>
      <c r="H512">
        <v>6086.3701171875</v>
      </c>
      <c r="I512">
        <f t="shared" si="28"/>
        <v>5.3307382587974668E-3</v>
      </c>
      <c r="J512">
        <f t="shared" si="28"/>
        <v>-3.2021818131171614E-3</v>
      </c>
      <c r="K512">
        <f t="shared" si="28"/>
        <v>-1.9631119070310871E-2</v>
      </c>
      <c r="L512">
        <f t="shared" si="27"/>
        <v>-7.2263285964552367E-4</v>
      </c>
      <c r="M512">
        <f t="shared" si="27"/>
        <v>-3.3877134046054309E-2</v>
      </c>
      <c r="N512">
        <f t="shared" si="27"/>
        <v>1.8502002733094127E-2</v>
      </c>
      <c r="O512">
        <f t="shared" si="27"/>
        <v>6.1191810869941294E-3</v>
      </c>
    </row>
    <row r="513" spans="1:15" x14ac:dyDescent="0.35">
      <c r="A513" s="2">
        <v>45680</v>
      </c>
      <c r="B513">
        <v>222.65301513671881</v>
      </c>
      <c r="C513">
        <v>937.26922607421875</v>
      </c>
      <c r="D513">
        <v>142.2845764160156</v>
      </c>
      <c r="E513">
        <v>260.60638427734381</v>
      </c>
      <c r="F513">
        <v>67.135810852050781</v>
      </c>
      <c r="G513">
        <v>161.8732604980469</v>
      </c>
      <c r="H513">
        <v>6118.7099609375</v>
      </c>
      <c r="I513">
        <f t="shared" si="28"/>
        <v>-7.5965937840136394E-4</v>
      </c>
      <c r="J513">
        <f t="shared" si="28"/>
        <v>-2.692283568150637E-3</v>
      </c>
      <c r="K513">
        <f t="shared" si="28"/>
        <v>9.3865676298560703E-3</v>
      </c>
      <c r="L513">
        <f t="shared" si="27"/>
        <v>1.1762972103780533E-2</v>
      </c>
      <c r="M513">
        <f t="shared" si="27"/>
        <v>1.0746630599030067E-2</v>
      </c>
      <c r="N513">
        <f t="shared" si="27"/>
        <v>8.5224058409569241E-3</v>
      </c>
      <c r="O513">
        <f t="shared" si="27"/>
        <v>5.2994194595293717E-3</v>
      </c>
    </row>
    <row r="514" spans="1:15" x14ac:dyDescent="0.35">
      <c r="A514" s="2">
        <v>45681</v>
      </c>
      <c r="B514">
        <v>221.7769470214844</v>
      </c>
      <c r="C514">
        <v>934.80206298828125</v>
      </c>
      <c r="D514">
        <v>142.459228515625</v>
      </c>
      <c r="E514">
        <v>259.51864624023438</v>
      </c>
      <c r="F514">
        <v>70.626899719238281</v>
      </c>
      <c r="G514">
        <v>160.87054443359381</v>
      </c>
      <c r="H514">
        <v>6101.240234375</v>
      </c>
      <c r="I514">
        <f t="shared" si="28"/>
        <v>-3.9424400897496298E-3</v>
      </c>
      <c r="J514">
        <f t="shared" si="28"/>
        <v>-2.6357591494298015E-3</v>
      </c>
      <c r="K514">
        <f t="shared" si="28"/>
        <v>1.2267316688680566E-3</v>
      </c>
      <c r="L514">
        <f t="shared" si="27"/>
        <v>-4.1826082539674625E-3</v>
      </c>
      <c r="M514">
        <f t="shared" si="27"/>
        <v>5.0693492399307906E-2</v>
      </c>
      <c r="N514">
        <f t="shared" si="27"/>
        <v>-6.2137167337750548E-3</v>
      </c>
      <c r="O514">
        <f t="shared" si="27"/>
        <v>-2.8592159844677591E-3</v>
      </c>
    </row>
    <row r="515" spans="1:15" x14ac:dyDescent="0.35">
      <c r="A515" s="2">
        <v>45684</v>
      </c>
      <c r="B515">
        <v>228.82508850097659</v>
      </c>
      <c r="C515">
        <v>960.23931884765625</v>
      </c>
      <c r="D515">
        <v>148.34892272949219</v>
      </c>
      <c r="E515">
        <v>260.50839233398438</v>
      </c>
      <c r="F515">
        <v>71.596656799316406</v>
      </c>
      <c r="G515">
        <v>166.30085754394531</v>
      </c>
      <c r="H515">
        <v>6012.27978515625</v>
      </c>
      <c r="I515">
        <f t="shared" si="28"/>
        <v>3.1285772400412339E-2</v>
      </c>
      <c r="J515">
        <f t="shared" si="28"/>
        <v>2.6847734321579664E-2</v>
      </c>
      <c r="K515">
        <f t="shared" si="28"/>
        <v>4.0511241938597925E-2</v>
      </c>
      <c r="L515">
        <f t="shared" si="27"/>
        <v>3.8065224129491325E-3</v>
      </c>
      <c r="M515">
        <f t="shared" si="27"/>
        <v>1.3637292345159983E-2</v>
      </c>
      <c r="N515">
        <f t="shared" si="27"/>
        <v>3.3198573089519227E-2</v>
      </c>
      <c r="O515">
        <f t="shared" si="27"/>
        <v>-1.4688059032112328E-2</v>
      </c>
    </row>
    <row r="516" spans="1:15" x14ac:dyDescent="0.35">
      <c r="A516" s="2">
        <v>45685</v>
      </c>
      <c r="B516">
        <v>237.187255859375</v>
      </c>
      <c r="C516">
        <v>953.6934814453125</v>
      </c>
      <c r="D516">
        <v>145.9134826660156</v>
      </c>
      <c r="E516">
        <v>261.77243041992188</v>
      </c>
      <c r="F516">
        <v>68.406181335449219</v>
      </c>
      <c r="G516">
        <v>162.89955139160159</v>
      </c>
      <c r="H516">
        <v>6067.7001953125</v>
      </c>
      <c r="I516">
        <f t="shared" si="28"/>
        <v>3.5892032241055319E-2</v>
      </c>
      <c r="J516">
        <f t="shared" si="28"/>
        <v>-6.8402223149022796E-3</v>
      </c>
      <c r="K516">
        <f t="shared" si="28"/>
        <v>-1.6553223447164048E-2</v>
      </c>
      <c r="L516">
        <f t="shared" si="27"/>
        <v>4.8404632102502718E-3</v>
      </c>
      <c r="M516">
        <f t="shared" si="27"/>
        <v>-4.5585189182831734E-2</v>
      </c>
      <c r="N516">
        <f t="shared" si="27"/>
        <v>-2.0664781077854483E-2</v>
      </c>
      <c r="O516">
        <f t="shared" si="27"/>
        <v>9.1756441777168015E-3</v>
      </c>
    </row>
    <row r="517" spans="1:15" x14ac:dyDescent="0.35">
      <c r="A517" s="2">
        <v>45686</v>
      </c>
      <c r="B517">
        <v>238.28228759765619</v>
      </c>
      <c r="C517">
        <v>959.01580810546875</v>
      </c>
      <c r="D517">
        <v>146.6606140136719</v>
      </c>
      <c r="E517">
        <v>261.22366333007813</v>
      </c>
      <c r="F517">
        <v>68.745590209960938</v>
      </c>
      <c r="G517">
        <v>162.93876647949219</v>
      </c>
      <c r="H517">
        <v>6039.31005859375</v>
      </c>
      <c r="I517">
        <f t="shared" si="28"/>
        <v>4.6061149000702585E-3</v>
      </c>
      <c r="J517">
        <f t="shared" si="28"/>
        <v>5.5652371493047524E-3</v>
      </c>
      <c r="K517">
        <f t="shared" si="28"/>
        <v>5.1073077226309925E-3</v>
      </c>
      <c r="L517">
        <f t="shared" si="27"/>
        <v>-2.0985521605060308E-3</v>
      </c>
      <c r="M517">
        <f t="shared" si="27"/>
        <v>4.9494011422502341E-3</v>
      </c>
      <c r="N517">
        <f t="shared" si="27"/>
        <v>2.4070274077119609E-4</v>
      </c>
      <c r="O517">
        <f t="shared" si="27"/>
        <v>-4.6898760569196018E-3</v>
      </c>
    </row>
    <row r="518" spans="1:15" x14ac:dyDescent="0.35">
      <c r="A518" s="2">
        <v>45687</v>
      </c>
      <c r="B518">
        <v>236.52027893066409</v>
      </c>
      <c r="C518">
        <v>973.92791748046875</v>
      </c>
      <c r="D518">
        <v>148.32951354980469</v>
      </c>
      <c r="E518">
        <v>262.84054565429688</v>
      </c>
      <c r="F518">
        <v>69.1431884765625</v>
      </c>
      <c r="G518">
        <v>164.09539794921881</v>
      </c>
      <c r="H518">
        <v>6071.169921875</v>
      </c>
      <c r="I518">
        <f t="shared" si="28"/>
        <v>-7.4221029115561716E-3</v>
      </c>
      <c r="J518">
        <f t="shared" si="28"/>
        <v>1.5429735515452769E-2</v>
      </c>
      <c r="K518">
        <f t="shared" si="28"/>
        <v>1.1315072512881897E-2</v>
      </c>
      <c r="L518">
        <f t="shared" si="27"/>
        <v>6.1705700441088713E-3</v>
      </c>
      <c r="M518">
        <f t="shared" si="27"/>
        <v>5.766957577335822E-3</v>
      </c>
      <c r="N518">
        <f t="shared" si="27"/>
        <v>7.0734890609478688E-3</v>
      </c>
      <c r="O518">
        <f t="shared" si="27"/>
        <v>5.2615481521802376E-3</v>
      </c>
    </row>
    <row r="519" spans="1:15" x14ac:dyDescent="0.35">
      <c r="A519" s="2">
        <v>45688</v>
      </c>
      <c r="B519">
        <v>234.93742370605469</v>
      </c>
      <c r="C519">
        <v>974.79345703125</v>
      </c>
      <c r="D519">
        <v>147.63090515136719</v>
      </c>
      <c r="E519">
        <v>261.92922973632813</v>
      </c>
      <c r="F519">
        <v>69.395317077636719</v>
      </c>
      <c r="G519">
        <v>162.7035217285156</v>
      </c>
      <c r="H519">
        <v>6040.52978515625</v>
      </c>
      <c r="I519">
        <f t="shared" si="28"/>
        <v>-6.7147536801551106E-3</v>
      </c>
      <c r="J519">
        <f t="shared" si="28"/>
        <v>8.883154041607875E-4</v>
      </c>
      <c r="K519">
        <f t="shared" si="28"/>
        <v>-4.7209670740715227E-3</v>
      </c>
      <c r="L519">
        <f t="shared" si="27"/>
        <v>-3.4732062585075578E-3</v>
      </c>
      <c r="M519">
        <f t="shared" si="27"/>
        <v>3.6398383023467039E-3</v>
      </c>
      <c r="N519">
        <f t="shared" si="27"/>
        <v>-8.5182939921081453E-3</v>
      </c>
      <c r="O519">
        <f t="shared" si="27"/>
        <v>-5.0596039902671948E-3</v>
      </c>
    </row>
    <row r="520" spans="1:15" x14ac:dyDescent="0.35">
      <c r="A520" s="2">
        <v>45691</v>
      </c>
      <c r="B520">
        <v>226.9833984375</v>
      </c>
      <c r="C520">
        <v>1000.608764648438</v>
      </c>
      <c r="D520">
        <v>147.3592224121094</v>
      </c>
      <c r="E520">
        <v>261.4490966796875</v>
      </c>
      <c r="F520">
        <v>68.900749206542969</v>
      </c>
      <c r="G520">
        <v>165.4186706542969</v>
      </c>
      <c r="H520">
        <v>5994.56982421875</v>
      </c>
      <c r="I520">
        <f t="shared" si="28"/>
        <v>-3.4442316412519346E-2</v>
      </c>
      <c r="J520">
        <f t="shared" si="28"/>
        <v>2.6138248794042241E-2</v>
      </c>
      <c r="K520">
        <f t="shared" si="28"/>
        <v>-1.8419790405700557E-3</v>
      </c>
      <c r="L520">
        <f t="shared" si="27"/>
        <v>-1.834746175362458E-3</v>
      </c>
      <c r="M520">
        <f t="shared" si="27"/>
        <v>-7.1523361830831212E-3</v>
      </c>
      <c r="N520">
        <f t="shared" si="27"/>
        <v>1.6549998521035319E-2</v>
      </c>
      <c r="O520">
        <f t="shared" si="27"/>
        <v>-7.6376907294952029E-3</v>
      </c>
    </row>
    <row r="521" spans="1:15" x14ac:dyDescent="0.35">
      <c r="A521" s="2">
        <v>45692</v>
      </c>
      <c r="B521">
        <v>231.75184631347659</v>
      </c>
      <c r="C521">
        <v>1016.555480957031</v>
      </c>
      <c r="D521">
        <v>148.93110656738281</v>
      </c>
      <c r="E521">
        <v>262.55636596679688</v>
      </c>
      <c r="F521">
        <v>67.785545349121094</v>
      </c>
      <c r="G521">
        <v>164.80116271972659</v>
      </c>
      <c r="H521">
        <v>6037.8798828125</v>
      </c>
      <c r="I521">
        <f t="shared" si="28"/>
        <v>2.0790291076551649E-2</v>
      </c>
      <c r="J521">
        <f t="shared" si="28"/>
        <v>1.5811353551151625E-2</v>
      </c>
      <c r="K521">
        <f t="shared" si="28"/>
        <v>1.0610531285276722E-2</v>
      </c>
      <c r="L521">
        <f t="shared" si="27"/>
        <v>4.2261808858183132E-3</v>
      </c>
      <c r="M521">
        <f t="shared" si="27"/>
        <v>-1.6318075009220639E-2</v>
      </c>
      <c r="N521">
        <f t="shared" si="27"/>
        <v>-3.739985257959275E-3</v>
      </c>
      <c r="O521">
        <f t="shared" si="27"/>
        <v>7.1989074030291136E-3</v>
      </c>
    </row>
    <row r="522" spans="1:15" x14ac:dyDescent="0.35">
      <c r="A522" s="2">
        <v>45693</v>
      </c>
      <c r="B522">
        <v>231.42332458496091</v>
      </c>
      <c r="C522">
        <v>1037.466430664062</v>
      </c>
      <c r="D522">
        <v>150.095458984375</v>
      </c>
      <c r="E522">
        <v>264.996337890625</v>
      </c>
      <c r="F522">
        <v>67.106704711914063</v>
      </c>
      <c r="G522">
        <v>165.66371154785159</v>
      </c>
      <c r="H522">
        <v>6061.47998046875</v>
      </c>
      <c r="I522">
        <f t="shared" si="28"/>
        <v>-1.4185638792746195E-3</v>
      </c>
      <c r="J522">
        <f t="shared" si="28"/>
        <v>2.0361683635245618E-2</v>
      </c>
      <c r="K522">
        <f t="shared" si="28"/>
        <v>7.7876579255601363E-3</v>
      </c>
      <c r="L522">
        <f t="shared" si="27"/>
        <v>9.250220136485094E-3</v>
      </c>
      <c r="M522">
        <f t="shared" si="27"/>
        <v>-1.0065016599463452E-2</v>
      </c>
      <c r="N522">
        <f t="shared" si="27"/>
        <v>5.2202267414689293E-3</v>
      </c>
      <c r="O522">
        <f t="shared" si="27"/>
        <v>3.9010539156136138E-3</v>
      </c>
    </row>
    <row r="523" spans="1:15" x14ac:dyDescent="0.35">
      <c r="A523" s="2">
        <v>45694</v>
      </c>
      <c r="B523">
        <v>232.1699523925781</v>
      </c>
      <c r="C523">
        <v>1045.534301757812</v>
      </c>
      <c r="D523">
        <v>148.95051574707031</v>
      </c>
      <c r="E523">
        <v>271.33633422851563</v>
      </c>
      <c r="F523">
        <v>67.174598693847656</v>
      </c>
      <c r="G523">
        <v>165.53630065917969</v>
      </c>
      <c r="H523">
        <v>6083.56982421875</v>
      </c>
      <c r="I523">
        <f t="shared" si="28"/>
        <v>3.2210495286589275E-3</v>
      </c>
      <c r="J523">
        <f t="shared" si="28"/>
        <v>7.7464316861070538E-3</v>
      </c>
      <c r="K523">
        <f t="shared" si="28"/>
        <v>-7.6573432081623169E-3</v>
      </c>
      <c r="L523">
        <f t="shared" si="27"/>
        <v>2.3643130473450909E-2</v>
      </c>
      <c r="M523">
        <f t="shared" si="27"/>
        <v>1.0112202666659026E-3</v>
      </c>
      <c r="N523">
        <f t="shared" si="27"/>
        <v>-7.6938943394386911E-4</v>
      </c>
      <c r="O523">
        <f t="shared" si="27"/>
        <v>3.6376743552662661E-3</v>
      </c>
    </row>
    <row r="524" spans="1:15" x14ac:dyDescent="0.35">
      <c r="A524" s="2">
        <v>45695</v>
      </c>
      <c r="B524">
        <v>226.6051330566406</v>
      </c>
      <c r="C524">
        <v>1039.538940429688</v>
      </c>
      <c r="D524">
        <v>148.57208251953119</v>
      </c>
      <c r="E524">
        <v>270.25845336914063</v>
      </c>
      <c r="F524">
        <v>66.204841613769531</v>
      </c>
      <c r="G524">
        <v>164.64430236816409</v>
      </c>
      <c r="H524">
        <v>6025.990234375</v>
      </c>
      <c r="I524">
        <f t="shared" si="28"/>
        <v>-2.4260656058344453E-2</v>
      </c>
      <c r="J524">
        <f t="shared" si="28"/>
        <v>-5.7507599537954543E-3</v>
      </c>
      <c r="K524">
        <f t="shared" si="28"/>
        <v>-2.5438970607746373E-3</v>
      </c>
      <c r="L524">
        <f t="shared" si="27"/>
        <v>-3.9804012416047333E-3</v>
      </c>
      <c r="M524">
        <f t="shared" si="27"/>
        <v>-1.4541584015177248E-2</v>
      </c>
      <c r="N524">
        <f t="shared" si="27"/>
        <v>-5.4031063780632564E-3</v>
      </c>
      <c r="O524">
        <f t="shared" si="27"/>
        <v>-9.5098456936601999E-3</v>
      </c>
    </row>
    <row r="525" spans="1:15" x14ac:dyDescent="0.35">
      <c r="A525" s="2">
        <v>45698</v>
      </c>
      <c r="B525">
        <v>226.87419128417969</v>
      </c>
      <c r="C525">
        <v>1057.574829101562</v>
      </c>
      <c r="D525">
        <v>149.6588439941406</v>
      </c>
      <c r="E525">
        <v>265.59405517578119</v>
      </c>
      <c r="F525">
        <v>67.591583251953125</v>
      </c>
      <c r="G525">
        <v>164.21302795410159</v>
      </c>
      <c r="H525">
        <v>6066.43994140625</v>
      </c>
      <c r="I525">
        <f t="shared" si="28"/>
        <v>1.1866395871620097E-3</v>
      </c>
      <c r="J525">
        <f t="shared" si="28"/>
        <v>1.72011014695106E-2</v>
      </c>
      <c r="K525">
        <f t="shared" si="28"/>
        <v>7.2880857642470404E-3</v>
      </c>
      <c r="L525">
        <f t="shared" si="27"/>
        <v>-1.7409701111442348E-2</v>
      </c>
      <c r="M525">
        <f t="shared" si="27"/>
        <v>2.0729870761633629E-2</v>
      </c>
      <c r="N525">
        <f t="shared" si="27"/>
        <v>-2.6228678611698308E-3</v>
      </c>
      <c r="O525">
        <f t="shared" si="27"/>
        <v>6.6901122954551723E-3</v>
      </c>
    </row>
    <row r="526" spans="1:15" x14ac:dyDescent="0.35">
      <c r="A526" s="2">
        <v>45699</v>
      </c>
      <c r="B526">
        <v>231.8272705078125</v>
      </c>
      <c r="C526">
        <v>1054.00927734375</v>
      </c>
      <c r="D526">
        <v>151.4927062988281</v>
      </c>
      <c r="E526">
        <v>269.46469116210938</v>
      </c>
      <c r="F526">
        <v>68.202529907226563</v>
      </c>
      <c r="G526">
        <v>166.0754089355469</v>
      </c>
      <c r="H526">
        <v>6068.5</v>
      </c>
      <c r="I526">
        <f t="shared" si="28"/>
        <v>2.1596930272569727E-2</v>
      </c>
      <c r="J526">
        <f t="shared" si="28"/>
        <v>-3.3771377002747606E-3</v>
      </c>
      <c r="K526">
        <f t="shared" si="28"/>
        <v>1.2179150140008982E-2</v>
      </c>
      <c r="L526">
        <f t="shared" si="27"/>
        <v>1.4468330939145934E-2</v>
      </c>
      <c r="M526">
        <f t="shared" si="27"/>
        <v>8.9981923853394135E-3</v>
      </c>
      <c r="N526">
        <f t="shared" si="27"/>
        <v>1.1277420045992435E-2</v>
      </c>
      <c r="O526">
        <f t="shared" si="27"/>
        <v>3.3952514367385523E-4</v>
      </c>
    </row>
    <row r="527" spans="1:15" x14ac:dyDescent="0.35">
      <c r="A527" s="2">
        <v>45700</v>
      </c>
      <c r="B527">
        <v>236.0627746582031</v>
      </c>
      <c r="C527">
        <v>1060.761596679688</v>
      </c>
      <c r="D527">
        <v>150.64854431152341</v>
      </c>
      <c r="E527">
        <v>269.91549682617188</v>
      </c>
      <c r="F527">
        <v>67.184288024902344</v>
      </c>
      <c r="G527">
        <v>166.22242736816409</v>
      </c>
      <c r="H527">
        <v>6051.97021484375</v>
      </c>
      <c r="I527">
        <f t="shared" si="28"/>
        <v>1.8105193272120245E-2</v>
      </c>
      <c r="J527">
        <f t="shared" si="28"/>
        <v>6.3858854547631334E-3</v>
      </c>
      <c r="K527">
        <f t="shared" si="28"/>
        <v>-5.5878777368817108E-3</v>
      </c>
      <c r="L527">
        <f t="shared" si="27"/>
        <v>1.6715696240600898E-3</v>
      </c>
      <c r="M527">
        <f t="shared" si="27"/>
        <v>-1.5042248537034227E-2</v>
      </c>
      <c r="N527">
        <f t="shared" si="27"/>
        <v>8.8485946129044214E-4</v>
      </c>
      <c r="O527">
        <f t="shared" si="27"/>
        <v>-2.7275831896475754E-3</v>
      </c>
    </row>
    <row r="528" spans="1:15" x14ac:dyDescent="0.35">
      <c r="A528" s="2">
        <v>45701</v>
      </c>
      <c r="B528">
        <v>240.70689392089841</v>
      </c>
      <c r="C528">
        <v>1072.45361328125</v>
      </c>
      <c r="D528">
        <v>152.5794372558594</v>
      </c>
      <c r="E528">
        <v>270.76797485351563</v>
      </c>
      <c r="F528">
        <v>66.524871826171875</v>
      </c>
      <c r="G528">
        <v>167.6339111328125</v>
      </c>
      <c r="H528">
        <v>6115.06982421875</v>
      </c>
      <c r="I528">
        <f t="shared" si="28"/>
        <v>1.9482221542832363E-2</v>
      </c>
      <c r="J528">
        <f t="shared" si="28"/>
        <v>1.0961982295754654E-2</v>
      </c>
      <c r="K528">
        <f t="shared" si="28"/>
        <v>1.2735757652998017E-2</v>
      </c>
      <c r="L528">
        <f t="shared" si="27"/>
        <v>3.1533375010802168E-3</v>
      </c>
      <c r="M528">
        <f t="shared" si="27"/>
        <v>-9.8635208780096986E-3</v>
      </c>
      <c r="N528">
        <f t="shared" si="27"/>
        <v>8.4556859450687621E-3</v>
      </c>
      <c r="O528">
        <f t="shared" si="27"/>
        <v>1.0372313214235747E-2</v>
      </c>
    </row>
    <row r="529" spans="1:15" x14ac:dyDescent="0.35">
      <c r="A529" s="2">
        <v>45702</v>
      </c>
      <c r="B529">
        <v>243.7664489746094</v>
      </c>
      <c r="C529">
        <v>1067.464111328125</v>
      </c>
      <c r="D529">
        <v>151.51210021972659</v>
      </c>
      <c r="E529">
        <v>271.03256225585938</v>
      </c>
      <c r="F529">
        <v>66.001197814941406</v>
      </c>
      <c r="G529">
        <v>159.6648864746094</v>
      </c>
      <c r="H529">
        <v>6114.6298828125</v>
      </c>
      <c r="I529">
        <f t="shared" si="28"/>
        <v>1.2630605061192934E-2</v>
      </c>
      <c r="J529">
        <f t="shared" si="28"/>
        <v>-4.6632736741241427E-3</v>
      </c>
      <c r="K529">
        <f t="shared" si="28"/>
        <v>-7.0198692673889536E-3</v>
      </c>
      <c r="L529">
        <f t="shared" si="27"/>
        <v>9.7669679247157923E-4</v>
      </c>
      <c r="M529">
        <f t="shared" si="27"/>
        <v>-7.902999587260786E-3</v>
      </c>
      <c r="N529">
        <f t="shared" si="27"/>
        <v>-4.8705342056956244E-2</v>
      </c>
      <c r="O529">
        <f t="shared" si="27"/>
        <v>-7.1946395574495501E-5</v>
      </c>
    </row>
    <row r="530" spans="1:15" x14ac:dyDescent="0.35">
      <c r="A530" s="2">
        <v>45706</v>
      </c>
      <c r="B530">
        <v>243.63688659667969</v>
      </c>
      <c r="C530">
        <v>1051.708862304688</v>
      </c>
      <c r="D530">
        <v>151.59034729003909</v>
      </c>
      <c r="E530">
        <v>274.3250732421875</v>
      </c>
      <c r="F530">
        <v>66.427886962890625</v>
      </c>
      <c r="G530">
        <v>162.15458679199219</v>
      </c>
      <c r="H530">
        <v>6129.580078125</v>
      </c>
      <c r="I530">
        <f t="shared" si="28"/>
        <v>-5.3164339070243323E-4</v>
      </c>
      <c r="J530">
        <f t="shared" si="28"/>
        <v>-1.4869517035367069E-2</v>
      </c>
      <c r="K530">
        <f t="shared" si="28"/>
        <v>5.163077546457642E-4</v>
      </c>
      <c r="L530">
        <f t="shared" si="27"/>
        <v>1.2074832280158808E-2</v>
      </c>
      <c r="M530">
        <f t="shared" si="27"/>
        <v>6.4440621215433019E-3</v>
      </c>
      <c r="N530">
        <f t="shared" si="27"/>
        <v>1.5472960439766644E-2</v>
      </c>
      <c r="O530">
        <f t="shared" si="27"/>
        <v>2.4420036555518089E-3</v>
      </c>
    </row>
    <row r="531" spans="1:15" x14ac:dyDescent="0.35">
      <c r="A531" s="2">
        <v>45707</v>
      </c>
      <c r="B531">
        <v>244.03550720214841</v>
      </c>
      <c r="C531">
        <v>1058.192260742188</v>
      </c>
      <c r="D531">
        <v>154.42674255371091</v>
      </c>
      <c r="E531">
        <v>273.63912963867188</v>
      </c>
      <c r="F531">
        <v>66.970939636230469</v>
      </c>
      <c r="G531">
        <v>163.19361877441409</v>
      </c>
      <c r="H531">
        <v>6144.14990234375</v>
      </c>
      <c r="I531">
        <f t="shared" si="28"/>
        <v>1.6347888431446824E-3</v>
      </c>
      <c r="J531">
        <f t="shared" si="28"/>
        <v>6.1457086998259886E-3</v>
      </c>
      <c r="K531">
        <f t="shared" si="28"/>
        <v>1.8538026709016765E-2</v>
      </c>
      <c r="L531">
        <f t="shared" si="27"/>
        <v>-2.5036086598495249E-3</v>
      </c>
      <c r="M531">
        <f t="shared" si="27"/>
        <v>8.1418358327678755E-3</v>
      </c>
      <c r="N531">
        <f t="shared" si="27"/>
        <v>6.3872214265005894E-3</v>
      </c>
      <c r="O531">
        <f t="shared" si="27"/>
        <v>2.3741488668242434E-3</v>
      </c>
    </row>
    <row r="532" spans="1:15" x14ac:dyDescent="0.35">
      <c r="A532" s="2">
        <v>45708</v>
      </c>
      <c r="B532">
        <v>244.99224853515619</v>
      </c>
      <c r="C532">
        <v>1030.595581054688</v>
      </c>
      <c r="D532">
        <v>156.1774597167969</v>
      </c>
      <c r="E532">
        <v>261.43927001953119</v>
      </c>
      <c r="F532">
        <v>68.018272399902344</v>
      </c>
      <c r="G532">
        <v>163.89936828613281</v>
      </c>
      <c r="H532">
        <v>6117.52001953125</v>
      </c>
      <c r="I532">
        <f t="shared" si="28"/>
        <v>3.9128353859173145E-3</v>
      </c>
      <c r="J532">
        <f t="shared" si="28"/>
        <v>-2.642516869286345E-2</v>
      </c>
      <c r="K532">
        <f t="shared" si="28"/>
        <v>1.127309734215466E-2</v>
      </c>
      <c r="L532">
        <f t="shared" si="27"/>
        <v>-4.5608173692761489E-2</v>
      </c>
      <c r="M532">
        <f t="shared" si="27"/>
        <v>1.5517592315552491E-2</v>
      </c>
      <c r="N532">
        <f t="shared" si="27"/>
        <v>4.3152903597871517E-3</v>
      </c>
      <c r="O532">
        <f t="shared" si="27"/>
        <v>-4.3436048842902591E-3</v>
      </c>
    </row>
    <row r="533" spans="1:15" x14ac:dyDescent="0.35">
      <c r="A533" s="2">
        <v>45709</v>
      </c>
      <c r="B533">
        <v>244.71319580078119</v>
      </c>
      <c r="C533">
        <v>1030.794677734375</v>
      </c>
      <c r="D533">
        <v>158.74000549316409</v>
      </c>
      <c r="E533">
        <v>258.93072509765619</v>
      </c>
      <c r="F533">
        <v>69.414726257324219</v>
      </c>
      <c r="G533">
        <v>166.85955810546881</v>
      </c>
      <c r="H533">
        <v>6013.1298828125</v>
      </c>
      <c r="I533">
        <f t="shared" si="28"/>
        <v>-1.1396759738199111E-3</v>
      </c>
      <c r="J533">
        <f t="shared" si="28"/>
        <v>1.9316738250535294E-4</v>
      </c>
      <c r="K533">
        <f t="shared" si="28"/>
        <v>1.627475526453058E-2</v>
      </c>
      <c r="L533">
        <f t="shared" si="27"/>
        <v>-9.6414642573244645E-3</v>
      </c>
      <c r="M533">
        <f t="shared" si="27"/>
        <v>2.0322658069549551E-2</v>
      </c>
      <c r="N533">
        <f t="shared" si="27"/>
        <v>1.7899857696885926E-2</v>
      </c>
      <c r="O533">
        <f t="shared" si="27"/>
        <v>-1.7211396672539132E-2</v>
      </c>
    </row>
    <row r="534" spans="1:15" x14ac:dyDescent="0.35">
      <c r="A534" s="2">
        <v>45712</v>
      </c>
      <c r="B534">
        <v>246.25791931152341</v>
      </c>
      <c r="C534">
        <v>1031.362426757812</v>
      </c>
      <c r="D534">
        <v>160.14842224121091</v>
      </c>
      <c r="E534">
        <v>256.0889892578125</v>
      </c>
      <c r="F534">
        <v>68.658317565917969</v>
      </c>
      <c r="G534">
        <v>167.1634216308594</v>
      </c>
      <c r="H534">
        <v>5983.25</v>
      </c>
      <c r="I534">
        <f t="shared" si="28"/>
        <v>6.2925437374129365E-3</v>
      </c>
      <c r="J534">
        <f t="shared" si="28"/>
        <v>5.5063606603534198E-4</v>
      </c>
      <c r="K534">
        <f t="shared" si="28"/>
        <v>8.8333459827110057E-3</v>
      </c>
      <c r="L534">
        <f t="shared" si="28"/>
        <v>-1.103555689341606E-2</v>
      </c>
      <c r="M534">
        <f t="shared" si="28"/>
        <v>-1.0956755029292707E-2</v>
      </c>
      <c r="N534">
        <f t="shared" si="28"/>
        <v>1.8194173913018345E-3</v>
      </c>
      <c r="O534">
        <f t="shared" si="28"/>
        <v>-4.9814935662523506E-3</v>
      </c>
    </row>
    <row r="535" spans="1:15" x14ac:dyDescent="0.35">
      <c r="A535" s="2">
        <v>45713</v>
      </c>
      <c r="B535">
        <v>246.1981201171875</v>
      </c>
      <c r="C535">
        <v>1051.340454101562</v>
      </c>
      <c r="D535">
        <v>162.44688415527341</v>
      </c>
      <c r="E535">
        <v>252.22813415527341</v>
      </c>
      <c r="F535">
        <v>69.123786926269531</v>
      </c>
      <c r="G535">
        <v>169.23164367675781</v>
      </c>
      <c r="H535">
        <v>5955.25</v>
      </c>
      <c r="I535">
        <f t="shared" ref="I535:O571" si="29">LN(B535/B534)</f>
        <v>-2.4286104684272046E-4</v>
      </c>
      <c r="J535">
        <f t="shared" si="29"/>
        <v>1.9185300322205345E-2</v>
      </c>
      <c r="K535">
        <f t="shared" si="29"/>
        <v>1.4250057350209485E-2</v>
      </c>
      <c r="L535">
        <f t="shared" si="29"/>
        <v>-1.5191026117371404E-2</v>
      </c>
      <c r="M535">
        <f t="shared" si="29"/>
        <v>6.7566268183607064E-3</v>
      </c>
      <c r="N535">
        <f t="shared" si="29"/>
        <v>1.229654248580341E-2</v>
      </c>
      <c r="O535">
        <f t="shared" si="29"/>
        <v>-4.690715138395557E-3</v>
      </c>
    </row>
    <row r="536" spans="1:15" x14ac:dyDescent="0.35">
      <c r="A536" s="2">
        <v>45714</v>
      </c>
      <c r="B536">
        <v>239.5408935546875</v>
      </c>
      <c r="C536">
        <v>1027.747314453125</v>
      </c>
      <c r="D536">
        <v>159.5028991699219</v>
      </c>
      <c r="E536">
        <v>253.5902404785156</v>
      </c>
      <c r="F536">
        <v>68.861961364746094</v>
      </c>
      <c r="G536">
        <v>167.90840148925781</v>
      </c>
      <c r="H536">
        <v>5956.06005859375</v>
      </c>
      <c r="I536">
        <f t="shared" si="29"/>
        <v>-2.741243032228451E-2</v>
      </c>
      <c r="J536">
        <f t="shared" si="29"/>
        <v>-2.2696639175799241E-2</v>
      </c>
      <c r="K536">
        <f t="shared" si="29"/>
        <v>-1.8288982926800458E-2</v>
      </c>
      <c r="L536">
        <f t="shared" si="29"/>
        <v>5.3857656583484667E-3</v>
      </c>
      <c r="M536">
        <f t="shared" si="29"/>
        <v>-3.7949698283481002E-3</v>
      </c>
      <c r="N536">
        <f t="shared" si="29"/>
        <v>-7.8498475712183765E-3</v>
      </c>
      <c r="O536">
        <f t="shared" si="29"/>
        <v>1.3601502958346571E-4</v>
      </c>
    </row>
    <row r="537" spans="1:15" x14ac:dyDescent="0.35">
      <c r="A537" s="2">
        <v>45715</v>
      </c>
      <c r="B537">
        <v>236.49131774902341</v>
      </c>
      <c r="C537">
        <v>1017.529296875</v>
      </c>
      <c r="D537">
        <v>160.13862609863281</v>
      </c>
      <c r="E537">
        <v>253.8450012207031</v>
      </c>
      <c r="F537">
        <v>67.281265258789063</v>
      </c>
      <c r="G537">
        <v>168.56512451171881</v>
      </c>
      <c r="H537">
        <v>5861.56982421875</v>
      </c>
      <c r="I537">
        <f t="shared" si="29"/>
        <v>-1.2812651969177987E-2</v>
      </c>
      <c r="J537">
        <f t="shared" si="29"/>
        <v>-9.9919028396415182E-3</v>
      </c>
      <c r="K537">
        <f t="shared" si="29"/>
        <v>3.9777545574571785E-3</v>
      </c>
      <c r="L537">
        <f t="shared" si="29"/>
        <v>1.0041114319904458E-3</v>
      </c>
      <c r="M537">
        <f t="shared" si="29"/>
        <v>-2.3222119517390092E-2</v>
      </c>
      <c r="N537">
        <f t="shared" si="29"/>
        <v>3.9035692595893582E-3</v>
      </c>
      <c r="O537">
        <f t="shared" si="29"/>
        <v>-1.5991742678524653E-2</v>
      </c>
    </row>
    <row r="538" spans="1:15" x14ac:dyDescent="0.35">
      <c r="A538" s="2">
        <v>45716</v>
      </c>
      <c r="B538">
        <v>241.0158386230469</v>
      </c>
      <c r="C538">
        <v>1044.3193359375</v>
      </c>
      <c r="D538">
        <v>161.40034484863281</v>
      </c>
      <c r="E538">
        <v>259.33248901367188</v>
      </c>
      <c r="F538">
        <v>68.608062744140625</v>
      </c>
      <c r="G538">
        <v>170.39808654785159</v>
      </c>
      <c r="H538">
        <v>5954.5</v>
      </c>
      <c r="I538">
        <f t="shared" si="29"/>
        <v>1.8951155921255763E-2</v>
      </c>
      <c r="J538">
        <f t="shared" si="29"/>
        <v>2.5987889106636783E-2</v>
      </c>
      <c r="K538">
        <f t="shared" si="29"/>
        <v>7.8480392111012522E-3</v>
      </c>
      <c r="L538">
        <f t="shared" si="29"/>
        <v>2.1387130436628536E-2</v>
      </c>
      <c r="M538">
        <f t="shared" si="29"/>
        <v>1.9528239183115328E-2</v>
      </c>
      <c r="N538">
        <f t="shared" si="29"/>
        <v>1.0815214412159718E-2</v>
      </c>
      <c r="O538">
        <f t="shared" si="29"/>
        <v>1.5729780420663385E-2</v>
      </c>
    </row>
    <row r="539" spans="1:15" x14ac:dyDescent="0.35">
      <c r="A539" s="2">
        <v>45719</v>
      </c>
      <c r="B539">
        <v>237.21882629394531</v>
      </c>
      <c r="C539">
        <v>1042.56640625</v>
      </c>
      <c r="D539">
        <v>163.61077880859381</v>
      </c>
      <c r="E539">
        <v>255.3834533691406</v>
      </c>
      <c r="F539">
        <v>70.025787353515625</v>
      </c>
      <c r="G539">
        <v>172.1134338378906</v>
      </c>
      <c r="H539">
        <v>5849.72021484375</v>
      </c>
      <c r="I539">
        <f t="shared" si="29"/>
        <v>-1.587961892322437E-2</v>
      </c>
      <c r="J539">
        <f t="shared" si="29"/>
        <v>-1.6799483213932303E-3</v>
      </c>
      <c r="K539">
        <f t="shared" si="29"/>
        <v>1.3602414694224817E-2</v>
      </c>
      <c r="L539">
        <f t="shared" si="29"/>
        <v>-1.5344825395587749E-2</v>
      </c>
      <c r="M539">
        <f t="shared" si="29"/>
        <v>2.0453504435819128E-2</v>
      </c>
      <c r="N539">
        <f t="shared" si="29"/>
        <v>1.0016373344126786E-2</v>
      </c>
      <c r="O539">
        <f t="shared" si="29"/>
        <v>-1.7753402648308866E-2</v>
      </c>
    </row>
    <row r="540" spans="1:15" x14ac:dyDescent="0.35">
      <c r="A540" s="2">
        <v>45720</v>
      </c>
      <c r="B540">
        <v>235.1259765625</v>
      </c>
      <c r="C540">
        <v>1032.627319335938</v>
      </c>
      <c r="D540">
        <v>161.79158020019531</v>
      </c>
      <c r="E540">
        <v>245.2218017578125</v>
      </c>
      <c r="F540">
        <v>69.272918701171875</v>
      </c>
      <c r="G540">
        <v>169.75115966796881</v>
      </c>
      <c r="H540">
        <v>5778.14990234375</v>
      </c>
      <c r="I540">
        <f t="shared" si="29"/>
        <v>-8.8615918470853483E-3</v>
      </c>
      <c r="J540">
        <f t="shared" si="29"/>
        <v>-9.5790217465928293E-3</v>
      </c>
      <c r="K540">
        <f t="shared" si="29"/>
        <v>-1.1181342183774251E-2</v>
      </c>
      <c r="L540">
        <f t="shared" si="29"/>
        <v>-4.0603040085052632E-2</v>
      </c>
      <c r="M540">
        <f t="shared" si="29"/>
        <v>-1.0809518687449476E-2</v>
      </c>
      <c r="N540">
        <f t="shared" si="29"/>
        <v>-1.3820160458758463E-2</v>
      </c>
      <c r="O540">
        <f t="shared" si="29"/>
        <v>-1.2310288231505477E-2</v>
      </c>
    </row>
    <row r="541" spans="1:15" x14ac:dyDescent="0.35">
      <c r="A541" s="2">
        <v>45721</v>
      </c>
      <c r="B541">
        <v>234.93663024902341</v>
      </c>
      <c r="C541">
        <v>1043.462768554688</v>
      </c>
      <c r="D541">
        <v>161.49815368652341</v>
      </c>
      <c r="E541">
        <v>246.47608947753909</v>
      </c>
      <c r="F541">
        <v>68.911170959472656</v>
      </c>
      <c r="G541">
        <v>171.15284729003909</v>
      </c>
      <c r="H541">
        <v>5842.6298828125</v>
      </c>
      <c r="I541">
        <f t="shared" si="29"/>
        <v>-8.0562172346288537E-4</v>
      </c>
      <c r="J541">
        <f t="shared" si="29"/>
        <v>1.0438417550527396E-2</v>
      </c>
      <c r="K541">
        <f t="shared" si="29"/>
        <v>-1.8152546368725598E-3</v>
      </c>
      <c r="L541">
        <f t="shared" si="29"/>
        <v>5.1018743938131845E-3</v>
      </c>
      <c r="M541">
        <f t="shared" si="29"/>
        <v>-5.2357484710673753E-3</v>
      </c>
      <c r="N541">
        <f t="shared" si="29"/>
        <v>8.2234030253142219E-3</v>
      </c>
      <c r="O541">
        <f t="shared" si="29"/>
        <v>1.1097472528735688E-2</v>
      </c>
    </row>
    <row r="542" spans="1:15" x14ac:dyDescent="0.35">
      <c r="A542" s="2">
        <v>45722</v>
      </c>
      <c r="B542">
        <v>234.5280456542969</v>
      </c>
      <c r="C542">
        <v>1022.419189453125</v>
      </c>
      <c r="D542">
        <v>162.19258117675781</v>
      </c>
      <c r="E542">
        <v>241.5863342285156</v>
      </c>
      <c r="F542">
        <v>68.451629638671875</v>
      </c>
      <c r="G542">
        <v>171.20185852050781</v>
      </c>
      <c r="H542">
        <v>5738.52001953125</v>
      </c>
      <c r="I542">
        <f t="shared" si="29"/>
        <v>-1.7406408569597882E-3</v>
      </c>
      <c r="J542">
        <f t="shared" si="29"/>
        <v>-2.0373194014904381E-2</v>
      </c>
      <c r="K542">
        <f t="shared" si="29"/>
        <v>4.290691581869714E-3</v>
      </c>
      <c r="L542">
        <f t="shared" si="29"/>
        <v>-2.0038087849628301E-2</v>
      </c>
      <c r="M542">
        <f t="shared" si="29"/>
        <v>-6.6909386416000114E-3</v>
      </c>
      <c r="N542">
        <f t="shared" si="29"/>
        <v>2.8631842922979708E-4</v>
      </c>
      <c r="O542">
        <f t="shared" si="29"/>
        <v>-1.7979677107455568E-2</v>
      </c>
    </row>
    <row r="543" spans="1:15" x14ac:dyDescent="0.35">
      <c r="A543" s="2">
        <v>45723</v>
      </c>
      <c r="B543">
        <v>238.25529479980469</v>
      </c>
      <c r="C543">
        <v>960.3641357421875</v>
      </c>
      <c r="D543">
        <v>163.0337219238281</v>
      </c>
      <c r="E543">
        <v>237.41192626953119</v>
      </c>
      <c r="F543">
        <v>71.208847045898438</v>
      </c>
      <c r="G543">
        <v>172.46632385253909</v>
      </c>
      <c r="H543">
        <v>5770.2001953125</v>
      </c>
      <c r="I543">
        <f t="shared" si="29"/>
        <v>1.5767587593123793E-2</v>
      </c>
      <c r="J543">
        <f t="shared" si="29"/>
        <v>-6.2614331866514022E-2</v>
      </c>
      <c r="K543">
        <f t="shared" si="29"/>
        <v>5.172660480059558E-3</v>
      </c>
      <c r="L543">
        <f t="shared" si="29"/>
        <v>-1.7430182899311919E-2</v>
      </c>
      <c r="M543">
        <f t="shared" si="29"/>
        <v>3.9489707786844817E-2</v>
      </c>
      <c r="N543">
        <f t="shared" si="29"/>
        <v>7.3586738766635226E-3</v>
      </c>
      <c r="O543">
        <f t="shared" si="29"/>
        <v>5.5054350454544669E-3</v>
      </c>
    </row>
    <row r="544" spans="1:15" x14ac:dyDescent="0.35">
      <c r="A544" s="2">
        <v>45726</v>
      </c>
      <c r="B544">
        <v>226.70477294921881</v>
      </c>
      <c r="C544">
        <v>930.5865478515625</v>
      </c>
      <c r="D544">
        <v>164.02156066894531</v>
      </c>
      <c r="E544">
        <v>227.55409240722659</v>
      </c>
      <c r="F544">
        <v>74.464729309082031</v>
      </c>
      <c r="G544">
        <v>172.77018737792969</v>
      </c>
      <c r="H544">
        <v>5614.56005859375</v>
      </c>
      <c r="I544">
        <f t="shared" si="29"/>
        <v>-4.969415467655864E-2</v>
      </c>
      <c r="J544">
        <f t="shared" si="29"/>
        <v>-3.1497436651180911E-2</v>
      </c>
      <c r="K544">
        <f t="shared" si="29"/>
        <v>6.0408242989710382E-3</v>
      </c>
      <c r="L544">
        <f t="shared" si="29"/>
        <v>-4.2408738986419725E-2</v>
      </c>
      <c r="M544">
        <f t="shared" si="29"/>
        <v>4.4708514226919335E-2</v>
      </c>
      <c r="N544">
        <f t="shared" si="29"/>
        <v>1.7603213679429684E-3</v>
      </c>
      <c r="O544">
        <f t="shared" si="29"/>
        <v>-2.7343541788428148E-2</v>
      </c>
    </row>
    <row r="545" spans="1:15" x14ac:dyDescent="0.35">
      <c r="A545" s="2">
        <v>45727</v>
      </c>
      <c r="B545">
        <v>220.08740234375</v>
      </c>
      <c r="C545">
        <v>926.68255615234375</v>
      </c>
      <c r="D545">
        <v>162.221923828125</v>
      </c>
      <c r="E545">
        <v>224.53596496582031</v>
      </c>
      <c r="F545">
        <v>72.38214111328125</v>
      </c>
      <c r="G545">
        <v>169.6923522949219</v>
      </c>
      <c r="H545">
        <v>5572.06982421875</v>
      </c>
      <c r="I545">
        <f t="shared" si="29"/>
        <v>-2.9623860487679066E-2</v>
      </c>
      <c r="J545">
        <f t="shared" si="29"/>
        <v>-4.2040191598055913E-3</v>
      </c>
      <c r="K545">
        <f t="shared" si="29"/>
        <v>-1.103258872787061E-2</v>
      </c>
      <c r="L545">
        <f t="shared" si="29"/>
        <v>-1.3352084306653834E-2</v>
      </c>
      <c r="M545">
        <f t="shared" si="29"/>
        <v>-2.8365981930663191E-2</v>
      </c>
      <c r="N545">
        <f t="shared" si="29"/>
        <v>-1.7975209541480536E-2</v>
      </c>
      <c r="O545">
        <f t="shared" si="29"/>
        <v>-7.5966469185365778E-3</v>
      </c>
    </row>
    <row r="546" spans="1:15" x14ac:dyDescent="0.35">
      <c r="A546" s="2">
        <v>45728</v>
      </c>
      <c r="B546">
        <v>216.24055480957031</v>
      </c>
      <c r="C546">
        <v>923.28656005859375</v>
      </c>
      <c r="D546">
        <v>159.27793884277341</v>
      </c>
      <c r="E546">
        <v>223.32087707519531</v>
      </c>
      <c r="F546">
        <v>71.296852111816406</v>
      </c>
      <c r="G546">
        <v>165.03639221191409</v>
      </c>
      <c r="H546">
        <v>5599.2998046875</v>
      </c>
      <c r="I546">
        <f t="shared" si="29"/>
        <v>-1.763328315996136E-2</v>
      </c>
      <c r="J546">
        <f t="shared" si="29"/>
        <v>-3.6714125426415803E-3</v>
      </c>
      <c r="K546">
        <f t="shared" si="29"/>
        <v>-1.8314578741348508E-2</v>
      </c>
      <c r="L546">
        <f t="shared" si="29"/>
        <v>-5.4262467735102854E-3</v>
      </c>
      <c r="M546">
        <f t="shared" si="29"/>
        <v>-1.5107422716418501E-2</v>
      </c>
      <c r="N546">
        <f t="shared" si="29"/>
        <v>-2.7821096754794716E-2</v>
      </c>
      <c r="O546">
        <f t="shared" si="29"/>
        <v>4.8749679404907773E-3</v>
      </c>
    </row>
    <row r="547" spans="1:15" x14ac:dyDescent="0.35">
      <c r="A547" s="2">
        <v>45729</v>
      </c>
      <c r="B547">
        <v>208.9654235839844</v>
      </c>
      <c r="C547">
        <v>886.9757080078125</v>
      </c>
      <c r="D547">
        <v>159.41487121582031</v>
      </c>
      <c r="E547">
        <v>220.66534423828119</v>
      </c>
      <c r="F547">
        <v>71.111076354980469</v>
      </c>
      <c r="G547">
        <v>165.25202941894531</v>
      </c>
      <c r="H547">
        <v>5521.52001953125</v>
      </c>
      <c r="I547">
        <f t="shared" si="29"/>
        <v>-3.4222666795603568E-2</v>
      </c>
      <c r="J547">
        <f t="shared" si="29"/>
        <v>-4.0122057007279742E-2</v>
      </c>
      <c r="K547">
        <f t="shared" si="29"/>
        <v>8.5933775191428155E-4</v>
      </c>
      <c r="L547">
        <f t="shared" si="29"/>
        <v>-1.1962373498226844E-2</v>
      </c>
      <c r="M547">
        <f t="shared" si="29"/>
        <v>-2.6090662819248057E-3</v>
      </c>
      <c r="N547">
        <f t="shared" si="29"/>
        <v>1.3057511165827306E-3</v>
      </c>
      <c r="O547">
        <f t="shared" si="29"/>
        <v>-1.3988366806464148E-2</v>
      </c>
    </row>
    <row r="548" spans="1:15" x14ac:dyDescent="0.35">
      <c r="A548" s="2">
        <v>45730</v>
      </c>
      <c r="B548">
        <v>212.762451171875</v>
      </c>
      <c r="C548">
        <v>900.2213134765625</v>
      </c>
      <c r="D548">
        <v>159.23881530761719</v>
      </c>
      <c r="E548">
        <v>227.7696533203125</v>
      </c>
      <c r="F548">
        <v>71.912834167480469</v>
      </c>
      <c r="G548">
        <v>164.64430236816409</v>
      </c>
      <c r="H548">
        <v>5638.93994140625</v>
      </c>
      <c r="I548">
        <f t="shared" si="29"/>
        <v>1.8007489756816781E-2</v>
      </c>
      <c r="J548">
        <f t="shared" si="29"/>
        <v>1.4823041711124167E-2</v>
      </c>
      <c r="K548">
        <f t="shared" si="29"/>
        <v>-1.1049985207321619E-3</v>
      </c>
      <c r="L548">
        <f t="shared" si="29"/>
        <v>3.1687551437194761E-2</v>
      </c>
      <c r="M548">
        <f t="shared" si="29"/>
        <v>1.1211638781558651E-2</v>
      </c>
      <c r="N548">
        <f t="shared" si="29"/>
        <v>-3.6843558396281E-3</v>
      </c>
      <c r="O548">
        <f t="shared" si="29"/>
        <v>2.1042905953196939E-2</v>
      </c>
    </row>
    <row r="549" spans="1:15" x14ac:dyDescent="0.35">
      <c r="A549" s="2">
        <v>45733</v>
      </c>
      <c r="B549">
        <v>213.27070617675781</v>
      </c>
      <c r="C549">
        <v>912.859375</v>
      </c>
      <c r="D549">
        <v>159.2681579589844</v>
      </c>
      <c r="E549">
        <v>229.2297058105469</v>
      </c>
      <c r="F549">
        <v>70.5048828125</v>
      </c>
      <c r="G549">
        <v>166.39886474609381</v>
      </c>
      <c r="H549">
        <v>5675.1201171875</v>
      </c>
      <c r="I549">
        <f t="shared" si="29"/>
        <v>2.3859891524318291E-3</v>
      </c>
      <c r="J549">
        <f t="shared" si="29"/>
        <v>1.3941206582436052E-2</v>
      </c>
      <c r="K549">
        <f t="shared" si="29"/>
        <v>1.842512341207723E-4</v>
      </c>
      <c r="L549">
        <f t="shared" si="29"/>
        <v>6.3897571353897249E-3</v>
      </c>
      <c r="M549">
        <f t="shared" si="29"/>
        <v>-1.9772781869200021E-2</v>
      </c>
      <c r="N549">
        <f t="shared" si="29"/>
        <v>1.0600302206403959E-2</v>
      </c>
      <c r="O549">
        <f t="shared" si="29"/>
        <v>6.3956349746060355E-3</v>
      </c>
    </row>
    <row r="550" spans="1:15" x14ac:dyDescent="0.35">
      <c r="A550" s="2">
        <v>45734</v>
      </c>
      <c r="B550">
        <v>211.96519470214841</v>
      </c>
      <c r="C550">
        <v>894.37530517578125</v>
      </c>
      <c r="D550">
        <v>160.64723205566409</v>
      </c>
      <c r="E550">
        <v>230.24882507324219</v>
      </c>
      <c r="F550">
        <v>69.126258850097656</v>
      </c>
      <c r="G550">
        <v>164.38946533203119</v>
      </c>
      <c r="H550">
        <v>5614.66015625</v>
      </c>
      <c r="I550">
        <f t="shared" si="29"/>
        <v>-6.1401945301737407E-3</v>
      </c>
      <c r="J550">
        <f t="shared" si="29"/>
        <v>-2.0456352012731074E-2</v>
      </c>
      <c r="K550">
        <f t="shared" si="29"/>
        <v>8.6215460840580981E-3</v>
      </c>
      <c r="L550">
        <f t="shared" si="29"/>
        <v>4.435989346097997E-3</v>
      </c>
      <c r="M550">
        <f t="shared" si="29"/>
        <v>-1.9747296281987396E-2</v>
      </c>
      <c r="N550">
        <f t="shared" si="29"/>
        <v>-1.2149304844455087E-2</v>
      </c>
      <c r="O550">
        <f t="shared" si="29"/>
        <v>-1.0710667074319702E-2</v>
      </c>
    </row>
    <row r="551" spans="1:15" x14ac:dyDescent="0.35">
      <c r="A551" s="2">
        <v>45735</v>
      </c>
      <c r="B551">
        <v>214.50648498535159</v>
      </c>
      <c r="C551">
        <v>900.35076904296875</v>
      </c>
      <c r="D551">
        <v>159.41487121582031</v>
      </c>
      <c r="E551">
        <v>234.3056335449219</v>
      </c>
      <c r="F551">
        <v>68.930717468261719</v>
      </c>
      <c r="G551">
        <v>165.23243713378909</v>
      </c>
      <c r="H551">
        <v>5675.2900390625</v>
      </c>
      <c r="I551">
        <f t="shared" si="29"/>
        <v>1.1917885682598337E-2</v>
      </c>
      <c r="J551">
        <f t="shared" si="29"/>
        <v>6.6589392477001547E-3</v>
      </c>
      <c r="K551">
        <f t="shared" si="29"/>
        <v>-7.7007987974467276E-3</v>
      </c>
      <c r="L551">
        <f t="shared" si="29"/>
        <v>1.7465817085412328E-2</v>
      </c>
      <c r="M551">
        <f t="shared" si="29"/>
        <v>-2.8327653960220829E-3</v>
      </c>
      <c r="N551">
        <f t="shared" si="29"/>
        <v>5.1147914213601625E-3</v>
      </c>
      <c r="O551">
        <f t="shared" si="29"/>
        <v>1.0740608172953766E-2</v>
      </c>
    </row>
    <row r="552" spans="1:15" x14ac:dyDescent="0.35">
      <c r="A552" s="2">
        <v>45736</v>
      </c>
      <c r="B552">
        <v>213.3703918457031</v>
      </c>
      <c r="C552">
        <v>891.73614501953125</v>
      </c>
      <c r="D552">
        <v>159.4442138671875</v>
      </c>
      <c r="E552">
        <v>234.2076416015625</v>
      </c>
      <c r="F552">
        <v>69.566253662109375</v>
      </c>
      <c r="G552">
        <v>164.2326354980469</v>
      </c>
      <c r="H552">
        <v>5662.89013671875</v>
      </c>
      <c r="I552">
        <f t="shared" si="29"/>
        <v>-5.3103865668073895E-3</v>
      </c>
      <c r="J552">
        <f t="shared" si="29"/>
        <v>-9.6141435006723043E-3</v>
      </c>
      <c r="K552">
        <f t="shared" si="29"/>
        <v>1.8404776794981223E-4</v>
      </c>
      <c r="L552">
        <f t="shared" si="29"/>
        <v>-4.1831021653620593E-4</v>
      </c>
      <c r="M552">
        <f t="shared" si="29"/>
        <v>9.1776830869543628E-3</v>
      </c>
      <c r="N552">
        <f t="shared" si="29"/>
        <v>-6.069260676436301E-3</v>
      </c>
      <c r="O552">
        <f t="shared" si="29"/>
        <v>-2.1872835137829848E-3</v>
      </c>
    </row>
    <row r="553" spans="1:15" x14ac:dyDescent="0.35">
      <c r="A553" s="2">
        <v>45737</v>
      </c>
      <c r="B553">
        <v>217.52616882324219</v>
      </c>
      <c r="C553">
        <v>905.5394287109375</v>
      </c>
      <c r="D553">
        <v>160.04084777832031</v>
      </c>
      <c r="E553">
        <v>236.7749938964844</v>
      </c>
      <c r="F553">
        <v>69.302261352539063</v>
      </c>
      <c r="G553">
        <v>163.3896484375</v>
      </c>
      <c r="H553">
        <v>5667.56005859375</v>
      </c>
      <c r="I553">
        <f t="shared" si="29"/>
        <v>1.9289575343800072E-2</v>
      </c>
      <c r="J553">
        <f t="shared" si="29"/>
        <v>1.5360532680151319E-2</v>
      </c>
      <c r="K553">
        <f t="shared" si="29"/>
        <v>3.7349765378643608E-3</v>
      </c>
      <c r="L553">
        <f t="shared" si="29"/>
        <v>1.0902218173841904E-2</v>
      </c>
      <c r="M553">
        <f t="shared" si="29"/>
        <v>-3.8020515673583399E-3</v>
      </c>
      <c r="N553">
        <f t="shared" si="29"/>
        <v>-5.1461024615157324E-3</v>
      </c>
      <c r="O553">
        <f t="shared" si="29"/>
        <v>8.2431360783232106E-4</v>
      </c>
    </row>
    <row r="554" spans="1:15" x14ac:dyDescent="0.35">
      <c r="A554" s="2">
        <v>45740</v>
      </c>
      <c r="B554">
        <v>219.97776794433591</v>
      </c>
      <c r="C554">
        <v>922.250732421875</v>
      </c>
      <c r="D554">
        <v>159.70826721191409</v>
      </c>
      <c r="E554">
        <v>243.07582092285159</v>
      </c>
      <c r="F554">
        <v>68.510284423828125</v>
      </c>
      <c r="G554">
        <v>162.37025451660159</v>
      </c>
      <c r="H554">
        <v>5767.56982421875</v>
      </c>
      <c r="I554">
        <f t="shared" si="29"/>
        <v>1.1207326727510725E-2</v>
      </c>
      <c r="J554">
        <f t="shared" si="29"/>
        <v>1.8286310690300605E-2</v>
      </c>
      <c r="K554">
        <f t="shared" si="29"/>
        <v>-2.0802602462418585E-3</v>
      </c>
      <c r="L554">
        <f t="shared" si="29"/>
        <v>2.6263117596537624E-2</v>
      </c>
      <c r="M554">
        <f t="shared" si="29"/>
        <v>-1.1493665440441414E-2</v>
      </c>
      <c r="N554">
        <f t="shared" si="29"/>
        <v>-6.2585802556358143E-3</v>
      </c>
      <c r="O554">
        <f t="shared" si="29"/>
        <v>1.749211712863917E-2</v>
      </c>
    </row>
    <row r="555" spans="1:15" x14ac:dyDescent="0.35">
      <c r="A555" s="2">
        <v>45741</v>
      </c>
      <c r="B555">
        <v>222.98748779296881</v>
      </c>
      <c r="C555">
        <v>926.45355224609375</v>
      </c>
      <c r="D555">
        <v>157.48808288574219</v>
      </c>
      <c r="E555">
        <v>246.0841369628906</v>
      </c>
      <c r="F555">
        <v>67.063224792480469</v>
      </c>
      <c r="G555">
        <v>159.62568664550781</v>
      </c>
      <c r="H555">
        <v>5776.64990234375</v>
      </c>
      <c r="I555">
        <f t="shared" si="29"/>
        <v>1.3589174886757415E-2</v>
      </c>
      <c r="J555">
        <f t="shared" si="29"/>
        <v>4.5467813317219717E-3</v>
      </c>
      <c r="K555">
        <f t="shared" si="29"/>
        <v>-1.3999029833444726E-2</v>
      </c>
      <c r="L555">
        <f t="shared" si="29"/>
        <v>1.2300082700148443E-2</v>
      </c>
      <c r="M555">
        <f t="shared" si="29"/>
        <v>-2.1348043523889908E-2</v>
      </c>
      <c r="N555">
        <f t="shared" si="29"/>
        <v>-1.7047633148023784E-2</v>
      </c>
      <c r="O555">
        <f t="shared" si="29"/>
        <v>1.5730954906538206E-3</v>
      </c>
    </row>
    <row r="556" spans="1:15" x14ac:dyDescent="0.35">
      <c r="A556" s="2">
        <v>45742</v>
      </c>
      <c r="B556">
        <v>220.7750549316406</v>
      </c>
      <c r="C556">
        <v>925.945556640625</v>
      </c>
      <c r="D556">
        <v>158.1727294921875</v>
      </c>
      <c r="E556">
        <v>245.98612976074219</v>
      </c>
      <c r="F556">
        <v>68.1778564453125</v>
      </c>
      <c r="G556">
        <v>163.28184509277341</v>
      </c>
      <c r="H556">
        <v>5712.2001953125</v>
      </c>
      <c r="I556">
        <f t="shared" si="29"/>
        <v>-9.9713291666548211E-3</v>
      </c>
      <c r="J556">
        <f t="shared" si="29"/>
        <v>-5.4847318352334632E-4</v>
      </c>
      <c r="K556">
        <f t="shared" si="29"/>
        <v>4.3378693406802447E-3</v>
      </c>
      <c r="L556">
        <f t="shared" si="29"/>
        <v>-3.983463747848575E-4</v>
      </c>
      <c r="M556">
        <f t="shared" si="29"/>
        <v>1.6483998526142248E-2</v>
      </c>
      <c r="N556">
        <f t="shared" si="29"/>
        <v>2.2646202654175596E-2</v>
      </c>
      <c r="O556">
        <f t="shared" si="29"/>
        <v>-1.1219640357598032E-2</v>
      </c>
    </row>
    <row r="557" spans="1:15" x14ac:dyDescent="0.35">
      <c r="A557" s="2">
        <v>45743</v>
      </c>
      <c r="B557">
        <v>223.08717346191409</v>
      </c>
      <c r="C557">
        <v>934.90875244140625</v>
      </c>
      <c r="D557">
        <v>159.55180358886719</v>
      </c>
      <c r="E557">
        <v>243.13458251953119</v>
      </c>
      <c r="F557">
        <v>68.471176147460938</v>
      </c>
      <c r="G557">
        <v>165.36967468261719</v>
      </c>
      <c r="H557">
        <v>5693.31005859375</v>
      </c>
      <c r="I557">
        <f t="shared" si="29"/>
        <v>1.0418275291432688E-2</v>
      </c>
      <c r="J557">
        <f t="shared" si="29"/>
        <v>9.633494761478097E-3</v>
      </c>
      <c r="K557">
        <f t="shared" si="29"/>
        <v>8.6809963577321111E-3</v>
      </c>
      <c r="L557">
        <f t="shared" si="29"/>
        <v>-1.1660023698280033E-2</v>
      </c>
      <c r="M557">
        <f t="shared" si="29"/>
        <v>4.2930439693362509E-3</v>
      </c>
      <c r="N557">
        <f t="shared" si="29"/>
        <v>1.2705601837021579E-2</v>
      </c>
      <c r="O557">
        <f t="shared" si="29"/>
        <v>-3.3124610071321114E-3</v>
      </c>
    </row>
    <row r="558" spans="1:15" x14ac:dyDescent="0.35">
      <c r="A558" s="2">
        <v>45744</v>
      </c>
      <c r="B558">
        <v>217.15742492675781</v>
      </c>
      <c r="C558">
        <v>925.85589599609375</v>
      </c>
      <c r="D558">
        <v>160.11909484863281</v>
      </c>
      <c r="E558">
        <v>237.97050476074219</v>
      </c>
      <c r="F558">
        <v>68.881828308105469</v>
      </c>
      <c r="G558">
        <v>164.703125</v>
      </c>
      <c r="H558">
        <v>5580.93994140625</v>
      </c>
      <c r="I558">
        <f t="shared" si="29"/>
        <v>-2.6940056445876152E-2</v>
      </c>
      <c r="J558">
        <f t="shared" si="29"/>
        <v>-9.7303308930987518E-3</v>
      </c>
      <c r="K558">
        <f t="shared" si="29"/>
        <v>3.5492242681583117E-3</v>
      </c>
      <c r="L558">
        <f t="shared" si="29"/>
        <v>-2.146839114322632E-2</v>
      </c>
      <c r="M558">
        <f t="shared" si="29"/>
        <v>5.9795326041446016E-3</v>
      </c>
      <c r="N558">
        <f t="shared" si="29"/>
        <v>-4.0388095554683943E-3</v>
      </c>
      <c r="O558">
        <f t="shared" si="29"/>
        <v>-1.9934601126853548E-2</v>
      </c>
    </row>
    <row r="559" spans="1:15" x14ac:dyDescent="0.35">
      <c r="A559" s="2">
        <v>45747</v>
      </c>
      <c r="B559">
        <v>221.3730163574219</v>
      </c>
      <c r="C559">
        <v>941.90997314453125</v>
      </c>
      <c r="D559">
        <v>162.20234680175781</v>
      </c>
      <c r="E559">
        <v>240.37127685546881</v>
      </c>
      <c r="F559">
        <v>69.312034606933594</v>
      </c>
      <c r="G559">
        <v>167.04579162597659</v>
      </c>
      <c r="H559">
        <v>5611.85009765625</v>
      </c>
      <c r="I559">
        <f t="shared" si="29"/>
        <v>1.9226584495971834E-2</v>
      </c>
      <c r="J559">
        <f t="shared" si="29"/>
        <v>1.7191097437482528E-2</v>
      </c>
      <c r="K559">
        <f t="shared" si="29"/>
        <v>1.2926728992750559E-2</v>
      </c>
      <c r="L559">
        <f t="shared" si="29"/>
        <v>1.003797847332703E-2</v>
      </c>
      <c r="M559">
        <f t="shared" si="29"/>
        <v>6.2261475219662398E-3</v>
      </c>
      <c r="N559">
        <f t="shared" si="29"/>
        <v>1.4123365288070573E-2</v>
      </c>
      <c r="O559">
        <f t="shared" si="29"/>
        <v>5.5232403576457216E-3</v>
      </c>
    </row>
    <row r="560" spans="1:15" x14ac:dyDescent="0.35">
      <c r="A560" s="2">
        <v>45748</v>
      </c>
      <c r="B560">
        <v>222.42939758300781</v>
      </c>
      <c r="C560">
        <v>950.4947509765625</v>
      </c>
      <c r="D560">
        <v>149.8885192871094</v>
      </c>
      <c r="E560">
        <v>238.76422119140619</v>
      </c>
      <c r="F560">
        <v>69.34136962890625</v>
      </c>
      <c r="G560">
        <v>167.18302917480469</v>
      </c>
      <c r="H560">
        <v>5633.06982421875</v>
      </c>
      <c r="I560">
        <f t="shared" si="29"/>
        <v>4.760601508669045E-3</v>
      </c>
      <c r="J560">
        <f t="shared" si="29"/>
        <v>9.0729394329189094E-3</v>
      </c>
      <c r="K560">
        <f t="shared" si="29"/>
        <v>-7.8952797114731688E-2</v>
      </c>
      <c r="L560">
        <f t="shared" si="29"/>
        <v>-6.7081721016731145E-3</v>
      </c>
      <c r="M560">
        <f t="shared" si="29"/>
        <v>4.2314175511268948E-4</v>
      </c>
      <c r="N560">
        <f t="shared" si="29"/>
        <v>8.2121916483481907E-4</v>
      </c>
      <c r="O560">
        <f t="shared" si="29"/>
        <v>3.7741045552120668E-3</v>
      </c>
    </row>
    <row r="561" spans="1:15" x14ac:dyDescent="0.35">
      <c r="A561" s="2">
        <v>45749</v>
      </c>
      <c r="B561">
        <v>223.12701416015619</v>
      </c>
      <c r="C561">
        <v>961.131103515625</v>
      </c>
      <c r="D561">
        <v>151.95222473144531</v>
      </c>
      <c r="E561">
        <v>240.8808288574219</v>
      </c>
      <c r="F561">
        <v>68.911170959472656</v>
      </c>
      <c r="G561">
        <v>166.1440124511719</v>
      </c>
      <c r="H561">
        <v>5670.97021484375</v>
      </c>
      <c r="I561">
        <f t="shared" si="29"/>
        <v>3.1314425236707837E-3</v>
      </c>
      <c r="J561">
        <f t="shared" si="29"/>
        <v>1.1128184187174681E-2</v>
      </c>
      <c r="K561">
        <f t="shared" si="29"/>
        <v>1.367434743280883E-2</v>
      </c>
      <c r="L561">
        <f t="shared" si="29"/>
        <v>8.8257823368011641E-3</v>
      </c>
      <c r="M561">
        <f t="shared" si="29"/>
        <v>-6.2233946094734588E-3</v>
      </c>
      <c r="N561">
        <f t="shared" si="29"/>
        <v>-6.2342382048603566E-3</v>
      </c>
      <c r="O561">
        <f t="shared" si="29"/>
        <v>6.7056614294841088E-3</v>
      </c>
    </row>
    <row r="562" spans="1:15" x14ac:dyDescent="0.35">
      <c r="A562" s="2">
        <v>45750</v>
      </c>
      <c r="B562">
        <v>202.49754333496091</v>
      </c>
      <c r="C562">
        <v>963.12286376953125</v>
      </c>
      <c r="D562">
        <v>156.31440734863281</v>
      </c>
      <c r="E562">
        <v>224.09501647949219</v>
      </c>
      <c r="F562">
        <v>70.534210205078125</v>
      </c>
      <c r="G562">
        <v>168.976806640625</v>
      </c>
      <c r="H562">
        <v>5396.52001953125</v>
      </c>
      <c r="I562">
        <f t="shared" si="29"/>
        <v>-9.7013424747679947E-2</v>
      </c>
      <c r="J562">
        <f t="shared" si="29"/>
        <v>2.0701643328682761E-3</v>
      </c>
      <c r="K562">
        <f t="shared" si="29"/>
        <v>2.8303250250887174E-2</v>
      </c>
      <c r="L562">
        <f t="shared" si="29"/>
        <v>-7.2232182495458708E-2</v>
      </c>
      <c r="M562">
        <f t="shared" si="29"/>
        <v>2.3279545441690076E-2</v>
      </c>
      <c r="N562">
        <f t="shared" si="29"/>
        <v>1.6906509548533746E-2</v>
      </c>
      <c r="O562">
        <f t="shared" si="29"/>
        <v>-4.9605911828996631E-2</v>
      </c>
    </row>
    <row r="563" spans="1:15" x14ac:dyDescent="0.35">
      <c r="A563" s="2">
        <v>45751</v>
      </c>
      <c r="B563">
        <v>187.738037109375</v>
      </c>
      <c r="C563">
        <v>912.7298583984375</v>
      </c>
      <c r="D563">
        <v>149.87873840332031</v>
      </c>
      <c r="E563">
        <v>207.32411193847659</v>
      </c>
      <c r="F563">
        <v>65.420631408691406</v>
      </c>
      <c r="G563">
        <v>160.50787353515619</v>
      </c>
      <c r="H563">
        <v>5074.080078125</v>
      </c>
      <c r="I563">
        <f t="shared" si="29"/>
        <v>-7.5680183306741061E-2</v>
      </c>
      <c r="J563">
        <f t="shared" si="29"/>
        <v>-5.374103470197418E-2</v>
      </c>
      <c r="K563">
        <f t="shared" si="29"/>
        <v>-4.2042854202155679E-2</v>
      </c>
      <c r="L563">
        <f t="shared" si="29"/>
        <v>-7.778681572685904E-2</v>
      </c>
      <c r="M563">
        <f t="shared" si="29"/>
        <v>-7.526016957857995E-2</v>
      </c>
      <c r="N563">
        <f t="shared" si="29"/>
        <v>-5.1418469031438103E-2</v>
      </c>
      <c r="O563">
        <f t="shared" si="29"/>
        <v>-6.1609061898230934E-2</v>
      </c>
    </row>
    <row r="564" spans="1:15" x14ac:dyDescent="0.35">
      <c r="A564" s="2">
        <v>45754</v>
      </c>
      <c r="B564">
        <v>180.84161376953119</v>
      </c>
      <c r="C564">
        <v>904.41400146484375</v>
      </c>
      <c r="D564">
        <v>147.3161926269531</v>
      </c>
      <c r="E564">
        <v>211.42564392089841</v>
      </c>
      <c r="F564">
        <v>63.611801147460938</v>
      </c>
      <c r="G564">
        <v>157.05754089355469</v>
      </c>
      <c r="H564">
        <v>5062.25</v>
      </c>
      <c r="I564">
        <f t="shared" si="29"/>
        <v>-3.742598535831558E-2</v>
      </c>
      <c r="J564">
        <f t="shared" si="29"/>
        <v>-9.1527315701672423E-3</v>
      </c>
      <c r="K564">
        <f t="shared" si="29"/>
        <v>-1.724530950608321E-2</v>
      </c>
      <c r="L564">
        <f t="shared" si="29"/>
        <v>1.9590044385917247E-2</v>
      </c>
      <c r="M564">
        <f t="shared" si="29"/>
        <v>-2.8038667912894367E-2</v>
      </c>
      <c r="N564">
        <f t="shared" si="29"/>
        <v>-2.1730756951270393E-2</v>
      </c>
      <c r="O564">
        <f t="shared" si="29"/>
        <v>-2.3341946059635883E-3</v>
      </c>
    </row>
    <row r="565" spans="1:15" x14ac:dyDescent="0.35">
      <c r="A565" s="2">
        <v>45755</v>
      </c>
      <c r="B565">
        <v>171.83241271972659</v>
      </c>
      <c r="C565">
        <v>905.031494140625</v>
      </c>
      <c r="D565">
        <v>146.7098083496094</v>
      </c>
      <c r="E565">
        <v>213.82147216796881</v>
      </c>
      <c r="F565">
        <v>62.682952880859382</v>
      </c>
      <c r="G565">
        <v>155.25398254394531</v>
      </c>
      <c r="H565">
        <v>4982.77001953125</v>
      </c>
      <c r="I565">
        <f t="shared" si="29"/>
        <v>-5.1101928950348978E-2</v>
      </c>
      <c r="J565">
        <f t="shared" si="29"/>
        <v>6.825214699770569E-4</v>
      </c>
      <c r="K565">
        <f t="shared" si="29"/>
        <v>-4.1247041760937818E-3</v>
      </c>
      <c r="L565">
        <f t="shared" si="29"/>
        <v>1.1268053355503784E-2</v>
      </c>
      <c r="M565">
        <f t="shared" si="29"/>
        <v>-1.4709478972437471E-2</v>
      </c>
      <c r="N565">
        <f t="shared" si="29"/>
        <v>-1.1549867767843522E-2</v>
      </c>
      <c r="O565">
        <f t="shared" si="29"/>
        <v>-1.5825083277054855E-2</v>
      </c>
    </row>
    <row r="566" spans="1:15" x14ac:dyDescent="0.35">
      <c r="A566" s="2">
        <v>45756</v>
      </c>
      <c r="B566">
        <v>198.17236328125</v>
      </c>
      <c r="C566">
        <v>961.24053955078125</v>
      </c>
      <c r="D566">
        <v>147.65850830078119</v>
      </c>
      <c r="E566">
        <v>231.0458984375</v>
      </c>
      <c r="F566">
        <v>66.075721740722656</v>
      </c>
      <c r="G566">
        <v>159.10618591308591</v>
      </c>
      <c r="H566">
        <v>5456.89990234375</v>
      </c>
      <c r="I566">
        <f t="shared" si="29"/>
        <v>0.14261751645442156</v>
      </c>
      <c r="J566">
        <f t="shared" si="29"/>
        <v>6.0254935701887849E-2</v>
      </c>
      <c r="K566">
        <f t="shared" si="29"/>
        <v>6.4456884938793885E-3</v>
      </c>
      <c r="L566">
        <f t="shared" si="29"/>
        <v>7.7474960676865864E-2</v>
      </c>
      <c r="M566">
        <f t="shared" si="29"/>
        <v>5.2711856689719373E-2</v>
      </c>
      <c r="N566">
        <f t="shared" si="29"/>
        <v>2.4509442306865935E-2</v>
      </c>
      <c r="O566">
        <f t="shared" si="29"/>
        <v>9.0894879833036457E-2</v>
      </c>
    </row>
    <row r="567" spans="1:15" x14ac:dyDescent="0.35">
      <c r="A567" s="2">
        <v>45757</v>
      </c>
      <c r="B567">
        <v>189.77107238769531</v>
      </c>
      <c r="C567">
        <v>960.3641357421875</v>
      </c>
      <c r="D567">
        <v>145.42852783203119</v>
      </c>
      <c r="E567">
        <v>223.91754150390619</v>
      </c>
      <c r="F567">
        <v>65.234855651855469</v>
      </c>
      <c r="G567">
        <v>160.3216247558594</v>
      </c>
      <c r="H567">
        <v>5268.0498046875</v>
      </c>
      <c r="I567">
        <f t="shared" si="29"/>
        <v>-4.3318710096461648E-2</v>
      </c>
      <c r="J567">
        <f t="shared" si="29"/>
        <v>-9.1215834414696921E-4</v>
      </c>
      <c r="K567">
        <f t="shared" si="29"/>
        <v>-1.5217483047965137E-2</v>
      </c>
      <c r="L567">
        <f t="shared" si="29"/>
        <v>-3.1338519522543046E-2</v>
      </c>
      <c r="M567">
        <f t="shared" si="29"/>
        <v>-1.2807461509144224E-2</v>
      </c>
      <c r="N567">
        <f t="shared" si="29"/>
        <v>7.6101370519473313E-3</v>
      </c>
      <c r="O567">
        <f t="shared" si="29"/>
        <v>-3.5220607024111679E-2</v>
      </c>
    </row>
    <row r="568" spans="1:15" x14ac:dyDescent="0.35">
      <c r="A568" s="2">
        <v>45758</v>
      </c>
      <c r="B568">
        <v>197.4747314453125</v>
      </c>
      <c r="C568">
        <v>959.4677734375</v>
      </c>
      <c r="D568">
        <v>148.40185546875</v>
      </c>
      <c r="E568">
        <v>232.87974548339841</v>
      </c>
      <c r="F568">
        <v>64.345115661621094</v>
      </c>
      <c r="G568">
        <v>163.6053161621094</v>
      </c>
      <c r="H568">
        <v>5363.35986328125</v>
      </c>
      <c r="I568">
        <f t="shared" si="29"/>
        <v>3.9792170570490448E-2</v>
      </c>
      <c r="J568">
        <f t="shared" si="29"/>
        <v>-9.3379255291558974E-4</v>
      </c>
      <c r="K568">
        <f t="shared" si="29"/>
        <v>2.0239085538445317E-2</v>
      </c>
      <c r="L568">
        <f t="shared" si="29"/>
        <v>3.9244340731231606E-2</v>
      </c>
      <c r="M568">
        <f t="shared" si="29"/>
        <v>-1.3732893507417692E-2</v>
      </c>
      <c r="N568">
        <f t="shared" si="29"/>
        <v>2.0274966218761278E-2</v>
      </c>
      <c r="O568">
        <f t="shared" si="29"/>
        <v>1.7930380835778071E-2</v>
      </c>
    </row>
    <row r="569" spans="1:15" x14ac:dyDescent="0.35">
      <c r="A569" s="2">
        <v>45761</v>
      </c>
      <c r="B569">
        <v>201.82984924316409</v>
      </c>
      <c r="C569">
        <v>975.312744140625</v>
      </c>
      <c r="D569">
        <v>150.97418212890619</v>
      </c>
      <c r="E569">
        <v>231.4205627441406</v>
      </c>
      <c r="F569">
        <v>66.183265686035156</v>
      </c>
      <c r="G569">
        <v>165.78135681152341</v>
      </c>
      <c r="H569">
        <v>5405.97021484375</v>
      </c>
      <c r="I569">
        <f t="shared" si="29"/>
        <v>2.1814377855314052E-2</v>
      </c>
      <c r="J569">
        <f t="shared" si="29"/>
        <v>1.6379454730850649E-2</v>
      </c>
      <c r="K569">
        <f t="shared" si="29"/>
        <v>1.7185009103725252E-2</v>
      </c>
      <c r="L569">
        <f t="shared" si="29"/>
        <v>-6.285533382187642E-3</v>
      </c>
      <c r="M569">
        <f t="shared" si="29"/>
        <v>2.8166618321717317E-2</v>
      </c>
      <c r="N569">
        <f t="shared" si="29"/>
        <v>1.3212874020971847E-2</v>
      </c>
      <c r="O569">
        <f t="shared" si="29"/>
        <v>7.9133193263429911E-3</v>
      </c>
    </row>
    <row r="570" spans="1:15" x14ac:dyDescent="0.35">
      <c r="A570" s="2">
        <v>45762</v>
      </c>
      <c r="B570">
        <v>201.45112609863281</v>
      </c>
      <c r="C570">
        <v>972.92254638671875</v>
      </c>
      <c r="D570">
        <v>150.2503967285156</v>
      </c>
      <c r="E570">
        <v>229.85292053222659</v>
      </c>
      <c r="F570">
        <v>66.153938293457031</v>
      </c>
      <c r="G570">
        <v>165.13441467285159</v>
      </c>
      <c r="H570">
        <v>5396.6298828125</v>
      </c>
      <c r="I570">
        <f t="shared" si="29"/>
        <v>-1.8782103745143019E-3</v>
      </c>
      <c r="J570">
        <f t="shared" si="29"/>
        <v>-2.4537066592982323E-3</v>
      </c>
      <c r="K570">
        <f t="shared" si="29"/>
        <v>-4.8056290496925379E-3</v>
      </c>
      <c r="L570">
        <f t="shared" si="29"/>
        <v>-6.7970447213794557E-3</v>
      </c>
      <c r="M570">
        <f t="shared" si="29"/>
        <v>-4.4322219566879286E-4</v>
      </c>
      <c r="N570">
        <f t="shared" si="29"/>
        <v>-3.9100158930837582E-3</v>
      </c>
      <c r="O570">
        <f t="shared" si="29"/>
        <v>-1.729275225300909E-3</v>
      </c>
    </row>
    <row r="571" spans="1:15" x14ac:dyDescent="0.35">
      <c r="A571" s="2">
        <v>45763</v>
      </c>
      <c r="B571">
        <v>193.60795593261719</v>
      </c>
      <c r="C571">
        <v>963.79010009765625</v>
      </c>
      <c r="D571">
        <v>150.53404235839841</v>
      </c>
      <c r="E571">
        <v>226.38240051269531</v>
      </c>
      <c r="F571">
        <v>64.17889404296875</v>
      </c>
      <c r="G571">
        <v>163.0955810546875</v>
      </c>
      <c r="H571">
        <v>5275.7001953125</v>
      </c>
      <c r="I571">
        <f t="shared" si="29"/>
        <v>-3.9711532896260268E-2</v>
      </c>
      <c r="J571">
        <f t="shared" si="29"/>
        <v>-9.4309437120081094E-3</v>
      </c>
      <c r="K571">
        <f t="shared" si="29"/>
        <v>1.8860398152552047E-3</v>
      </c>
      <c r="L571">
        <f t="shared" ref="L571:O634" si="30">LN(E571/E570)</f>
        <v>-1.5214021368339421E-2</v>
      </c>
      <c r="M571">
        <f t="shared" si="30"/>
        <v>-3.0310021173176476E-2</v>
      </c>
      <c r="N571">
        <f t="shared" si="30"/>
        <v>-1.2423360859253238E-2</v>
      </c>
      <c r="O571">
        <f t="shared" si="30"/>
        <v>-2.2663253964902527E-2</v>
      </c>
    </row>
    <row r="572" spans="1:15" x14ac:dyDescent="0.35">
      <c r="A572" s="2">
        <v>45764</v>
      </c>
      <c r="B572">
        <v>196.3087158203125</v>
      </c>
      <c r="C572">
        <v>990.4306640625</v>
      </c>
      <c r="D572">
        <v>154.0159606933594</v>
      </c>
      <c r="E572">
        <v>228.6993713378906</v>
      </c>
      <c r="F572">
        <v>64.833976745605469</v>
      </c>
      <c r="G572">
        <v>167.25166320800781</v>
      </c>
      <c r="H572">
        <v>5282.7001953125</v>
      </c>
      <c r="I572">
        <f t="shared" ref="I572:N635" si="31">LN(B572/B571)</f>
        <v>1.3853232116374709E-2</v>
      </c>
      <c r="J572">
        <f t="shared" si="31"/>
        <v>2.7266330327762343E-2</v>
      </c>
      <c r="K572">
        <f t="shared" si="31"/>
        <v>2.286698422615915E-2</v>
      </c>
      <c r="L572">
        <f t="shared" si="30"/>
        <v>1.0182745118393986E-2</v>
      </c>
      <c r="M572">
        <f t="shared" si="30"/>
        <v>1.0155395017948541E-2</v>
      </c>
      <c r="N572">
        <f t="shared" si="30"/>
        <v>2.5163227613636603E-2</v>
      </c>
      <c r="O572">
        <f t="shared" si="30"/>
        <v>1.3259586237727749E-3</v>
      </c>
    </row>
    <row r="573" spans="1:15" x14ac:dyDescent="0.35">
      <c r="A573" s="2">
        <v>45768</v>
      </c>
      <c r="B573">
        <v>192.5017395019531</v>
      </c>
      <c r="C573">
        <v>953.85089111328125</v>
      </c>
      <c r="D573">
        <v>153.47801208496091</v>
      </c>
      <c r="E573">
        <v>225.7711181640625</v>
      </c>
      <c r="F573">
        <v>63.240268707275391</v>
      </c>
      <c r="G573">
        <v>163.4809875488281</v>
      </c>
      <c r="H573">
        <v>5158.2001953125</v>
      </c>
      <c r="I573">
        <f t="shared" si="31"/>
        <v>-1.9583310746964674E-2</v>
      </c>
      <c r="J573">
        <f t="shared" si="31"/>
        <v>-3.7632502132944508E-2</v>
      </c>
      <c r="K573">
        <f t="shared" si="31"/>
        <v>-3.4989248885522141E-3</v>
      </c>
      <c r="L573">
        <f t="shared" si="30"/>
        <v>-1.2886617567918333E-2</v>
      </c>
      <c r="M573">
        <f t="shared" si="30"/>
        <v>-2.4888537097496249E-2</v>
      </c>
      <c r="N573">
        <f t="shared" si="30"/>
        <v>-2.2802943930629864E-2</v>
      </c>
      <c r="O573">
        <f t="shared" si="30"/>
        <v>-2.3849648334018009E-2</v>
      </c>
    </row>
    <row r="574" spans="1:15" x14ac:dyDescent="0.35">
      <c r="A574" s="2">
        <v>45769</v>
      </c>
      <c r="B574">
        <v>199.059326171875</v>
      </c>
      <c r="C574">
        <v>975.22308349609375</v>
      </c>
      <c r="D574">
        <v>154.28981018066409</v>
      </c>
      <c r="E574">
        <v>232.2783203125</v>
      </c>
      <c r="F574">
        <v>65.156639099121094</v>
      </c>
      <c r="G574">
        <v>165.58183288574219</v>
      </c>
      <c r="H574">
        <v>5287.759765625</v>
      </c>
      <c r="I574">
        <f t="shared" si="31"/>
        <v>3.3497711701033134E-2</v>
      </c>
      <c r="J574">
        <f t="shared" si="31"/>
        <v>2.2158887803047131E-2</v>
      </c>
      <c r="K574">
        <f t="shared" si="31"/>
        <v>5.2754051571379584E-3</v>
      </c>
      <c r="L574">
        <f t="shared" si="30"/>
        <v>2.8414574566273765E-2</v>
      </c>
      <c r="M574">
        <f t="shared" si="30"/>
        <v>2.98529418600221E-2</v>
      </c>
      <c r="N574">
        <f t="shared" si="30"/>
        <v>1.2768831666144689E-2</v>
      </c>
      <c r="O574">
        <f t="shared" si="30"/>
        <v>2.4806952125450619E-2</v>
      </c>
    </row>
    <row r="575" spans="1:15" x14ac:dyDescent="0.35">
      <c r="A575" s="2">
        <v>45770</v>
      </c>
      <c r="B575">
        <v>203.90275573730469</v>
      </c>
      <c r="C575">
        <v>971.8470458984375</v>
      </c>
      <c r="D575">
        <v>151.9718017578125</v>
      </c>
      <c r="E575">
        <v>237.49397277832031</v>
      </c>
      <c r="F575">
        <v>65.772613525390625</v>
      </c>
      <c r="G575">
        <v>163.46125793457031</v>
      </c>
      <c r="H575">
        <v>5375.85986328125</v>
      </c>
      <c r="I575">
        <f t="shared" si="31"/>
        <v>2.4040290868522936E-2</v>
      </c>
      <c r="J575">
        <f t="shared" si="31"/>
        <v>-3.4678165208028361E-3</v>
      </c>
      <c r="K575">
        <f t="shared" si="31"/>
        <v>-1.5137729292788699E-2</v>
      </c>
      <c r="L575">
        <f t="shared" si="30"/>
        <v>2.2205936204368833E-2</v>
      </c>
      <c r="M575">
        <f t="shared" si="30"/>
        <v>9.4093406715285172E-3</v>
      </c>
      <c r="N575">
        <f t="shared" si="30"/>
        <v>-1.2889523406378974E-2</v>
      </c>
      <c r="O575">
        <f t="shared" si="30"/>
        <v>1.6523864366879457E-2</v>
      </c>
    </row>
    <row r="576" spans="1:15" x14ac:dyDescent="0.35">
      <c r="A576" s="2">
        <v>45771</v>
      </c>
      <c r="B576">
        <v>207.659912109375</v>
      </c>
      <c r="C576">
        <v>971.48846435546875</v>
      </c>
      <c r="D576">
        <v>151.5316467285156</v>
      </c>
      <c r="E576">
        <v>241.20111083984381</v>
      </c>
      <c r="F576">
        <v>64.873092651367188</v>
      </c>
      <c r="G576">
        <v>157.34613037109381</v>
      </c>
      <c r="H576">
        <v>5484.77001953125</v>
      </c>
      <c r="I576">
        <f t="shared" si="31"/>
        <v>1.8258511001947798E-2</v>
      </c>
      <c r="J576">
        <f t="shared" si="31"/>
        <v>-3.6903719933719233E-4</v>
      </c>
      <c r="K576">
        <f t="shared" si="31"/>
        <v>-2.9004964528278158E-3</v>
      </c>
      <c r="L576">
        <f t="shared" si="30"/>
        <v>1.5488824937233201E-2</v>
      </c>
      <c r="M576">
        <f t="shared" si="30"/>
        <v>-1.37706031823734E-2</v>
      </c>
      <c r="N576">
        <f t="shared" si="30"/>
        <v>-3.8127977016353704E-2</v>
      </c>
      <c r="O576">
        <f t="shared" si="30"/>
        <v>2.0056628082583162E-2</v>
      </c>
    </row>
    <row r="577" spans="1:15" x14ac:dyDescent="0.35">
      <c r="A577" s="2">
        <v>45772</v>
      </c>
      <c r="B577">
        <v>208.5668029785156</v>
      </c>
      <c r="C577">
        <v>973.16156005859375</v>
      </c>
      <c r="D577">
        <v>151.18934631347659</v>
      </c>
      <c r="E577">
        <v>240.1264343261719</v>
      </c>
      <c r="F577">
        <v>64.618873596191406</v>
      </c>
      <c r="G577">
        <v>158.81575012207031</v>
      </c>
      <c r="H577">
        <v>5525.2099609375</v>
      </c>
      <c r="I577">
        <f t="shared" si="31"/>
        <v>4.3576842685794422E-3</v>
      </c>
      <c r="J577">
        <f t="shared" si="31"/>
        <v>1.7207169361456785E-3</v>
      </c>
      <c r="K577">
        <f t="shared" si="31"/>
        <v>-2.261492058982593E-3</v>
      </c>
      <c r="L577">
        <f t="shared" si="30"/>
        <v>-4.4654759955506012E-3</v>
      </c>
      <c r="M577">
        <f t="shared" si="30"/>
        <v>-3.9264116399537032E-3</v>
      </c>
      <c r="N577">
        <f t="shared" si="30"/>
        <v>9.2966953095468905E-3</v>
      </c>
      <c r="O577">
        <f t="shared" si="30"/>
        <v>7.3460847957005125E-3</v>
      </c>
    </row>
    <row r="578" spans="1:15" x14ac:dyDescent="0.35">
      <c r="A578" s="2">
        <v>45775</v>
      </c>
      <c r="B578">
        <v>209.42387390136719</v>
      </c>
      <c r="C578">
        <v>974.535888671875</v>
      </c>
      <c r="D578">
        <v>151.94245910644531</v>
      </c>
      <c r="E578">
        <v>239.80108642578119</v>
      </c>
      <c r="F578">
        <v>64.716651916503906</v>
      </c>
      <c r="G578">
        <v>159.6343688964844</v>
      </c>
      <c r="H578">
        <v>5528.75</v>
      </c>
      <c r="I578">
        <f t="shared" si="31"/>
        <v>4.1009150270929001E-3</v>
      </c>
      <c r="J578">
        <f t="shared" si="31"/>
        <v>1.4112344217196255E-3</v>
      </c>
      <c r="K578">
        <f t="shared" si="31"/>
        <v>4.9688902914444772E-3</v>
      </c>
      <c r="L578">
        <f t="shared" si="30"/>
        <v>-1.3558211861666722E-3</v>
      </c>
      <c r="M578">
        <f t="shared" si="30"/>
        <v>1.5120105408487703E-3</v>
      </c>
      <c r="N578">
        <f t="shared" si="30"/>
        <v>5.1412797717407237E-3</v>
      </c>
      <c r="O578">
        <f t="shared" si="30"/>
        <v>6.4050153900193328E-4</v>
      </c>
    </row>
    <row r="579" spans="1:15" x14ac:dyDescent="0.35">
      <c r="A579" s="2">
        <v>45776</v>
      </c>
      <c r="B579">
        <v>210.490234375</v>
      </c>
      <c r="C579">
        <v>987.64208984375</v>
      </c>
      <c r="D579">
        <v>152.49017333984381</v>
      </c>
      <c r="E579">
        <v>241.181396484375</v>
      </c>
      <c r="F579">
        <v>65.753059387207031</v>
      </c>
      <c r="G579">
        <v>160.03875732421881</v>
      </c>
      <c r="H579">
        <v>5560.830078125</v>
      </c>
      <c r="I579">
        <f t="shared" si="31"/>
        <v>5.0789566004854573E-3</v>
      </c>
      <c r="J579">
        <f t="shared" si="31"/>
        <v>1.3359028823932632E-2</v>
      </c>
      <c r="K579">
        <f t="shared" si="31"/>
        <v>3.5982661908409187E-3</v>
      </c>
      <c r="L579">
        <f t="shared" si="30"/>
        <v>5.7395597423181661E-3</v>
      </c>
      <c r="M579">
        <f t="shared" si="30"/>
        <v>1.5887660988801951E-2</v>
      </c>
      <c r="N579">
        <f t="shared" si="30"/>
        <v>2.5300133809911681E-3</v>
      </c>
      <c r="O579">
        <f t="shared" si="30"/>
        <v>5.7856415455563989E-3</v>
      </c>
    </row>
    <row r="580" spans="1:15" x14ac:dyDescent="0.35">
      <c r="A580" s="2">
        <v>45777</v>
      </c>
      <c r="B580">
        <v>211.77583312988281</v>
      </c>
      <c r="C580">
        <v>990.4306640625</v>
      </c>
      <c r="D580">
        <v>152.8813781738281</v>
      </c>
      <c r="E580">
        <v>241.181396484375</v>
      </c>
      <c r="F580">
        <v>65.39129638671875</v>
      </c>
      <c r="G580">
        <v>160.34452819824219</v>
      </c>
      <c r="H580">
        <v>5569.06005859375</v>
      </c>
      <c r="I580">
        <f t="shared" si="31"/>
        <v>6.0890648146299841E-3</v>
      </c>
      <c r="J580">
        <f t="shared" si="31"/>
        <v>2.8194878682394125E-3</v>
      </c>
      <c r="K580">
        <f t="shared" si="31"/>
        <v>2.5621577783223946E-3</v>
      </c>
      <c r="L580">
        <f t="shared" si="30"/>
        <v>0</v>
      </c>
      <c r="M580">
        <f t="shared" si="30"/>
        <v>-5.5170337442975153E-3</v>
      </c>
      <c r="N580">
        <f t="shared" si="30"/>
        <v>1.9087822659858398E-3</v>
      </c>
      <c r="O580">
        <f t="shared" si="30"/>
        <v>1.4788972519335208E-3</v>
      </c>
    </row>
    <row r="581" spans="1:15" x14ac:dyDescent="0.35">
      <c r="A581" s="2">
        <v>45778</v>
      </c>
      <c r="B581">
        <v>212.5930480957031</v>
      </c>
      <c r="C581">
        <v>994.95208740234375</v>
      </c>
      <c r="D581">
        <v>151.07197570800781</v>
      </c>
      <c r="E581">
        <v>243.41949462890619</v>
      </c>
      <c r="F581">
        <v>64.57977294921875</v>
      </c>
      <c r="G581">
        <v>157.78997802734381</v>
      </c>
      <c r="H581">
        <v>5604.14013671875</v>
      </c>
      <c r="I581">
        <f t="shared" si="31"/>
        <v>3.8514415743526203E-3</v>
      </c>
      <c r="J581">
        <f t="shared" si="31"/>
        <v>4.5547198927702887E-3</v>
      </c>
      <c r="K581">
        <f t="shared" si="31"/>
        <v>-1.1905931067435817E-2</v>
      </c>
      <c r="L581">
        <f t="shared" si="30"/>
        <v>9.2369374411743095E-3</v>
      </c>
      <c r="M581">
        <f t="shared" si="30"/>
        <v>-1.2487917317482888E-2</v>
      </c>
      <c r="N581">
        <f t="shared" si="30"/>
        <v>-1.6059905647395949E-2</v>
      </c>
      <c r="O581">
        <f t="shared" si="30"/>
        <v>6.2793457164519737E-3</v>
      </c>
    </row>
    <row r="582" spans="1:15" x14ac:dyDescent="0.35">
      <c r="A582" s="2">
        <v>45779</v>
      </c>
      <c r="B582">
        <v>204.65019226074219</v>
      </c>
      <c r="C582">
        <v>1005.482543945312</v>
      </c>
      <c r="D582">
        <v>152.695556640625</v>
      </c>
      <c r="E582">
        <v>248.9604797363281</v>
      </c>
      <c r="F582">
        <v>65.596611022949219</v>
      </c>
      <c r="G582">
        <v>158.32258605957031</v>
      </c>
      <c r="H582">
        <v>5686.669921875</v>
      </c>
      <c r="I582">
        <f t="shared" si="31"/>
        <v>-3.8077623518229901E-2</v>
      </c>
      <c r="J582">
        <f t="shared" si="31"/>
        <v>1.0528265855762213E-2</v>
      </c>
      <c r="K582">
        <f t="shared" si="31"/>
        <v>1.0689729614137689E-2</v>
      </c>
      <c r="L582">
        <f t="shared" si="30"/>
        <v>2.2507897633452435E-2</v>
      </c>
      <c r="M582">
        <f t="shared" si="30"/>
        <v>1.5622783862537907E-2</v>
      </c>
      <c r="N582">
        <f t="shared" si="30"/>
        <v>3.3697397492040691E-3</v>
      </c>
      <c r="O582">
        <f t="shared" si="30"/>
        <v>1.4619191109112719E-2</v>
      </c>
    </row>
    <row r="583" spans="1:15" x14ac:dyDescent="0.35">
      <c r="A583" s="2">
        <v>45782</v>
      </c>
      <c r="B583">
        <v>198.21221923828119</v>
      </c>
      <c r="C583">
        <v>1012.054077148438</v>
      </c>
      <c r="D583">
        <v>151.6001281738281</v>
      </c>
      <c r="E583">
        <v>249.009765625</v>
      </c>
      <c r="F583">
        <v>64.628662109375</v>
      </c>
      <c r="G583">
        <v>156.6557312011719</v>
      </c>
      <c r="H583">
        <v>5650.3798828125</v>
      </c>
      <c r="I583">
        <f t="shared" si="31"/>
        <v>-3.1963871352804409E-2</v>
      </c>
      <c r="J583">
        <f t="shared" si="31"/>
        <v>6.5144358467259947E-3</v>
      </c>
      <c r="K583">
        <f t="shared" si="31"/>
        <v>-7.1997944988382249E-3</v>
      </c>
      <c r="L583">
        <f t="shared" si="30"/>
        <v>1.9794712351570043E-4</v>
      </c>
      <c r="M583">
        <f t="shared" si="30"/>
        <v>-1.4866035087317549E-2</v>
      </c>
      <c r="N583">
        <f t="shared" si="30"/>
        <v>-1.0584032788026448E-2</v>
      </c>
      <c r="O583">
        <f t="shared" si="30"/>
        <v>-6.4020470293184471E-3</v>
      </c>
    </row>
    <row r="584" spans="1:15" x14ac:dyDescent="0.35">
      <c r="A584" s="2">
        <v>45783</v>
      </c>
      <c r="B584">
        <v>197.83349609375</v>
      </c>
      <c r="C584">
        <v>1007.676391601562</v>
      </c>
      <c r="D584">
        <v>151.0817565917969</v>
      </c>
      <c r="E584">
        <v>245.7463073730469</v>
      </c>
      <c r="F584">
        <v>65.058860778808594</v>
      </c>
      <c r="G584">
        <v>157.0699768066406</v>
      </c>
      <c r="H584">
        <v>5606.91015625</v>
      </c>
      <c r="I584">
        <f t="shared" si="31"/>
        <v>-1.9125229503015714E-3</v>
      </c>
      <c r="J584">
        <f t="shared" si="31"/>
        <v>-4.3349273280913281E-3</v>
      </c>
      <c r="K584">
        <f t="shared" si="31"/>
        <v>-3.4251940067381768E-3</v>
      </c>
      <c r="L584">
        <f t="shared" si="30"/>
        <v>-1.3192382107717187E-2</v>
      </c>
      <c r="M584">
        <f t="shared" si="30"/>
        <v>6.634412282691354E-3</v>
      </c>
      <c r="N584">
        <f t="shared" si="30"/>
        <v>2.6408154361441979E-3</v>
      </c>
      <c r="O584">
        <f t="shared" si="30"/>
        <v>-7.7229852783917974E-3</v>
      </c>
    </row>
    <row r="585" spans="1:15" x14ac:dyDescent="0.35">
      <c r="A585" s="2">
        <v>45784</v>
      </c>
      <c r="B585">
        <v>195.5812072753906</v>
      </c>
      <c r="C585">
        <v>1004.335754394531</v>
      </c>
      <c r="D585">
        <v>153.84968566894531</v>
      </c>
      <c r="E585">
        <v>245.88433837890619</v>
      </c>
      <c r="F585">
        <v>65.860610961914063</v>
      </c>
      <c r="G585">
        <v>157.10942077636719</v>
      </c>
      <c r="H585">
        <v>5631.27978515625</v>
      </c>
      <c r="I585">
        <f t="shared" si="31"/>
        <v>-1.1450072435285692E-2</v>
      </c>
      <c r="J585">
        <f t="shared" si="31"/>
        <v>-3.320695934616045E-3</v>
      </c>
      <c r="K585">
        <f t="shared" si="31"/>
        <v>1.8154933990210013E-2</v>
      </c>
      <c r="L585">
        <f t="shared" si="30"/>
        <v>5.6152321129218055E-4</v>
      </c>
      <c r="M585">
        <f t="shared" si="30"/>
        <v>1.2248143006287465E-2</v>
      </c>
      <c r="N585">
        <f t="shared" si="30"/>
        <v>2.5109202091086561E-4</v>
      </c>
      <c r="O585">
        <f t="shared" si="30"/>
        <v>4.3369381067101323E-3</v>
      </c>
    </row>
    <row r="586" spans="1:15" x14ac:dyDescent="0.35">
      <c r="A586" s="2">
        <v>45785</v>
      </c>
      <c r="B586">
        <v>196.8169860839844</v>
      </c>
      <c r="C586">
        <v>1004.894165039062</v>
      </c>
      <c r="D586">
        <v>152.24565124511719</v>
      </c>
      <c r="E586">
        <v>249.90699768066409</v>
      </c>
      <c r="F586">
        <v>66.799240112304688</v>
      </c>
      <c r="G586">
        <v>156.4781799316406</v>
      </c>
      <c r="H586">
        <v>5663.93994140625</v>
      </c>
      <c r="I586">
        <f t="shared" si="31"/>
        <v>6.2986166350818516E-3</v>
      </c>
      <c r="J586">
        <f t="shared" si="31"/>
        <v>5.5584545452711529E-4</v>
      </c>
      <c r="K586">
        <f t="shared" si="31"/>
        <v>-1.0480715733578597E-2</v>
      </c>
      <c r="L586">
        <f t="shared" si="30"/>
        <v>1.6227583195552817E-2</v>
      </c>
      <c r="M586">
        <f t="shared" si="30"/>
        <v>1.415115133191007E-2</v>
      </c>
      <c r="N586">
        <f t="shared" si="30"/>
        <v>-4.0259353106136229E-3</v>
      </c>
      <c r="O586">
        <f t="shared" si="30"/>
        <v>5.7830211474656414E-3</v>
      </c>
    </row>
    <row r="587" spans="1:15" x14ac:dyDescent="0.35">
      <c r="A587" s="2">
        <v>45786</v>
      </c>
      <c r="B587">
        <v>197.85343933105469</v>
      </c>
      <c r="C587">
        <v>1005.273193359375</v>
      </c>
      <c r="D587">
        <v>150.83723449707031</v>
      </c>
      <c r="E587">
        <v>249.52247619628909</v>
      </c>
      <c r="F587">
        <v>68.74493408203125</v>
      </c>
      <c r="G587">
        <v>155.50172424316409</v>
      </c>
      <c r="H587">
        <v>5659.91015625</v>
      </c>
      <c r="I587">
        <f t="shared" si="31"/>
        <v>5.2522589126451722E-3</v>
      </c>
      <c r="J587">
        <f t="shared" si="31"/>
        <v>3.7711121237875295E-4</v>
      </c>
      <c r="K587">
        <f t="shared" si="31"/>
        <v>-9.2940047252308856E-3</v>
      </c>
      <c r="L587">
        <f t="shared" si="30"/>
        <v>-1.5398432830519297E-3</v>
      </c>
      <c r="M587">
        <f t="shared" si="30"/>
        <v>2.8711342838586017E-2</v>
      </c>
      <c r="N587">
        <f t="shared" si="30"/>
        <v>-6.2597549643705255E-3</v>
      </c>
      <c r="O587">
        <f t="shared" si="30"/>
        <v>-7.1173413487636322E-4</v>
      </c>
    </row>
    <row r="588" spans="1:15" x14ac:dyDescent="0.35">
      <c r="A588" s="2">
        <v>45789</v>
      </c>
      <c r="B588">
        <v>210.3471374511719</v>
      </c>
      <c r="C588">
        <v>1013.310607910156</v>
      </c>
      <c r="D588">
        <v>150.75898742675781</v>
      </c>
      <c r="E588">
        <v>256.39447021484381</v>
      </c>
      <c r="F588">
        <v>68.138748168945313</v>
      </c>
      <c r="G588">
        <v>158.69737243652341</v>
      </c>
      <c r="H588">
        <v>5844.18994140625</v>
      </c>
      <c r="I588">
        <f t="shared" si="31"/>
        <v>6.1232650231334652E-2</v>
      </c>
      <c r="J588">
        <f t="shared" si="31"/>
        <v>7.9634613348406585E-3</v>
      </c>
      <c r="K588">
        <f t="shared" si="31"/>
        <v>-5.1888628822335423E-4</v>
      </c>
      <c r="L588">
        <f t="shared" si="30"/>
        <v>2.7168161699919289E-2</v>
      </c>
      <c r="M588">
        <f t="shared" si="30"/>
        <v>-8.8570071447482499E-3</v>
      </c>
      <c r="N588">
        <f t="shared" si="30"/>
        <v>2.0342250661314773E-2</v>
      </c>
      <c r="O588">
        <f t="shared" si="30"/>
        <v>3.2039976677020812E-2</v>
      </c>
    </row>
    <row r="589" spans="1:15" x14ac:dyDescent="0.35">
      <c r="A589" s="2">
        <v>45790</v>
      </c>
      <c r="B589">
        <v>212.4826354980469</v>
      </c>
      <c r="C589">
        <v>996.23846435546875</v>
      </c>
      <c r="D589">
        <v>145.18403625488281</v>
      </c>
      <c r="E589">
        <v>259.31292724609381</v>
      </c>
      <c r="F589">
        <v>70.5048828125</v>
      </c>
      <c r="G589">
        <v>156.55708312988281</v>
      </c>
      <c r="H589">
        <v>5886.5498046875</v>
      </c>
      <c r="I589">
        <f t="shared" si="31"/>
        <v>1.0101068282407802E-2</v>
      </c>
      <c r="J589">
        <f t="shared" si="31"/>
        <v>-1.6991428104872777E-2</v>
      </c>
      <c r="K589">
        <f t="shared" si="31"/>
        <v>-3.7680298719838141E-2</v>
      </c>
      <c r="L589">
        <f t="shared" si="30"/>
        <v>1.1318387913446516E-2</v>
      </c>
      <c r="M589">
        <f t="shared" si="30"/>
        <v>3.4135926564215636E-2</v>
      </c>
      <c r="N589">
        <f t="shared" si="30"/>
        <v>-1.3578378690179315E-2</v>
      </c>
      <c r="O589">
        <f t="shared" si="30"/>
        <v>7.2220590202459771E-3</v>
      </c>
    </row>
    <row r="590" spans="1:15" x14ac:dyDescent="0.35">
      <c r="A590" s="2">
        <v>45791</v>
      </c>
      <c r="B590">
        <v>211.88389587402341</v>
      </c>
      <c r="C590">
        <v>988.76934814453125</v>
      </c>
      <c r="D590">
        <v>143.149658203125</v>
      </c>
      <c r="E590">
        <v>261.90594482421881</v>
      </c>
      <c r="F590">
        <v>70.583099365234375</v>
      </c>
      <c r="G590">
        <v>155.8568115234375</v>
      </c>
      <c r="H590">
        <v>5892.580078125</v>
      </c>
      <c r="I590">
        <f t="shared" si="31"/>
        <v>-2.8218060429069688E-3</v>
      </c>
      <c r="J590">
        <f t="shared" si="31"/>
        <v>-7.5255637931821578E-3</v>
      </c>
      <c r="K590">
        <f t="shared" si="31"/>
        <v>-1.4111509340415326E-2</v>
      </c>
      <c r="L590">
        <f t="shared" si="30"/>
        <v>9.9499043859024878E-3</v>
      </c>
      <c r="M590">
        <f t="shared" si="30"/>
        <v>1.1087629086485044E-3</v>
      </c>
      <c r="N590">
        <f t="shared" si="30"/>
        <v>-4.482981014713232E-3</v>
      </c>
      <c r="O590">
        <f t="shared" si="30"/>
        <v>1.0238912422760539E-3</v>
      </c>
    </row>
    <row r="591" spans="1:15" x14ac:dyDescent="0.35">
      <c r="A591" s="2">
        <v>45792</v>
      </c>
      <c r="B591">
        <v>211.00575256347659</v>
      </c>
      <c r="C591">
        <v>1007.646484375</v>
      </c>
      <c r="D591">
        <v>146.328369140625</v>
      </c>
      <c r="E591">
        <v>263.72988891601563</v>
      </c>
      <c r="F591">
        <v>72.890571594238281</v>
      </c>
      <c r="G591">
        <v>160.18670654296881</v>
      </c>
      <c r="H591">
        <v>5916.93017578125</v>
      </c>
      <c r="I591">
        <f t="shared" si="31"/>
        <v>-4.1530672409377028E-3</v>
      </c>
      <c r="J591">
        <f t="shared" si="31"/>
        <v>1.8911589994585993E-2</v>
      </c>
      <c r="K591">
        <f t="shared" si="31"/>
        <v>2.1962556105568451E-2</v>
      </c>
      <c r="L591">
        <f t="shared" si="30"/>
        <v>6.9399812391616753E-3</v>
      </c>
      <c r="M591">
        <f t="shared" si="30"/>
        <v>3.2168567157657646E-2</v>
      </c>
      <c r="N591">
        <f t="shared" si="30"/>
        <v>2.7402339915515939E-2</v>
      </c>
      <c r="O591">
        <f t="shared" si="30"/>
        <v>4.123817438757677E-3</v>
      </c>
    </row>
    <row r="592" spans="1:15" x14ac:dyDescent="0.35">
      <c r="A592" s="2">
        <v>45793</v>
      </c>
      <c r="B592">
        <v>210.81614685058591</v>
      </c>
      <c r="C592">
        <v>1022.963500976562</v>
      </c>
      <c r="D592">
        <v>148.0106506347656</v>
      </c>
      <c r="E592">
        <v>263.7989501953125</v>
      </c>
      <c r="F592">
        <v>73.330551147460938</v>
      </c>
      <c r="G592">
        <v>161.0447998046875</v>
      </c>
      <c r="H592">
        <v>5958.3798828125</v>
      </c>
      <c r="I592">
        <f t="shared" si="31"/>
        <v>-8.9898474177643414E-4</v>
      </c>
      <c r="J592">
        <f t="shared" si="31"/>
        <v>1.5086409722591728E-2</v>
      </c>
      <c r="K592">
        <f t="shared" si="31"/>
        <v>1.1431034959797068E-2</v>
      </c>
      <c r="L592">
        <f t="shared" si="30"/>
        <v>2.6182939991583167E-4</v>
      </c>
      <c r="M592">
        <f t="shared" si="30"/>
        <v>6.0180208283375555E-3</v>
      </c>
      <c r="N592">
        <f t="shared" si="30"/>
        <v>5.3425351236413227E-3</v>
      </c>
      <c r="O592">
        <f t="shared" si="30"/>
        <v>6.9808493681001891E-3</v>
      </c>
    </row>
    <row r="593" spans="1:15" x14ac:dyDescent="0.35">
      <c r="A593" s="2">
        <v>45796</v>
      </c>
      <c r="B593">
        <v>208.34135437011719</v>
      </c>
      <c r="C593">
        <v>1031.44970703125</v>
      </c>
      <c r="D593">
        <v>149.14518737792969</v>
      </c>
      <c r="E593">
        <v>261.1566162109375</v>
      </c>
      <c r="F593">
        <v>72.215927124023438</v>
      </c>
      <c r="G593">
        <v>162.514404296875</v>
      </c>
      <c r="H593">
        <v>5963.60009765625</v>
      </c>
      <c r="I593">
        <f t="shared" si="31"/>
        <v>-1.1808550392953584E-2</v>
      </c>
      <c r="J593">
        <f t="shared" si="31"/>
        <v>8.2614873077997125E-3</v>
      </c>
      <c r="K593">
        <f t="shared" si="31"/>
        <v>7.6360085234705123E-3</v>
      </c>
      <c r="L593">
        <f t="shared" si="30"/>
        <v>-1.0066971259293109E-2</v>
      </c>
      <c r="M593">
        <f t="shared" si="30"/>
        <v>-1.5316699209873429E-2</v>
      </c>
      <c r="N593">
        <f t="shared" si="30"/>
        <v>9.0840537343914694E-3</v>
      </c>
      <c r="O593">
        <f t="shared" si="30"/>
        <v>8.757295660482738E-4</v>
      </c>
    </row>
    <row r="594" spans="1:15" x14ac:dyDescent="0.35">
      <c r="A594" s="2">
        <v>45797</v>
      </c>
      <c r="B594">
        <v>206.42539978027341</v>
      </c>
      <c r="C594">
        <v>1033.922729492188</v>
      </c>
      <c r="D594">
        <v>150.2895202636719</v>
      </c>
      <c r="E594">
        <v>261.94534301757813</v>
      </c>
      <c r="F594">
        <v>72.753684997558594</v>
      </c>
      <c r="G594">
        <v>163.37248229980469</v>
      </c>
      <c r="H594">
        <v>5940.4599609375</v>
      </c>
      <c r="I594">
        <f t="shared" si="31"/>
        <v>-9.2387743167436174E-3</v>
      </c>
      <c r="J594">
        <f t="shared" si="31"/>
        <v>2.3947483747406872E-3</v>
      </c>
      <c r="K594">
        <f t="shared" si="31"/>
        <v>7.6433254233225926E-3</v>
      </c>
      <c r="L594">
        <f t="shared" si="30"/>
        <v>3.015578093067183E-3</v>
      </c>
      <c r="M594">
        <f t="shared" si="30"/>
        <v>7.418938799770753E-3</v>
      </c>
      <c r="N594">
        <f t="shared" si="30"/>
        <v>5.2661215976549502E-3</v>
      </c>
      <c r="O594">
        <f t="shared" si="30"/>
        <v>-3.8877770695725784E-3</v>
      </c>
    </row>
    <row r="595" spans="1:15" x14ac:dyDescent="0.35">
      <c r="A595" s="2">
        <v>45798</v>
      </c>
      <c r="B595">
        <v>201.6654052734375</v>
      </c>
      <c r="C595">
        <v>1022.435119628906</v>
      </c>
      <c r="D595">
        <v>149.82005310058591</v>
      </c>
      <c r="E595">
        <v>257.37057495117188</v>
      </c>
      <c r="F595">
        <v>69.947563171386719</v>
      </c>
      <c r="G595">
        <v>163.16535949707031</v>
      </c>
      <c r="H595">
        <v>5844.60986328125</v>
      </c>
      <c r="I595">
        <f t="shared" si="31"/>
        <v>-2.3329172486255583E-2</v>
      </c>
      <c r="J595">
        <f t="shared" si="31"/>
        <v>-1.117288935981057E-2</v>
      </c>
      <c r="K595">
        <f t="shared" si="31"/>
        <v>-3.1286409211627787E-3</v>
      </c>
      <c r="L595">
        <f t="shared" si="30"/>
        <v>-1.7618895362962097E-2</v>
      </c>
      <c r="M595">
        <f t="shared" si="30"/>
        <v>-3.9333693872218099E-2</v>
      </c>
      <c r="N595">
        <f t="shared" si="30"/>
        <v>-1.2685992494607457E-3</v>
      </c>
      <c r="O595">
        <f t="shared" si="30"/>
        <v>-1.6266719267758897E-2</v>
      </c>
    </row>
    <row r="596" spans="1:15" x14ac:dyDescent="0.35">
      <c r="A596" s="2">
        <v>45799</v>
      </c>
      <c r="B596">
        <v>200.93693542480469</v>
      </c>
      <c r="C596">
        <v>1015.285034179688</v>
      </c>
      <c r="D596">
        <v>149.2625427246094</v>
      </c>
      <c r="E596">
        <v>257.00579833984381</v>
      </c>
      <c r="F596">
        <v>65.449958801269531</v>
      </c>
      <c r="G596">
        <v>162.7708435058594</v>
      </c>
      <c r="H596">
        <v>5842.009765625</v>
      </c>
      <c r="I596">
        <f t="shared" si="31"/>
        <v>-3.6188097782022515E-3</v>
      </c>
      <c r="J596">
        <f t="shared" si="31"/>
        <v>-7.017759313362377E-3</v>
      </c>
      <c r="K596">
        <f t="shared" si="31"/>
        <v>-3.7281408513665706E-3</v>
      </c>
      <c r="L596">
        <f t="shared" si="30"/>
        <v>-1.4183259240481852E-3</v>
      </c>
      <c r="M596">
        <f t="shared" si="30"/>
        <v>-6.6460000897024099E-2</v>
      </c>
      <c r="N596">
        <f t="shared" si="30"/>
        <v>-2.4208184316030236E-3</v>
      </c>
      <c r="O596">
        <f t="shared" si="30"/>
        <v>-4.4497002242116929E-4</v>
      </c>
    </row>
    <row r="597" spans="1:15" x14ac:dyDescent="0.35">
      <c r="A597" s="2">
        <v>45800</v>
      </c>
      <c r="B597">
        <v>194.85975646972659</v>
      </c>
      <c r="C597">
        <v>1005.681945800781</v>
      </c>
      <c r="D597">
        <v>149.5853271484375</v>
      </c>
      <c r="E597">
        <v>257.04522705078119</v>
      </c>
      <c r="F597">
        <v>66.251701354980469</v>
      </c>
      <c r="G597">
        <v>163.5894775390625</v>
      </c>
      <c r="H597">
        <v>5802.81982421875</v>
      </c>
      <c r="I597">
        <f t="shared" si="31"/>
        <v>-3.0711002496563045E-2</v>
      </c>
      <c r="J597">
        <f t="shared" si="31"/>
        <v>-9.5035304889630762E-3</v>
      </c>
      <c r="K597">
        <f t="shared" si="31"/>
        <v>2.1601930740628287E-3</v>
      </c>
      <c r="L597">
        <f t="shared" si="30"/>
        <v>1.5340388042116876E-4</v>
      </c>
      <c r="M597">
        <f t="shared" si="30"/>
        <v>1.2175282479529747E-2</v>
      </c>
      <c r="N597">
        <f t="shared" si="30"/>
        <v>5.0167602944000463E-3</v>
      </c>
      <c r="O597">
        <f t="shared" si="30"/>
        <v>-6.730899591473139E-3</v>
      </c>
    </row>
    <row r="598" spans="1:15" x14ac:dyDescent="0.35">
      <c r="A598" s="2">
        <v>45804</v>
      </c>
      <c r="B598">
        <v>199.78936767578119</v>
      </c>
      <c r="C598">
        <v>1014.945983886719</v>
      </c>
      <c r="D598">
        <v>151.1734924316406</v>
      </c>
      <c r="E598">
        <v>261.56085205078119</v>
      </c>
      <c r="F598">
        <v>66.525474548339844</v>
      </c>
      <c r="G598">
        <v>165.4634704589844</v>
      </c>
      <c r="H598">
        <v>5921.5400390625</v>
      </c>
      <c r="I598">
        <f t="shared" si="31"/>
        <v>2.4983547736617411E-2</v>
      </c>
      <c r="J598">
        <f t="shared" si="31"/>
        <v>9.169528798412839E-3</v>
      </c>
      <c r="K598">
        <f t="shared" si="31"/>
        <v>1.0561153598887723E-2</v>
      </c>
      <c r="L598">
        <f t="shared" si="30"/>
        <v>1.7414910105956128E-2</v>
      </c>
      <c r="M598">
        <f t="shared" si="30"/>
        <v>4.1238048553695981E-3</v>
      </c>
      <c r="N598">
        <f t="shared" si="30"/>
        <v>1.1390344272904243E-2</v>
      </c>
      <c r="O598">
        <f t="shared" si="30"/>
        <v>2.025258080218437E-2</v>
      </c>
    </row>
    <row r="599" spans="1:15" x14ac:dyDescent="0.35">
      <c r="A599" s="2">
        <v>45805</v>
      </c>
      <c r="B599">
        <v>199.99891662597659</v>
      </c>
      <c r="C599">
        <v>1010.309020996094</v>
      </c>
      <c r="D599">
        <v>150.36460876464841</v>
      </c>
      <c r="E599">
        <v>259.7861328125</v>
      </c>
      <c r="F599">
        <v>65.713951110839844</v>
      </c>
      <c r="G599">
        <v>165.06895446777341</v>
      </c>
      <c r="H599">
        <v>5888.5498046875</v>
      </c>
      <c r="I599">
        <f t="shared" si="31"/>
        <v>1.0482997006847805E-3</v>
      </c>
      <c r="J599">
        <f t="shared" si="31"/>
        <v>-4.5791477932331636E-3</v>
      </c>
      <c r="K599">
        <f t="shared" si="31"/>
        <v>-5.365064010276057E-3</v>
      </c>
      <c r="L599">
        <f t="shared" si="30"/>
        <v>-6.8082338440962576E-3</v>
      </c>
      <c r="M599">
        <f t="shared" si="30"/>
        <v>-1.2273701598551573E-2</v>
      </c>
      <c r="N599">
        <f t="shared" si="30"/>
        <v>-2.3871556846175178E-3</v>
      </c>
      <c r="O599">
        <f t="shared" si="30"/>
        <v>-5.586802576444734E-3</v>
      </c>
    </row>
    <row r="600" spans="1:15" x14ac:dyDescent="0.35">
      <c r="A600" s="2">
        <v>45806</v>
      </c>
      <c r="B600">
        <v>199.5299072265625</v>
      </c>
      <c r="C600">
        <v>1005.921325683594</v>
      </c>
      <c r="D600">
        <v>151.4990234375</v>
      </c>
      <c r="E600">
        <v>260.65374755859381</v>
      </c>
      <c r="F600">
        <v>67.454330444335938</v>
      </c>
      <c r="G600">
        <v>166.25250244140619</v>
      </c>
      <c r="H600">
        <v>5912.169921875</v>
      </c>
      <c r="I600">
        <f t="shared" si="31"/>
        <v>-2.3478136587600611E-3</v>
      </c>
      <c r="J600">
        <f t="shared" si="31"/>
        <v>-4.3523819053210792E-3</v>
      </c>
      <c r="K600">
        <f t="shared" si="31"/>
        <v>7.516109211349725E-3</v>
      </c>
      <c r="L600">
        <f t="shared" si="30"/>
        <v>3.3341624366744378E-3</v>
      </c>
      <c r="M600">
        <f t="shared" si="30"/>
        <v>2.6139534257742916E-2</v>
      </c>
      <c r="N600">
        <f t="shared" si="30"/>
        <v>7.1444392342753706E-3</v>
      </c>
      <c r="O600">
        <f t="shared" si="30"/>
        <v>4.0031708706317415E-3</v>
      </c>
    </row>
    <row r="601" spans="1:15" x14ac:dyDescent="0.35">
      <c r="A601" s="2">
        <v>45807</v>
      </c>
      <c r="B601">
        <v>200.42802429199219</v>
      </c>
      <c r="C601">
        <v>1037.2734375</v>
      </c>
      <c r="D601">
        <v>153.10693359375</v>
      </c>
      <c r="E601">
        <v>260.28900146484381</v>
      </c>
      <c r="F601">
        <v>69.067596435546875</v>
      </c>
      <c r="G601">
        <v>167.5643005371094</v>
      </c>
      <c r="H601">
        <v>5911.68994140625</v>
      </c>
      <c r="I601">
        <f t="shared" si="31"/>
        <v>4.4910652056797812E-3</v>
      </c>
      <c r="J601">
        <f t="shared" si="31"/>
        <v>3.0691712248297622E-2</v>
      </c>
      <c r="K601">
        <f t="shared" si="31"/>
        <v>1.0557410672819597E-2</v>
      </c>
      <c r="L601">
        <f t="shared" si="30"/>
        <v>-1.4003310499555897E-3</v>
      </c>
      <c r="M601">
        <f t="shared" si="30"/>
        <v>2.3634900650204425E-2</v>
      </c>
      <c r="N601">
        <f t="shared" si="30"/>
        <v>7.8594297024096871E-3</v>
      </c>
      <c r="O601">
        <f t="shared" si="30"/>
        <v>-8.1188456995205617E-5</v>
      </c>
    </row>
    <row r="602" spans="1:15" x14ac:dyDescent="0.35">
      <c r="A602" s="2">
        <v>45810</v>
      </c>
      <c r="B602">
        <v>201.27622985839841</v>
      </c>
      <c r="C602">
        <v>1053.896850585938</v>
      </c>
      <c r="D602">
        <v>153.29435729980469</v>
      </c>
      <c r="E602">
        <v>260.939697265625</v>
      </c>
      <c r="F602">
        <v>69.14349365234375</v>
      </c>
      <c r="G602">
        <v>165.48320007324219</v>
      </c>
      <c r="H602">
        <v>5935.93994140625</v>
      </c>
      <c r="I602">
        <f t="shared" si="31"/>
        <v>4.2230412957917664E-3</v>
      </c>
      <c r="J602">
        <f t="shared" si="31"/>
        <v>1.5899004829105227E-2</v>
      </c>
      <c r="K602">
        <f t="shared" si="31"/>
        <v>1.2233873355047978E-3</v>
      </c>
      <c r="L602">
        <f t="shared" si="30"/>
        <v>2.4967778650602586E-3</v>
      </c>
      <c r="M602">
        <f t="shared" si="30"/>
        <v>1.0982798034175022E-3</v>
      </c>
      <c r="N602">
        <f t="shared" si="30"/>
        <v>-1.2497481871075477E-2</v>
      </c>
      <c r="O602">
        <f t="shared" si="30"/>
        <v>4.0936514906260279E-3</v>
      </c>
    </row>
    <row r="603" spans="1:15" x14ac:dyDescent="0.35">
      <c r="A603" s="2">
        <v>45811</v>
      </c>
      <c r="B603">
        <v>202.8429260253906</v>
      </c>
      <c r="C603">
        <v>1052.640258789062</v>
      </c>
      <c r="D603">
        <v>152.32763671875</v>
      </c>
      <c r="E603">
        <v>262.52703857421881</v>
      </c>
      <c r="F603">
        <v>69.9320068359375</v>
      </c>
      <c r="G603">
        <v>164.56593322753909</v>
      </c>
      <c r="H603">
        <v>5970.3701171875</v>
      </c>
      <c r="I603">
        <f t="shared" si="31"/>
        <v>7.7536736046801532E-3</v>
      </c>
      <c r="J603">
        <f t="shared" si="31"/>
        <v>-1.1930404077199342E-3</v>
      </c>
      <c r="K603">
        <f t="shared" si="31"/>
        <v>-6.326271172384882E-3</v>
      </c>
      <c r="L603">
        <f t="shared" si="30"/>
        <v>6.0647451509796679E-3</v>
      </c>
      <c r="M603">
        <f t="shared" si="30"/>
        <v>1.1339475751944572E-2</v>
      </c>
      <c r="N603">
        <f t="shared" si="30"/>
        <v>-5.5583797366958636E-3</v>
      </c>
      <c r="O603">
        <f t="shared" si="30"/>
        <v>5.7835335353689787E-3</v>
      </c>
    </row>
    <row r="604" spans="1:15" x14ac:dyDescent="0.35">
      <c r="A604" s="2">
        <v>45812</v>
      </c>
      <c r="B604">
        <v>202.3938903808594</v>
      </c>
      <c r="C604">
        <v>1048.751220703125</v>
      </c>
      <c r="D604">
        <v>151.14390563964841</v>
      </c>
      <c r="E604">
        <v>260.505859375</v>
      </c>
      <c r="F604">
        <v>68.877365112304688</v>
      </c>
      <c r="G604">
        <v>163.67823791503909</v>
      </c>
      <c r="H604">
        <v>5970.81005859375</v>
      </c>
      <c r="I604">
        <f t="shared" si="31"/>
        <v>-2.2161650182512282E-3</v>
      </c>
      <c r="J604">
        <f t="shared" si="31"/>
        <v>-3.7013974444896416E-3</v>
      </c>
      <c r="K604">
        <f t="shared" si="31"/>
        <v>-7.8013053442947608E-3</v>
      </c>
      <c r="L604">
        <f t="shared" si="30"/>
        <v>-7.7287270766176978E-3</v>
      </c>
      <c r="M604">
        <f t="shared" si="30"/>
        <v>-1.5195833004488096E-2</v>
      </c>
      <c r="N604">
        <f t="shared" si="30"/>
        <v>-5.4087630772867877E-3</v>
      </c>
      <c r="O604">
        <f t="shared" si="30"/>
        <v>7.3684744719162675E-5</v>
      </c>
    </row>
    <row r="605" spans="1:15" x14ac:dyDescent="0.35">
      <c r="A605" s="2">
        <v>45813</v>
      </c>
      <c r="B605">
        <v>200.20849609375</v>
      </c>
      <c r="C605">
        <v>1007.985534667969</v>
      </c>
      <c r="D605">
        <v>151.57794189453119</v>
      </c>
      <c r="E605">
        <v>258.26779174804688</v>
      </c>
      <c r="F605">
        <v>70.474128723144531</v>
      </c>
      <c r="G605">
        <v>160.57136535644531</v>
      </c>
      <c r="H605">
        <v>5939.2998046875</v>
      </c>
      <c r="I605">
        <f t="shared" si="31"/>
        <v>-1.0856447081017195E-2</v>
      </c>
      <c r="J605">
        <f t="shared" si="31"/>
        <v>-3.9646323740274499E-2</v>
      </c>
      <c r="K605">
        <f t="shared" si="31"/>
        <v>2.8675601436629534E-3</v>
      </c>
      <c r="L605">
        <f t="shared" si="30"/>
        <v>-8.628354609592442E-3</v>
      </c>
      <c r="M605">
        <f t="shared" si="30"/>
        <v>2.2918067920665156E-2</v>
      </c>
      <c r="N605">
        <f t="shared" si="30"/>
        <v>-1.9164049008538315E-2</v>
      </c>
      <c r="O605">
        <f t="shared" si="30"/>
        <v>-5.2913579786981121E-3</v>
      </c>
    </row>
    <row r="606" spans="1:15" x14ac:dyDescent="0.35">
      <c r="A606" s="2">
        <v>45814</v>
      </c>
      <c r="B606">
        <v>203.49156188964841</v>
      </c>
      <c r="C606">
        <v>1012.103942871094</v>
      </c>
      <c r="D606">
        <v>152.92938232421881</v>
      </c>
      <c r="E606">
        <v>261.99465942382813</v>
      </c>
      <c r="F606">
        <v>71.124656677246094</v>
      </c>
      <c r="G606">
        <v>161.77467346191409</v>
      </c>
      <c r="H606">
        <v>6000.35986328125</v>
      </c>
      <c r="I606">
        <f t="shared" si="31"/>
        <v>1.6265235095851836E-2</v>
      </c>
      <c r="J606">
        <f t="shared" si="31"/>
        <v>4.0774569194595286E-3</v>
      </c>
      <c r="K606">
        <f t="shared" si="31"/>
        <v>8.8763008005227489E-3</v>
      </c>
      <c r="L606">
        <f t="shared" si="30"/>
        <v>1.4327120541650924E-2</v>
      </c>
      <c r="M606">
        <f t="shared" si="30"/>
        <v>9.1883913986148327E-3</v>
      </c>
      <c r="N606">
        <f t="shared" si="30"/>
        <v>7.4659747600368948E-3</v>
      </c>
      <c r="O606">
        <f t="shared" si="30"/>
        <v>1.0228196215376713E-2</v>
      </c>
    </row>
    <row r="607" spans="1:15" x14ac:dyDescent="0.35">
      <c r="A607" s="2">
        <v>45817</v>
      </c>
      <c r="B607">
        <v>201.0267639160156</v>
      </c>
      <c r="C607">
        <v>1003.368469238281</v>
      </c>
      <c r="D607">
        <v>153.12666320800781</v>
      </c>
      <c r="E607">
        <v>262.99044799804688</v>
      </c>
      <c r="F607">
        <v>70.868385314941406</v>
      </c>
      <c r="G607">
        <v>160.33465576171881</v>
      </c>
      <c r="H607">
        <v>6005.8798828125</v>
      </c>
      <c r="I607">
        <f t="shared" si="31"/>
        <v>-1.2186486101306848E-2</v>
      </c>
      <c r="J607">
        <f t="shared" si="31"/>
        <v>-8.6684672839738904E-3</v>
      </c>
      <c r="K607">
        <f t="shared" si="31"/>
        <v>1.2891815992011999E-3</v>
      </c>
      <c r="L607">
        <f t="shared" si="30"/>
        <v>3.7935924443136637E-3</v>
      </c>
      <c r="M607">
        <f t="shared" si="30"/>
        <v>-3.6096365986092675E-3</v>
      </c>
      <c r="N607">
        <f t="shared" si="30"/>
        <v>-8.9412330729391355E-3</v>
      </c>
      <c r="O607">
        <f t="shared" si="30"/>
        <v>9.1952518639136591E-4</v>
      </c>
    </row>
    <row r="608" spans="1:15" x14ac:dyDescent="0.35">
      <c r="A608" s="2">
        <v>45818</v>
      </c>
      <c r="B608">
        <v>202.24418640136719</v>
      </c>
      <c r="C608">
        <v>1004.455383300781</v>
      </c>
      <c r="D608">
        <v>154.33013916015619</v>
      </c>
      <c r="E608">
        <v>264.8243408203125</v>
      </c>
      <c r="F608">
        <v>71.765327453613281</v>
      </c>
      <c r="G608">
        <v>160.61082458496091</v>
      </c>
      <c r="H608">
        <v>6038.81005859375</v>
      </c>
      <c r="I608">
        <f t="shared" si="31"/>
        <v>6.0377579033184517E-3</v>
      </c>
      <c r="J608">
        <f t="shared" si="31"/>
        <v>1.0826788089984827E-3</v>
      </c>
      <c r="K608">
        <f t="shared" si="31"/>
        <v>7.8286256109017065E-3</v>
      </c>
      <c r="L608">
        <f t="shared" si="30"/>
        <v>6.9490292460504689E-3</v>
      </c>
      <c r="M608">
        <f t="shared" si="30"/>
        <v>1.2577026069662796E-2</v>
      </c>
      <c r="N608">
        <f t="shared" si="30"/>
        <v>1.7209707462181058E-3</v>
      </c>
      <c r="O608">
        <f t="shared" si="30"/>
        <v>5.4680125416468406E-3</v>
      </c>
    </row>
    <row r="609" spans="1:15" x14ac:dyDescent="0.35">
      <c r="A609" s="2">
        <v>45819</v>
      </c>
      <c r="B609">
        <v>198.36236572265619</v>
      </c>
      <c r="C609">
        <v>993.9947509765625</v>
      </c>
      <c r="D609">
        <v>153.15626525878909</v>
      </c>
      <c r="E609">
        <v>264.38064575195313</v>
      </c>
      <c r="F609">
        <v>71.952598571777344</v>
      </c>
      <c r="G609">
        <v>159.89082336425781</v>
      </c>
      <c r="H609">
        <v>6022.240234375</v>
      </c>
      <c r="I609">
        <f t="shared" si="31"/>
        <v>-1.9380322949579473E-2</v>
      </c>
      <c r="J609">
        <f t="shared" si="31"/>
        <v>-1.046884051007212E-2</v>
      </c>
      <c r="K609">
        <f t="shared" si="31"/>
        <v>-7.6353268787677465E-3</v>
      </c>
      <c r="L609">
        <f t="shared" si="30"/>
        <v>-1.676836702532606E-3</v>
      </c>
      <c r="M609">
        <f t="shared" si="30"/>
        <v>2.6060941642332769E-3</v>
      </c>
      <c r="N609">
        <f t="shared" si="30"/>
        <v>-4.4929717929347952E-3</v>
      </c>
      <c r="O609">
        <f t="shared" si="30"/>
        <v>-2.7476603182873451E-3</v>
      </c>
    </row>
    <row r="610" spans="1:15" x14ac:dyDescent="0.35">
      <c r="A610" s="2">
        <v>45820</v>
      </c>
      <c r="B610">
        <v>198.78147888183591</v>
      </c>
      <c r="C610">
        <v>999.908203125</v>
      </c>
      <c r="D610">
        <v>154.53729248046881</v>
      </c>
      <c r="E610">
        <v>264.4693603515625</v>
      </c>
      <c r="F610">
        <v>72.780548095703125</v>
      </c>
      <c r="G610">
        <v>160.94615173339841</v>
      </c>
      <c r="H610">
        <v>6045.259765625</v>
      </c>
      <c r="I610">
        <f t="shared" si="31"/>
        <v>2.1106373444387439E-3</v>
      </c>
      <c r="J610">
        <f t="shared" si="31"/>
        <v>5.9315519585986121E-3</v>
      </c>
      <c r="K610">
        <f t="shared" si="31"/>
        <v>8.9767007508712391E-3</v>
      </c>
      <c r="L610">
        <f t="shared" si="30"/>
        <v>3.3550004506997073E-4</v>
      </c>
      <c r="M610">
        <f t="shared" si="30"/>
        <v>1.144117397501963E-2</v>
      </c>
      <c r="N610">
        <f t="shared" si="30"/>
        <v>6.5786194055652055E-3</v>
      </c>
      <c r="O610">
        <f t="shared" si="30"/>
        <v>3.8151330716763875E-3</v>
      </c>
    </row>
    <row r="611" spans="1:15" x14ac:dyDescent="0.35">
      <c r="A611" s="2">
        <v>45821</v>
      </c>
      <c r="B611">
        <v>196.0372619628906</v>
      </c>
      <c r="C611">
        <v>987.443115234375</v>
      </c>
      <c r="D611">
        <v>154.9713439941406</v>
      </c>
      <c r="E611">
        <v>261.22564697265619</v>
      </c>
      <c r="F611">
        <v>73.707061767578125</v>
      </c>
      <c r="G611">
        <v>158.08586120605469</v>
      </c>
      <c r="H611">
        <v>5976.97021484375</v>
      </c>
      <c r="I611">
        <f t="shared" si="31"/>
        <v>-1.3901372087019841E-2</v>
      </c>
      <c r="J611">
        <f t="shared" si="31"/>
        <v>-1.2544587603440236E-2</v>
      </c>
      <c r="K611">
        <f t="shared" si="31"/>
        <v>2.8047798805557272E-3</v>
      </c>
      <c r="L611">
        <f t="shared" si="30"/>
        <v>-1.2340823103256017E-2</v>
      </c>
      <c r="M611">
        <f t="shared" si="30"/>
        <v>1.2649889335261144E-2</v>
      </c>
      <c r="N611">
        <f t="shared" si="30"/>
        <v>-1.7931536976917177E-2</v>
      </c>
      <c r="O611">
        <f t="shared" si="30"/>
        <v>-1.1360668590102889E-2</v>
      </c>
    </row>
    <row r="612" spans="1:15" x14ac:dyDescent="0.35">
      <c r="A612" s="2">
        <v>45824</v>
      </c>
      <c r="B612">
        <v>198.00312805175781</v>
      </c>
      <c r="C612">
        <v>981.60943603515625</v>
      </c>
      <c r="D612">
        <v>153.11680603027341</v>
      </c>
      <c r="E612">
        <v>266.5595703125</v>
      </c>
      <c r="F612">
        <v>72.721412658691406</v>
      </c>
      <c r="G612">
        <v>158.67765808105469</v>
      </c>
      <c r="H612">
        <v>6033.10986328125</v>
      </c>
      <c r="I612">
        <f t="shared" si="31"/>
        <v>9.9780755938707177E-3</v>
      </c>
      <c r="J612">
        <f t="shared" si="31"/>
        <v>-5.9253840268570475E-3</v>
      </c>
      <c r="K612">
        <f t="shared" si="31"/>
        <v>-1.2039154141983628E-2</v>
      </c>
      <c r="L612">
        <f t="shared" si="30"/>
        <v>2.0213165399794664E-2</v>
      </c>
      <c r="M612">
        <f t="shared" si="30"/>
        <v>-1.3462736666817644E-2</v>
      </c>
      <c r="N612">
        <f t="shared" si="30"/>
        <v>3.7365260044398977E-3</v>
      </c>
      <c r="O612">
        <f t="shared" si="30"/>
        <v>9.3488231481891008E-3</v>
      </c>
    </row>
    <row r="613" spans="1:15" x14ac:dyDescent="0.35">
      <c r="A613" s="2">
        <v>45825</v>
      </c>
      <c r="B613">
        <v>195.22895812988281</v>
      </c>
      <c r="C613">
        <v>974.98797607421875</v>
      </c>
      <c r="D613">
        <v>150.3152770996094</v>
      </c>
      <c r="E613">
        <v>265.73138427734381</v>
      </c>
      <c r="F613">
        <v>70.828956604003906</v>
      </c>
      <c r="G613">
        <v>156.3499755859375</v>
      </c>
      <c r="H613">
        <v>5982.72021484375</v>
      </c>
      <c r="I613">
        <f t="shared" si="31"/>
        <v>-1.4109814759666576E-2</v>
      </c>
      <c r="J613">
        <f t="shared" si="31"/>
        <v>-6.7683675730147632E-3</v>
      </c>
      <c r="K613">
        <f t="shared" si="31"/>
        <v>-1.8466132591994602E-2</v>
      </c>
      <c r="L613">
        <f t="shared" si="30"/>
        <v>-3.111781991802824E-3</v>
      </c>
      <c r="M613">
        <f t="shared" si="30"/>
        <v>-2.6367967012757232E-2</v>
      </c>
      <c r="N613">
        <f t="shared" si="30"/>
        <v>-1.4777909030322318E-2</v>
      </c>
      <c r="O613">
        <f t="shared" si="30"/>
        <v>-8.3872597236431343E-3</v>
      </c>
    </row>
    <row r="614" spans="1:15" x14ac:dyDescent="0.35">
      <c r="A614" s="2">
        <v>45826</v>
      </c>
      <c r="B614">
        <v>196.16697692871091</v>
      </c>
      <c r="C614">
        <v>972.1759033203125</v>
      </c>
      <c r="D614">
        <v>148.68763732910159</v>
      </c>
      <c r="E614">
        <v>270.10894775390619</v>
      </c>
      <c r="F614">
        <v>70.543121337890625</v>
      </c>
      <c r="G614">
        <v>155.8568115234375</v>
      </c>
      <c r="H614">
        <v>5980.8701171875</v>
      </c>
      <c r="I614">
        <f t="shared" si="31"/>
        <v>4.7932056043866293E-3</v>
      </c>
      <c r="J614">
        <f t="shared" si="31"/>
        <v>-2.8883801088308435E-3</v>
      </c>
      <c r="K614">
        <f t="shared" si="31"/>
        <v>-1.0887223964495298E-2</v>
      </c>
      <c r="L614">
        <f t="shared" si="30"/>
        <v>1.6339422797218495E-2</v>
      </c>
      <c r="M614">
        <f t="shared" si="30"/>
        <v>-4.0437356480539878E-3</v>
      </c>
      <c r="N614">
        <f t="shared" si="30"/>
        <v>-3.1592168590622374E-3</v>
      </c>
      <c r="O614">
        <f t="shared" si="30"/>
        <v>-3.0928803472058796E-4</v>
      </c>
    </row>
    <row r="615" spans="1:15" x14ac:dyDescent="0.35">
      <c r="A615" s="2">
        <v>45828</v>
      </c>
      <c r="B615">
        <v>200.57769775390619</v>
      </c>
      <c r="C615">
        <v>977.55078125</v>
      </c>
      <c r="D615">
        <v>147.76036071777341</v>
      </c>
      <c r="E615">
        <v>271.13436889648438</v>
      </c>
      <c r="F615">
        <v>70.503692626953125</v>
      </c>
      <c r="G615">
        <v>156.90229797363281</v>
      </c>
      <c r="H615">
        <v>5967.83984375</v>
      </c>
      <c r="I615">
        <f t="shared" si="31"/>
        <v>2.2235471994094525E-2</v>
      </c>
      <c r="J615">
        <f t="shared" si="31"/>
        <v>5.5134820566336172E-3</v>
      </c>
      <c r="K615">
        <f t="shared" si="31"/>
        <v>-6.2559345426452476E-3</v>
      </c>
      <c r="L615">
        <f t="shared" si="30"/>
        <v>3.7891363751233536E-3</v>
      </c>
      <c r="M615">
        <f t="shared" si="30"/>
        <v>-5.5908688549846381E-4</v>
      </c>
      <c r="N615">
        <f t="shared" si="30"/>
        <v>6.685594840481611E-3</v>
      </c>
      <c r="O615">
        <f t="shared" si="30"/>
        <v>-2.181035215587759E-3</v>
      </c>
    </row>
    <row r="616" spans="1:15" x14ac:dyDescent="0.35">
      <c r="A616" s="2">
        <v>45831</v>
      </c>
      <c r="B616">
        <v>201.07666015625</v>
      </c>
      <c r="C616">
        <v>1001.673156738281</v>
      </c>
      <c r="D616">
        <v>149.2696533203125</v>
      </c>
      <c r="E616">
        <v>274.35836791992188</v>
      </c>
      <c r="F616">
        <v>69.715171813964844</v>
      </c>
      <c r="G616">
        <v>158.8255920410156</v>
      </c>
      <c r="H616">
        <v>6025.169921875</v>
      </c>
      <c r="I616">
        <f t="shared" si="31"/>
        <v>2.48453750937236E-3</v>
      </c>
      <c r="J616">
        <f t="shared" si="31"/>
        <v>2.437679691499732E-2</v>
      </c>
      <c r="K616">
        <f t="shared" si="31"/>
        <v>1.016264701267091E-2</v>
      </c>
      <c r="L616">
        <f t="shared" si="30"/>
        <v>1.1820639747773226E-2</v>
      </c>
      <c r="M616">
        <f t="shared" si="30"/>
        <v>-1.1247118970564346E-2</v>
      </c>
      <c r="N616">
        <f t="shared" si="30"/>
        <v>1.218338904159456E-2</v>
      </c>
      <c r="O616">
        <f t="shared" si="30"/>
        <v>9.5606550712594388E-3</v>
      </c>
    </row>
    <row r="617" spans="1:15" x14ac:dyDescent="0.35">
      <c r="A617" s="2">
        <v>45832</v>
      </c>
      <c r="B617">
        <v>199.8791809082031</v>
      </c>
      <c r="C617">
        <v>999.12030029296875</v>
      </c>
      <c r="D617">
        <v>150.12785339355469</v>
      </c>
      <c r="E617">
        <v>277.30636596679688</v>
      </c>
      <c r="F617">
        <v>70.375564575195313</v>
      </c>
      <c r="G617">
        <v>158.16477966308591</v>
      </c>
      <c r="H617">
        <v>6092.18017578125</v>
      </c>
      <c r="I617">
        <f t="shared" si="31"/>
        <v>-5.9731406092595534E-3</v>
      </c>
      <c r="J617">
        <f t="shared" si="31"/>
        <v>-2.5518454407903205E-3</v>
      </c>
      <c r="K617">
        <f t="shared" si="31"/>
        <v>5.7328628625340789E-3</v>
      </c>
      <c r="L617">
        <f t="shared" si="30"/>
        <v>1.0687745392099447E-2</v>
      </c>
      <c r="M617">
        <f t="shared" si="30"/>
        <v>9.4281416472834084E-3</v>
      </c>
      <c r="N617">
        <f t="shared" si="30"/>
        <v>-4.1692959418314478E-3</v>
      </c>
      <c r="O617">
        <f t="shared" si="30"/>
        <v>1.1060328616958607E-2</v>
      </c>
    </row>
    <row r="618" spans="1:15" x14ac:dyDescent="0.35">
      <c r="A618" s="2">
        <v>45833</v>
      </c>
      <c r="B618">
        <v>201.13653564453119</v>
      </c>
      <c r="C618">
        <v>983.7833251953125</v>
      </c>
      <c r="D618">
        <v>150.2166442871094</v>
      </c>
      <c r="E618">
        <v>280.06698608398438</v>
      </c>
      <c r="F618">
        <v>69.330764770507813</v>
      </c>
      <c r="G618">
        <v>156.7937927246094</v>
      </c>
      <c r="H618">
        <v>6092.16015625</v>
      </c>
      <c r="I618">
        <f t="shared" si="31"/>
        <v>6.2708707153257912E-3</v>
      </c>
      <c r="J618">
        <f t="shared" si="31"/>
        <v>-1.5469517279366855E-2</v>
      </c>
      <c r="K618">
        <f t="shared" si="31"/>
        <v>5.9126034821394534E-4</v>
      </c>
      <c r="L618">
        <f t="shared" si="30"/>
        <v>9.9059012464313978E-3</v>
      </c>
      <c r="M618">
        <f t="shared" si="30"/>
        <v>-1.4957365042804644E-2</v>
      </c>
      <c r="N618">
        <f t="shared" si="30"/>
        <v>-8.7058789177447884E-3</v>
      </c>
      <c r="O618">
        <f t="shared" si="30"/>
        <v>-3.2861083496653311E-6</v>
      </c>
    </row>
    <row r="619" spans="1:15" x14ac:dyDescent="0.35">
      <c r="A619" s="2">
        <v>45834</v>
      </c>
      <c r="B619">
        <v>200.57769775390619</v>
      </c>
      <c r="C619">
        <v>980.1634521484375</v>
      </c>
      <c r="D619">
        <v>149.9502868652344</v>
      </c>
      <c r="E619">
        <v>284.6910400390625</v>
      </c>
      <c r="F619">
        <v>69.971435546875</v>
      </c>
      <c r="G619">
        <v>156.4584655761719</v>
      </c>
      <c r="H619">
        <v>6141.02001953125</v>
      </c>
      <c r="I619">
        <f t="shared" si="31"/>
        <v>-2.7822676154383684E-3</v>
      </c>
      <c r="J619">
        <f t="shared" si="31"/>
        <v>-3.6863291692470833E-3</v>
      </c>
      <c r="K619">
        <f t="shared" si="31"/>
        <v>-1.7747290866705579E-3</v>
      </c>
      <c r="L619">
        <f t="shared" si="30"/>
        <v>1.6375711630226823E-2</v>
      </c>
      <c r="M619">
        <f t="shared" si="30"/>
        <v>9.1983513849209306E-3</v>
      </c>
      <c r="N619">
        <f t="shared" si="30"/>
        <v>-2.1409408400822321E-3</v>
      </c>
      <c r="O619">
        <f t="shared" si="30"/>
        <v>7.9881310325167973E-3</v>
      </c>
    </row>
    <row r="620" spans="1:15" x14ac:dyDescent="0.35">
      <c r="A620" s="2">
        <v>45835</v>
      </c>
      <c r="B620">
        <v>200.65753173828119</v>
      </c>
      <c r="C620">
        <v>982.38726806640625</v>
      </c>
      <c r="D620">
        <v>150.3448791503906</v>
      </c>
      <c r="E620">
        <v>283.0740966796875</v>
      </c>
      <c r="F620">
        <v>69.872871398925781</v>
      </c>
      <c r="G620">
        <v>157.67161560058591</v>
      </c>
      <c r="H620">
        <v>6173.06982421875</v>
      </c>
      <c r="I620">
        <f t="shared" si="31"/>
        <v>3.9794105582188381E-4</v>
      </c>
      <c r="J620">
        <f t="shared" si="31"/>
        <v>2.2662516151422583E-3</v>
      </c>
      <c r="K620">
        <f t="shared" si="31"/>
        <v>2.6280310635536795E-3</v>
      </c>
      <c r="L620">
        <f t="shared" si="30"/>
        <v>-5.6958331051923895E-3</v>
      </c>
      <c r="M620">
        <f t="shared" si="30"/>
        <v>-1.4096271263785011E-3</v>
      </c>
      <c r="N620">
        <f t="shared" si="30"/>
        <v>7.7239088413080734E-3</v>
      </c>
      <c r="O620">
        <f t="shared" si="30"/>
        <v>5.205399256150098E-3</v>
      </c>
    </row>
    <row r="621" spans="1:15" x14ac:dyDescent="0.35">
      <c r="A621" s="2">
        <v>45838</v>
      </c>
      <c r="B621">
        <v>204.73893737792969</v>
      </c>
      <c r="C621">
        <v>987.173828125</v>
      </c>
      <c r="D621">
        <v>150.6802673339844</v>
      </c>
      <c r="E621">
        <v>285.83474731445313</v>
      </c>
      <c r="F621">
        <v>68.423965454101563</v>
      </c>
      <c r="G621">
        <v>157.1390075683594</v>
      </c>
      <c r="H621">
        <v>6204.9501953125</v>
      </c>
      <c r="I621">
        <f t="shared" si="31"/>
        <v>2.0136058667708109E-2</v>
      </c>
      <c r="J621">
        <f t="shared" si="31"/>
        <v>4.8605443023246571E-3</v>
      </c>
      <c r="K621">
        <f t="shared" si="31"/>
        <v>2.2283076765349003E-3</v>
      </c>
      <c r="L621">
        <f t="shared" si="30"/>
        <v>9.7051481363296891E-3</v>
      </c>
      <c r="M621">
        <f t="shared" si="30"/>
        <v>-2.0954332627785864E-2</v>
      </c>
      <c r="N621">
        <f t="shared" si="30"/>
        <v>-3.383675779610797E-3</v>
      </c>
      <c r="O621">
        <f t="shared" si="30"/>
        <v>5.1511375061288819E-3</v>
      </c>
    </row>
    <row r="622" spans="1:15" x14ac:dyDescent="0.35">
      <c r="A622" s="2">
        <v>45839</v>
      </c>
      <c r="B622">
        <v>207.38337707519531</v>
      </c>
      <c r="C622">
        <v>983.2049560546875</v>
      </c>
      <c r="D622">
        <v>153.80731201171881</v>
      </c>
      <c r="E622">
        <v>286.32772827148438</v>
      </c>
      <c r="F622">
        <v>72.011734008789063</v>
      </c>
      <c r="G622">
        <v>159.01300048828119</v>
      </c>
      <c r="H622">
        <v>6198.009765625</v>
      </c>
      <c r="I622">
        <f t="shared" si="31"/>
        <v>1.2833452102963735E-2</v>
      </c>
      <c r="J622">
        <f t="shared" si="31"/>
        <v>-4.0285426028716974E-3</v>
      </c>
      <c r="K622">
        <f t="shared" si="31"/>
        <v>2.0540441274452793E-2</v>
      </c>
      <c r="L622">
        <f t="shared" si="30"/>
        <v>1.7232205887608197E-3</v>
      </c>
      <c r="M622">
        <f t="shared" si="30"/>
        <v>5.1105942683288733E-2</v>
      </c>
      <c r="N622">
        <f t="shared" si="30"/>
        <v>1.1855150816145086E-2</v>
      </c>
      <c r="O622">
        <f t="shared" si="30"/>
        <v>-1.1191571098791433E-3</v>
      </c>
    </row>
    <row r="623" spans="1:15" x14ac:dyDescent="0.35">
      <c r="A623" s="2">
        <v>45840</v>
      </c>
      <c r="B623">
        <v>211.99366760253909</v>
      </c>
      <c r="C623">
        <v>979.614990234375</v>
      </c>
      <c r="D623">
        <v>153.45219421386719</v>
      </c>
      <c r="E623">
        <v>287.8953857421875</v>
      </c>
      <c r="F623">
        <v>71.972312927246094</v>
      </c>
      <c r="G623">
        <v>158.99327087402341</v>
      </c>
      <c r="H623">
        <v>6227.419921875</v>
      </c>
      <c r="I623">
        <f t="shared" si="31"/>
        <v>2.1987260950303646E-2</v>
      </c>
      <c r="J623">
        <f t="shared" si="31"/>
        <v>-3.6579716138885037E-3</v>
      </c>
      <c r="K623">
        <f t="shared" si="31"/>
        <v>-2.3115181061998343E-3</v>
      </c>
      <c r="L623">
        <f t="shared" si="30"/>
        <v>5.4601123749108867E-3</v>
      </c>
      <c r="M623">
        <f t="shared" si="30"/>
        <v>-5.4757569837554838E-4</v>
      </c>
      <c r="N623">
        <f t="shared" si="30"/>
        <v>-1.2408317734472483E-4</v>
      </c>
      <c r="O623">
        <f t="shared" si="30"/>
        <v>4.7338743064907745E-3</v>
      </c>
    </row>
    <row r="624" spans="1:15" x14ac:dyDescent="0.35">
      <c r="A624" s="2">
        <v>45841</v>
      </c>
      <c r="B624">
        <v>213.1013488769531</v>
      </c>
      <c r="C624">
        <v>984.26202392578125</v>
      </c>
      <c r="D624">
        <v>153.89610290527341</v>
      </c>
      <c r="E624">
        <v>293.2451171875</v>
      </c>
      <c r="F624">
        <v>72.819969177246094</v>
      </c>
      <c r="G624">
        <v>158.62834167480469</v>
      </c>
      <c r="H624">
        <v>6279.35009765625</v>
      </c>
      <c r="I624">
        <f t="shared" si="31"/>
        <v>5.2114644419001196E-3</v>
      </c>
      <c r="J624">
        <f t="shared" si="31"/>
        <v>4.7325187179180677E-3</v>
      </c>
      <c r="K624">
        <f t="shared" si="31"/>
        <v>2.8886380971689962E-3</v>
      </c>
      <c r="L624">
        <f t="shared" si="30"/>
        <v>1.8411666516805082E-2</v>
      </c>
      <c r="M624">
        <f t="shared" si="30"/>
        <v>1.1708717090582323E-2</v>
      </c>
      <c r="N624">
        <f t="shared" si="30"/>
        <v>-2.2978874571400612E-3</v>
      </c>
      <c r="O624">
        <f t="shared" si="30"/>
        <v>8.3043782106639406E-3</v>
      </c>
    </row>
    <row r="625" spans="1:15" x14ac:dyDescent="0.35">
      <c r="A625" s="2">
        <v>45845</v>
      </c>
      <c r="B625">
        <v>209.50889587402341</v>
      </c>
      <c r="C625">
        <v>989.40753173828125</v>
      </c>
      <c r="D625">
        <v>153.16612243652341</v>
      </c>
      <c r="E625">
        <v>289.25262451171881</v>
      </c>
      <c r="F625">
        <v>73.677490234375</v>
      </c>
      <c r="G625">
        <v>158.3028564453125</v>
      </c>
      <c r="H625">
        <v>6229.97998046875</v>
      </c>
      <c r="I625">
        <f t="shared" si="31"/>
        <v>-1.7001668001927619E-2</v>
      </c>
      <c r="J625">
        <f t="shared" si="31"/>
        <v>5.2141651124190088E-3</v>
      </c>
      <c r="K625">
        <f t="shared" si="31"/>
        <v>-4.7546183391495144E-3</v>
      </c>
      <c r="L625">
        <f t="shared" si="30"/>
        <v>-1.3708397173952414E-2</v>
      </c>
      <c r="M625">
        <f t="shared" si="30"/>
        <v>1.1707108841516713E-2</v>
      </c>
      <c r="N625">
        <f t="shared" si="30"/>
        <v>-2.053981090240368E-3</v>
      </c>
      <c r="O625">
        <f t="shared" si="30"/>
        <v>-7.8933681042440175E-3</v>
      </c>
    </row>
    <row r="626" spans="1:15" x14ac:dyDescent="0.35">
      <c r="A626" s="2">
        <v>45846</v>
      </c>
      <c r="B626">
        <v>209.56877136230469</v>
      </c>
      <c r="C626">
        <v>983.0853271484375</v>
      </c>
      <c r="D626">
        <v>153.67906188964841</v>
      </c>
      <c r="E626">
        <v>280.14816284179688</v>
      </c>
      <c r="F626">
        <v>71.42034912109375</v>
      </c>
      <c r="G626">
        <v>155.72857666015619</v>
      </c>
      <c r="H626">
        <v>6225.52001953125</v>
      </c>
      <c r="I626">
        <f t="shared" si="31"/>
        <v>2.8574888794971224E-4</v>
      </c>
      <c r="J626">
        <f t="shared" si="31"/>
        <v>-6.4103920186826396E-3</v>
      </c>
      <c r="K626">
        <f t="shared" si="31"/>
        <v>3.3433141995936975E-3</v>
      </c>
      <c r="L626">
        <f t="shared" si="30"/>
        <v>-3.1981823315412911E-2</v>
      </c>
      <c r="M626">
        <f t="shared" si="30"/>
        <v>-3.11144978792606E-2</v>
      </c>
      <c r="N626">
        <f t="shared" si="30"/>
        <v>-1.6395412556996312E-2</v>
      </c>
      <c r="O626">
        <f t="shared" si="30"/>
        <v>-7.161432504695748E-4</v>
      </c>
    </row>
    <row r="627" spans="1:15" x14ac:dyDescent="0.35">
      <c r="A627" s="2">
        <v>45847</v>
      </c>
      <c r="B627">
        <v>210.69639587402341</v>
      </c>
      <c r="C627">
        <v>979.3458251953125</v>
      </c>
      <c r="D627">
        <v>154.1624450683594</v>
      </c>
      <c r="E627">
        <v>280.524658203125</v>
      </c>
      <c r="F627">
        <v>72.593276977539063</v>
      </c>
      <c r="G627">
        <v>155.36366271972659</v>
      </c>
      <c r="H627">
        <v>6263.259765625</v>
      </c>
      <c r="I627">
        <f t="shared" si="31"/>
        <v>5.3662654230007857E-3</v>
      </c>
      <c r="J627">
        <f t="shared" si="31"/>
        <v>-3.8110957164964022E-3</v>
      </c>
      <c r="K627">
        <f t="shared" si="31"/>
        <v>3.1404704373385354E-3</v>
      </c>
      <c r="L627">
        <f t="shared" si="30"/>
        <v>1.3430129080140264E-3</v>
      </c>
      <c r="M627">
        <f t="shared" si="30"/>
        <v>1.6289483491345357E-2</v>
      </c>
      <c r="N627">
        <f t="shared" si="30"/>
        <v>-2.3460187147380132E-3</v>
      </c>
      <c r="O627">
        <f t="shared" si="30"/>
        <v>6.0438027767796901E-3</v>
      </c>
    </row>
    <row r="628" spans="1:15" x14ac:dyDescent="0.35">
      <c r="A628" s="2">
        <v>45848</v>
      </c>
      <c r="B628">
        <v>211.96372985839841</v>
      </c>
      <c r="C628">
        <v>967.45904541015625</v>
      </c>
      <c r="D628">
        <v>155.5533447265625</v>
      </c>
      <c r="E628">
        <v>285.5078125</v>
      </c>
      <c r="F628">
        <v>73.569068908691406</v>
      </c>
      <c r="G628">
        <v>156.32037353515619</v>
      </c>
      <c r="H628">
        <v>6280.4599609375</v>
      </c>
      <c r="I628">
        <f t="shared" si="31"/>
        <v>5.9969592841335123E-3</v>
      </c>
      <c r="J628">
        <f t="shared" si="31"/>
        <v>-1.2211729776930977E-2</v>
      </c>
      <c r="K628">
        <f t="shared" si="31"/>
        <v>8.9818411249659915E-3</v>
      </c>
      <c r="L628">
        <f t="shared" si="30"/>
        <v>1.7607763863277472E-2</v>
      </c>
      <c r="M628">
        <f t="shared" si="30"/>
        <v>1.3352364080716165E-2</v>
      </c>
      <c r="N628">
        <f t="shared" si="30"/>
        <v>6.1389978875846865E-3</v>
      </c>
      <c r="O628">
        <f t="shared" si="30"/>
        <v>2.7424410729257912E-3</v>
      </c>
    </row>
    <row r="629" spans="1:15" x14ac:dyDescent="0.35">
      <c r="A629" s="2">
        <v>45849</v>
      </c>
      <c r="B629">
        <v>210.71635437011719</v>
      </c>
      <c r="C629">
        <v>967.61865234375</v>
      </c>
      <c r="D629">
        <v>154.77403259277341</v>
      </c>
      <c r="E629">
        <v>284.190185546875</v>
      </c>
      <c r="F629">
        <v>73.33251953125</v>
      </c>
      <c r="G629">
        <v>154.90008544921881</v>
      </c>
      <c r="H629">
        <v>6259.75</v>
      </c>
      <c r="I629">
        <f t="shared" si="31"/>
        <v>-5.9022374414881076E-3</v>
      </c>
      <c r="J629">
        <f t="shared" si="31"/>
        <v>1.6496178333408795E-4</v>
      </c>
      <c r="K629">
        <f t="shared" si="31"/>
        <v>-5.0225267183940207E-3</v>
      </c>
      <c r="L629">
        <f t="shared" si="30"/>
        <v>-4.6257115422657976E-3</v>
      </c>
      <c r="M629">
        <f t="shared" si="30"/>
        <v>-3.2205176867826178E-3</v>
      </c>
      <c r="N629">
        <f t="shared" si="30"/>
        <v>-9.1272787822459511E-3</v>
      </c>
      <c r="O629">
        <f t="shared" si="30"/>
        <v>-3.3029717732258423E-3</v>
      </c>
    </row>
    <row r="630" spans="1:15" x14ac:dyDescent="0.35">
      <c r="A630" s="2">
        <v>45852</v>
      </c>
      <c r="B630">
        <v>208.18168640136719</v>
      </c>
      <c r="C630">
        <v>978.1690673828125</v>
      </c>
      <c r="D630">
        <v>154.69512939453119</v>
      </c>
      <c r="E630">
        <v>286.0130615234375</v>
      </c>
      <c r="F630">
        <v>73.963333129882813</v>
      </c>
      <c r="G630">
        <v>151.65510559082031</v>
      </c>
      <c r="H630">
        <v>6268.56005859375</v>
      </c>
      <c r="I630">
        <f t="shared" si="31"/>
        <v>-1.2101746276944433E-2</v>
      </c>
      <c r="J630">
        <f t="shared" si="31"/>
        <v>1.0844470163103999E-2</v>
      </c>
      <c r="K630">
        <f t="shared" si="31"/>
        <v>-5.0992609050448667E-4</v>
      </c>
      <c r="L630">
        <f t="shared" si="30"/>
        <v>6.3937979867850509E-3</v>
      </c>
      <c r="M630">
        <f t="shared" si="30"/>
        <v>8.5653118379811141E-3</v>
      </c>
      <c r="N630">
        <f t="shared" si="30"/>
        <v>-2.1171398560138291E-2</v>
      </c>
      <c r="O630">
        <f t="shared" si="30"/>
        <v>1.4064243309367943E-3</v>
      </c>
    </row>
    <row r="631" spans="1:15" x14ac:dyDescent="0.35">
      <c r="A631" s="2">
        <v>45853</v>
      </c>
      <c r="B631">
        <v>208.67066955566409</v>
      </c>
      <c r="C631">
        <v>964.97607421875</v>
      </c>
      <c r="D631">
        <v>153.0674743652344</v>
      </c>
      <c r="E631">
        <v>283.88308715820313</v>
      </c>
      <c r="F631">
        <v>73.628211975097656</v>
      </c>
      <c r="G631">
        <v>150.58988952636719</v>
      </c>
      <c r="H631">
        <v>6243.759765625</v>
      </c>
      <c r="I631">
        <f t="shared" si="31"/>
        <v>2.3460746789217817E-3</v>
      </c>
      <c r="J631">
        <f t="shared" si="31"/>
        <v>-1.3579218153080233E-2</v>
      </c>
      <c r="K631">
        <f t="shared" si="31"/>
        <v>-1.0577439785453691E-2</v>
      </c>
      <c r="L631">
        <f t="shared" si="30"/>
        <v>-7.4749909713642477E-3</v>
      </c>
      <c r="M631">
        <f t="shared" si="30"/>
        <v>-4.5412049920264524E-3</v>
      </c>
      <c r="N631">
        <f t="shared" si="30"/>
        <v>-7.0487220106246491E-3</v>
      </c>
      <c r="O631">
        <f t="shared" si="30"/>
        <v>-3.9641450656725608E-3</v>
      </c>
    </row>
    <row r="632" spans="1:15" x14ac:dyDescent="0.35">
      <c r="A632" s="2">
        <v>45854</v>
      </c>
      <c r="B632">
        <v>209.7184753417969</v>
      </c>
      <c r="C632">
        <v>948.71160888671875</v>
      </c>
      <c r="D632">
        <v>162.54725646972659</v>
      </c>
      <c r="E632">
        <v>283.15988159179688</v>
      </c>
      <c r="F632">
        <v>73.69720458984375</v>
      </c>
      <c r="G632">
        <v>151.62553405761719</v>
      </c>
      <c r="H632">
        <v>6263.7001953125</v>
      </c>
      <c r="I632">
        <f t="shared" si="31"/>
        <v>5.0087722853509372E-3</v>
      </c>
      <c r="J632">
        <f t="shared" si="31"/>
        <v>-1.6998444526344244E-2</v>
      </c>
      <c r="K632">
        <f t="shared" si="31"/>
        <v>6.0089935437827376E-2</v>
      </c>
      <c r="L632">
        <f t="shared" si="30"/>
        <v>-2.5507977292539142E-3</v>
      </c>
      <c r="M632">
        <f t="shared" si="30"/>
        <v>9.3660172695546003E-4</v>
      </c>
      <c r="N632">
        <f t="shared" si="30"/>
        <v>6.8537109915823083E-3</v>
      </c>
      <c r="O632">
        <f t="shared" si="30"/>
        <v>3.1885685253844154E-3</v>
      </c>
    </row>
    <row r="633" spans="1:15" x14ac:dyDescent="0.35">
      <c r="A633" s="2">
        <v>45855</v>
      </c>
      <c r="B633">
        <v>209.57875061035159</v>
      </c>
      <c r="C633">
        <v>951.2445068359375</v>
      </c>
      <c r="D633">
        <v>160.77165222167969</v>
      </c>
      <c r="E633">
        <v>287.201904296875</v>
      </c>
      <c r="F633">
        <v>74.101318359375</v>
      </c>
      <c r="G633">
        <v>153.4896545410156</v>
      </c>
      <c r="H633">
        <v>6297.35986328125</v>
      </c>
      <c r="I633">
        <f t="shared" si="31"/>
        <v>-6.6647107573856404E-4</v>
      </c>
      <c r="J633">
        <f t="shared" si="31"/>
        <v>2.666271529947441E-3</v>
      </c>
      <c r="K633">
        <f t="shared" si="31"/>
        <v>-1.0983719487664991E-2</v>
      </c>
      <c r="L633">
        <f t="shared" si="30"/>
        <v>1.4173776973460785E-2</v>
      </c>
      <c r="M633">
        <f t="shared" si="30"/>
        <v>5.468454873815763E-3</v>
      </c>
      <c r="N633">
        <f t="shared" si="30"/>
        <v>1.2219278144358905E-2</v>
      </c>
      <c r="O633">
        <f t="shared" si="30"/>
        <v>5.3593802400110132E-3</v>
      </c>
    </row>
    <row r="634" spans="1:15" x14ac:dyDescent="0.35">
      <c r="A634" s="2">
        <v>45856</v>
      </c>
      <c r="B634">
        <v>210.73631286621091</v>
      </c>
      <c r="C634">
        <v>948.29278564453125</v>
      </c>
      <c r="D634">
        <v>161.4819030761719</v>
      </c>
      <c r="E634">
        <v>288.55914306640619</v>
      </c>
      <c r="F634">
        <v>74.860275268554688</v>
      </c>
      <c r="G634">
        <v>154.02293395996091</v>
      </c>
      <c r="H634">
        <v>6296.7900390625</v>
      </c>
      <c r="I634">
        <f t="shared" si="31"/>
        <v>5.5080832596775906E-3</v>
      </c>
      <c r="J634">
        <f t="shared" si="31"/>
        <v>-3.1078342908982788E-3</v>
      </c>
      <c r="K634">
        <f t="shared" si="31"/>
        <v>4.4080320783059781E-3</v>
      </c>
      <c r="L634">
        <f t="shared" si="30"/>
        <v>4.7145991891659536E-3</v>
      </c>
      <c r="M634">
        <f t="shared" si="30"/>
        <v>1.0190055812593383E-2</v>
      </c>
      <c r="N634">
        <f t="shared" si="30"/>
        <v>3.468345514774793E-3</v>
      </c>
      <c r="O634">
        <f t="shared" ref="O634:O697" si="32">LN(H634/H633)</f>
        <v>-9.0490302808416738E-5</v>
      </c>
    </row>
    <row r="635" spans="1:15" x14ac:dyDescent="0.35">
      <c r="A635" s="2">
        <v>45859</v>
      </c>
      <c r="B635">
        <v>212.0335693359375</v>
      </c>
      <c r="C635">
        <v>944.91229248046875</v>
      </c>
      <c r="D635">
        <v>162.1329650878906</v>
      </c>
      <c r="E635">
        <v>288.26193237304688</v>
      </c>
      <c r="F635">
        <v>75.077117919921875</v>
      </c>
      <c r="G635">
        <v>153.95341491699219</v>
      </c>
      <c r="H635">
        <v>6305.60009765625</v>
      </c>
      <c r="I635">
        <f t="shared" si="31"/>
        <v>6.1369581694601244E-3</v>
      </c>
      <c r="J635">
        <f t="shared" si="31"/>
        <v>-3.5711891921812538E-3</v>
      </c>
      <c r="K635">
        <f t="shared" si="31"/>
        <v>4.0236896024431115E-3</v>
      </c>
      <c r="L635">
        <f t="shared" si="31"/>
        <v>-1.0305126921201641E-3</v>
      </c>
      <c r="M635">
        <f t="shared" si="31"/>
        <v>2.8924446121897005E-3</v>
      </c>
      <c r="N635">
        <f t="shared" si="31"/>
        <v>-4.5145703170365868E-4</v>
      </c>
      <c r="O635">
        <f t="shared" si="32"/>
        <v>1.3981570056732561E-3</v>
      </c>
    </row>
    <row r="636" spans="1:15" x14ac:dyDescent="0.35">
      <c r="A636" s="2">
        <v>45860</v>
      </c>
      <c r="B636">
        <v>213.9495544433594</v>
      </c>
      <c r="C636">
        <v>938.9788818359375</v>
      </c>
      <c r="D636">
        <v>165.6545715332031</v>
      </c>
      <c r="E636">
        <v>288.7176513671875</v>
      </c>
      <c r="F636">
        <v>76.427467346191406</v>
      </c>
      <c r="G636">
        <v>157.2205810546875</v>
      </c>
      <c r="H636">
        <v>6309.6201171875</v>
      </c>
      <c r="I636">
        <f t="shared" ref="I636:N678" si="33">LN(B636/B635)</f>
        <v>8.9956522728556979E-3</v>
      </c>
      <c r="J636">
        <f t="shared" si="33"/>
        <v>-6.2991220986615927E-3</v>
      </c>
      <c r="K636">
        <f t="shared" si="33"/>
        <v>2.1487955178744529E-2</v>
      </c>
      <c r="L636">
        <f t="shared" si="33"/>
        <v>1.5796714537168531E-3</v>
      </c>
      <c r="M636">
        <f t="shared" si="33"/>
        <v>1.7826327605618097E-2</v>
      </c>
      <c r="N636">
        <f t="shared" si="33"/>
        <v>2.0999738053114211E-2</v>
      </c>
      <c r="O636">
        <f t="shared" si="32"/>
        <v>6.3732849666675692E-4</v>
      </c>
    </row>
    <row r="637" spans="1:15" x14ac:dyDescent="0.35">
      <c r="A637" s="2">
        <v>45861</v>
      </c>
      <c r="B637">
        <v>213.7000732421875</v>
      </c>
      <c r="C637">
        <v>938.56005859375</v>
      </c>
      <c r="D637">
        <v>166.80873107910159</v>
      </c>
      <c r="E637">
        <v>293.998046875</v>
      </c>
      <c r="F637">
        <v>71.775184631347656</v>
      </c>
      <c r="G637">
        <v>157.18084716796881</v>
      </c>
      <c r="H637">
        <v>6358.91015625</v>
      </c>
      <c r="I637">
        <f t="shared" si="33"/>
        <v>-1.1667552749854519E-3</v>
      </c>
      <c r="J637">
        <f t="shared" si="33"/>
        <v>-4.4614067928577935E-4</v>
      </c>
      <c r="K637">
        <f t="shared" si="33"/>
        <v>6.9431072443079007E-3</v>
      </c>
      <c r="L637">
        <f t="shared" si="33"/>
        <v>1.8123898371302433E-2</v>
      </c>
      <c r="M637">
        <f t="shared" si="33"/>
        <v>-6.2803353431940906E-2</v>
      </c>
      <c r="N637">
        <f t="shared" si="33"/>
        <v>-2.5275894676980248E-4</v>
      </c>
      <c r="O637">
        <f t="shared" si="32"/>
        <v>7.7815321457028732E-3</v>
      </c>
    </row>
    <row r="638" spans="1:15" x14ac:dyDescent="0.35">
      <c r="A638" s="2">
        <v>45862</v>
      </c>
      <c r="B638">
        <v>213.3108825683594</v>
      </c>
      <c r="C638">
        <v>931.19073486328125</v>
      </c>
      <c r="D638">
        <v>167.26249694824219</v>
      </c>
      <c r="E638">
        <v>293.78997802734381</v>
      </c>
      <c r="F638">
        <v>70.9373779296875</v>
      </c>
      <c r="G638">
        <v>157.70716857910159</v>
      </c>
      <c r="H638">
        <v>6363.35009765625</v>
      </c>
      <c r="I638">
        <f t="shared" si="33"/>
        <v>-1.8228608718337325E-3</v>
      </c>
      <c r="J638">
        <f t="shared" si="33"/>
        <v>-7.8827209651337205E-3</v>
      </c>
      <c r="K638">
        <f t="shared" si="33"/>
        <v>2.7165832321411928E-3</v>
      </c>
      <c r="L638">
        <f t="shared" si="33"/>
        <v>-7.0797242383952149E-4</v>
      </c>
      <c r="M638">
        <f t="shared" si="33"/>
        <v>-1.1741311507462986E-2</v>
      </c>
      <c r="N638">
        <f t="shared" si="33"/>
        <v>3.3429147820965874E-3</v>
      </c>
      <c r="O638">
        <f t="shared" si="32"/>
        <v>6.9797999693325139E-4</v>
      </c>
    </row>
    <row r="639" spans="1:15" x14ac:dyDescent="0.35">
      <c r="A639" s="2">
        <v>45863</v>
      </c>
      <c r="B639">
        <v>213.43064880371091</v>
      </c>
      <c r="C639">
        <v>932.865966796875</v>
      </c>
      <c r="D639">
        <v>166.01957702636719</v>
      </c>
      <c r="E639">
        <v>295.84075927734381</v>
      </c>
      <c r="F639">
        <v>70.819099426269531</v>
      </c>
      <c r="G639">
        <v>157.2007141113281</v>
      </c>
      <c r="H639">
        <v>6388.64013671875</v>
      </c>
      <c r="I639">
        <f t="shared" si="33"/>
        <v>5.6130575391109545E-4</v>
      </c>
      <c r="J639">
        <f t="shared" si="33"/>
        <v>1.7974049642492534E-3</v>
      </c>
      <c r="K639">
        <f t="shared" si="33"/>
        <v>-7.4587010891206725E-3</v>
      </c>
      <c r="L639">
        <f t="shared" si="33"/>
        <v>6.9561825385248887E-3</v>
      </c>
      <c r="M639">
        <f t="shared" si="33"/>
        <v>-1.6687566321072782E-3</v>
      </c>
      <c r="N639">
        <f t="shared" si="33"/>
        <v>-3.2165273228265444E-3</v>
      </c>
      <c r="O639">
        <f t="shared" si="32"/>
        <v>3.9664510016805517E-3</v>
      </c>
    </row>
    <row r="640" spans="1:15" x14ac:dyDescent="0.35">
      <c r="A640" s="2">
        <v>45866</v>
      </c>
      <c r="B640">
        <v>213.60029602050781</v>
      </c>
      <c r="C640">
        <v>931.380126953125</v>
      </c>
      <c r="D640">
        <v>163.96775817871091</v>
      </c>
      <c r="E640">
        <v>295.50390625</v>
      </c>
      <c r="F640">
        <v>70.316421508789063</v>
      </c>
      <c r="G640">
        <v>156.01896667480469</v>
      </c>
      <c r="H640">
        <v>6389.77001953125</v>
      </c>
      <c r="I640">
        <f t="shared" si="33"/>
        <v>7.9454300807906822E-4</v>
      </c>
      <c r="J640">
        <f t="shared" si="33"/>
        <v>-1.5940386447399575E-3</v>
      </c>
      <c r="K640">
        <f t="shared" si="33"/>
        <v>-1.2435903271362557E-2</v>
      </c>
      <c r="L640">
        <f t="shared" si="33"/>
        <v>-1.1392782700708963E-3</v>
      </c>
      <c r="M640">
        <f t="shared" si="33"/>
        <v>-7.1233668142041302E-3</v>
      </c>
      <c r="N640">
        <f t="shared" si="33"/>
        <v>-7.5458415698309543E-3</v>
      </c>
      <c r="O640">
        <f t="shared" si="32"/>
        <v>1.7684247126657597E-4</v>
      </c>
    </row>
    <row r="641" spans="1:15" x14ac:dyDescent="0.35">
      <c r="A641" s="2">
        <v>45867</v>
      </c>
      <c r="B641">
        <v>210.82612609863281</v>
      </c>
      <c r="C641">
        <v>931.95855712890625</v>
      </c>
      <c r="D641">
        <v>165.83213806152341</v>
      </c>
      <c r="E641">
        <v>294.27545166015619</v>
      </c>
      <c r="F641">
        <v>70.91766357421875</v>
      </c>
      <c r="G641">
        <v>155.52244567871091</v>
      </c>
      <c r="H641">
        <v>6370.85986328125</v>
      </c>
      <c r="I641">
        <f t="shared" si="33"/>
        <v>-1.3072746112031753E-2</v>
      </c>
      <c r="J641">
        <f t="shared" si="33"/>
        <v>6.208535241636787E-4</v>
      </c>
      <c r="K641">
        <f t="shared" si="33"/>
        <v>1.1306248210052862E-2</v>
      </c>
      <c r="L641">
        <f t="shared" si="33"/>
        <v>-4.1658167581493802E-3</v>
      </c>
      <c r="M641">
        <f t="shared" si="33"/>
        <v>8.5141727244102475E-3</v>
      </c>
      <c r="N641">
        <f t="shared" si="33"/>
        <v>-3.1875147046480446E-3</v>
      </c>
      <c r="O641">
        <f t="shared" si="32"/>
        <v>-2.9638301974668291E-3</v>
      </c>
    </row>
    <row r="642" spans="1:15" x14ac:dyDescent="0.35">
      <c r="A642" s="2">
        <v>45868</v>
      </c>
      <c r="B642">
        <v>208.61079406738281</v>
      </c>
      <c r="C642">
        <v>924.91827392578125</v>
      </c>
      <c r="D642">
        <v>164.99365234375</v>
      </c>
      <c r="E642">
        <v>296.84133911132813</v>
      </c>
      <c r="F642">
        <v>69.971435546875</v>
      </c>
      <c r="G642">
        <v>151.81834411621091</v>
      </c>
      <c r="H642">
        <v>6362.89990234375</v>
      </c>
      <c r="I642">
        <f t="shared" si="33"/>
        <v>-1.0563460319450515E-2</v>
      </c>
      <c r="J642">
        <f t="shared" si="33"/>
        <v>-7.582966000593553E-3</v>
      </c>
      <c r="K642">
        <f t="shared" si="33"/>
        <v>-5.0690577187298066E-3</v>
      </c>
      <c r="L642">
        <f t="shared" si="33"/>
        <v>8.6815451936290439E-3</v>
      </c>
      <c r="M642">
        <f t="shared" si="33"/>
        <v>-1.3432440984688373E-2</v>
      </c>
      <c r="N642">
        <f t="shared" si="33"/>
        <v>-2.4105364762442988E-2</v>
      </c>
      <c r="O642">
        <f t="shared" si="32"/>
        <v>-1.2502139385094711E-3</v>
      </c>
    </row>
    <row r="643" spans="1:15" x14ac:dyDescent="0.35">
      <c r="A643" s="2">
        <v>45869</v>
      </c>
      <c r="B643">
        <v>207.1339111328125</v>
      </c>
      <c r="C643">
        <v>937.014404296875</v>
      </c>
      <c r="D643">
        <v>162.5078125</v>
      </c>
      <c r="E643">
        <v>293.48287963867188</v>
      </c>
      <c r="F643">
        <v>70.040435791015625</v>
      </c>
      <c r="G643">
        <v>149.4250793457031</v>
      </c>
      <c r="H643">
        <v>6339.39013671875</v>
      </c>
      <c r="I643">
        <f t="shared" si="33"/>
        <v>-7.1047887254020361E-3</v>
      </c>
      <c r="J643">
        <f t="shared" si="33"/>
        <v>1.2993273805969463E-2</v>
      </c>
      <c r="K643">
        <f t="shared" si="33"/>
        <v>-1.5180924979416185E-2</v>
      </c>
      <c r="L643">
        <f t="shared" si="33"/>
        <v>-1.1378478472744698E-2</v>
      </c>
      <c r="M643">
        <f t="shared" si="33"/>
        <v>9.8563427611236885E-4</v>
      </c>
      <c r="N643">
        <f t="shared" si="33"/>
        <v>-1.5889575923735758E-2</v>
      </c>
      <c r="O643">
        <f t="shared" si="32"/>
        <v>-3.701662046374567E-3</v>
      </c>
    </row>
    <row r="644" spans="1:15" x14ac:dyDescent="0.35">
      <c r="A644" s="2">
        <v>45870</v>
      </c>
      <c r="B644">
        <v>201.95481872558591</v>
      </c>
      <c r="C644">
        <v>951.17437744140625</v>
      </c>
      <c r="D644">
        <v>165.0627136230469</v>
      </c>
      <c r="E644">
        <v>286.67684936523438</v>
      </c>
      <c r="F644">
        <v>69.389907836914063</v>
      </c>
      <c r="G644">
        <v>149.60382080078119</v>
      </c>
      <c r="H644">
        <v>6238.009765625</v>
      </c>
      <c r="I644">
        <f t="shared" si="33"/>
        <v>-2.5321495083900643E-2</v>
      </c>
      <c r="J644">
        <f t="shared" si="33"/>
        <v>1.4998753022836415E-2</v>
      </c>
      <c r="K644">
        <f t="shared" si="33"/>
        <v>1.559940671421014E-2</v>
      </c>
      <c r="L644">
        <f t="shared" si="33"/>
        <v>-2.3463684851549708E-2</v>
      </c>
      <c r="M644">
        <f t="shared" si="33"/>
        <v>-9.3312927079486786E-3</v>
      </c>
      <c r="N644">
        <f t="shared" si="33"/>
        <v>1.1954796093503613E-3</v>
      </c>
      <c r="O644">
        <f t="shared" si="32"/>
        <v>-1.61213871855698E-2</v>
      </c>
    </row>
    <row r="645" spans="1:15" x14ac:dyDescent="0.35">
      <c r="A645" s="2">
        <v>45873</v>
      </c>
      <c r="B645">
        <v>202.92277526855469</v>
      </c>
      <c r="C645">
        <v>954.02032470703125</v>
      </c>
      <c r="D645">
        <v>168.7224426269531</v>
      </c>
      <c r="E645">
        <v>291.52133178710938</v>
      </c>
      <c r="F645">
        <v>69.518043518066406</v>
      </c>
      <c r="G645">
        <v>149.71305847167969</v>
      </c>
      <c r="H645">
        <v>6329.93994140625</v>
      </c>
      <c r="I645">
        <f t="shared" si="33"/>
        <v>4.7814865603560087E-3</v>
      </c>
      <c r="J645">
        <f t="shared" si="33"/>
        <v>2.9875680204465662E-3</v>
      </c>
      <c r="K645">
        <f t="shared" si="33"/>
        <v>2.192952921445037E-2</v>
      </c>
      <c r="L645">
        <f t="shared" si="33"/>
        <v>1.6757561495553481E-2</v>
      </c>
      <c r="M645">
        <f t="shared" si="33"/>
        <v>1.8449011197217168E-3</v>
      </c>
      <c r="N645">
        <f t="shared" si="33"/>
        <v>7.2991323452212221E-4</v>
      </c>
      <c r="O645">
        <f t="shared" si="32"/>
        <v>1.4629564491414495E-2</v>
      </c>
    </row>
    <row r="646" spans="1:15" x14ac:dyDescent="0.35">
      <c r="A646" s="2">
        <v>45874</v>
      </c>
      <c r="B646">
        <v>202.49366760253909</v>
      </c>
      <c r="C646">
        <v>942.296875</v>
      </c>
      <c r="D646">
        <v>168.426513671875</v>
      </c>
      <c r="E646">
        <v>288.658203125</v>
      </c>
      <c r="F646">
        <v>70.158714294433594</v>
      </c>
      <c r="G646">
        <v>149.46479797363281</v>
      </c>
      <c r="H646">
        <v>6299.18994140625</v>
      </c>
      <c r="I646">
        <f t="shared" si="33"/>
        <v>-2.1168743093806668E-3</v>
      </c>
      <c r="J646">
        <f t="shared" si="33"/>
        <v>-1.2364597092086987E-2</v>
      </c>
      <c r="K646">
        <f t="shared" si="33"/>
        <v>-1.7554794434126817E-3</v>
      </c>
      <c r="L646">
        <f t="shared" si="33"/>
        <v>-9.8698824495591676E-3</v>
      </c>
      <c r="M646">
        <f t="shared" si="33"/>
        <v>9.1736847195623417E-3</v>
      </c>
      <c r="N646">
        <f t="shared" si="33"/>
        <v>-1.6596185157503249E-3</v>
      </c>
      <c r="O646">
        <f t="shared" si="32"/>
        <v>-4.8697037804620166E-3</v>
      </c>
    </row>
    <row r="647" spans="1:15" x14ac:dyDescent="0.35">
      <c r="A647" s="2">
        <v>45875</v>
      </c>
      <c r="B647">
        <v>212.8019714355469</v>
      </c>
      <c r="C647">
        <v>967.191650390625</v>
      </c>
      <c r="D647">
        <v>168.2785339355469</v>
      </c>
      <c r="E647">
        <v>288.63839721679688</v>
      </c>
      <c r="F647">
        <v>69.527900695800781</v>
      </c>
      <c r="G647">
        <v>151.7984924316406</v>
      </c>
      <c r="H647">
        <v>6345.06005859375</v>
      </c>
      <c r="I647">
        <f t="shared" si="33"/>
        <v>4.9653406730293913E-2</v>
      </c>
      <c r="J647">
        <f t="shared" si="33"/>
        <v>2.6076287645676561E-2</v>
      </c>
      <c r="K647">
        <f t="shared" si="33"/>
        <v>-8.7898739212427795E-4</v>
      </c>
      <c r="L647">
        <f t="shared" si="33"/>
        <v>-6.8616056977211925E-5</v>
      </c>
      <c r="M647">
        <f t="shared" si="33"/>
        <v>-9.031901687966323E-3</v>
      </c>
      <c r="N647">
        <f t="shared" si="33"/>
        <v>1.5493033586669782E-2</v>
      </c>
      <c r="O647">
        <f t="shared" si="32"/>
        <v>7.2555222198526052E-3</v>
      </c>
    </row>
    <row r="648" spans="1:15" x14ac:dyDescent="0.35">
      <c r="A648" s="2">
        <v>45876</v>
      </c>
      <c r="B648">
        <v>219.5677185058594</v>
      </c>
      <c r="C648">
        <v>976.069091796875</v>
      </c>
      <c r="D648">
        <v>169.20579528808591</v>
      </c>
      <c r="E648">
        <v>284.26943969726563</v>
      </c>
      <c r="F648">
        <v>71.538627624511719</v>
      </c>
      <c r="G648">
        <v>152.42411804199219</v>
      </c>
      <c r="H648">
        <v>6340</v>
      </c>
      <c r="I648">
        <f t="shared" si="33"/>
        <v>3.1298675800817251E-2</v>
      </c>
      <c r="J648">
        <f t="shared" si="33"/>
        <v>9.1367081837455122E-3</v>
      </c>
      <c r="K648">
        <f t="shared" si="33"/>
        <v>5.4951510668513918E-3</v>
      </c>
      <c r="L648">
        <f t="shared" si="33"/>
        <v>-1.5252164250633804E-2</v>
      </c>
      <c r="M648">
        <f t="shared" si="33"/>
        <v>2.8509429443874305E-2</v>
      </c>
      <c r="N648">
        <f t="shared" si="33"/>
        <v>4.1129519684312311E-3</v>
      </c>
      <c r="O648">
        <f t="shared" si="32"/>
        <v>-7.9779817182786678E-4</v>
      </c>
    </row>
    <row r="649" spans="1:15" x14ac:dyDescent="0.35">
      <c r="A649" s="2">
        <v>45877</v>
      </c>
      <c r="B649">
        <v>228.86814880371091</v>
      </c>
      <c r="C649">
        <v>979.5941162109375</v>
      </c>
      <c r="D649">
        <v>170.9814147949219</v>
      </c>
      <c r="E649">
        <v>286.07254028320313</v>
      </c>
      <c r="F649">
        <v>71.371070861816406</v>
      </c>
      <c r="G649">
        <v>152.4439697265625</v>
      </c>
      <c r="H649">
        <v>6389.4501953125</v>
      </c>
      <c r="I649">
        <f t="shared" si="33"/>
        <v>4.1485370829086078E-2</v>
      </c>
      <c r="J649">
        <f t="shared" si="33"/>
        <v>3.6049440589955395E-3</v>
      </c>
      <c r="K649">
        <f t="shared" si="33"/>
        <v>1.0439167488973425E-2</v>
      </c>
      <c r="L649">
        <f t="shared" si="33"/>
        <v>6.3228962847087511E-3</v>
      </c>
      <c r="M649">
        <f t="shared" si="33"/>
        <v>-2.3449330766055982E-3</v>
      </c>
      <c r="N649">
        <f t="shared" si="33"/>
        <v>1.3023130589807452E-4</v>
      </c>
      <c r="O649">
        <f t="shared" si="32"/>
        <v>7.7694548163894745E-3</v>
      </c>
    </row>
    <row r="650" spans="1:15" x14ac:dyDescent="0.35">
      <c r="A650" s="2">
        <v>45880</v>
      </c>
      <c r="B650">
        <v>226.95997619628909</v>
      </c>
      <c r="C650">
        <v>987.3431396484375</v>
      </c>
      <c r="D650">
        <v>171.46479797363281</v>
      </c>
      <c r="E650">
        <v>286.86508178710938</v>
      </c>
      <c r="F650">
        <v>71.410491943359375</v>
      </c>
      <c r="G650">
        <v>153.90376281738281</v>
      </c>
      <c r="H650">
        <v>6373.4501953125</v>
      </c>
      <c r="I650">
        <f t="shared" si="33"/>
        <v>-8.3723826993211525E-3</v>
      </c>
      <c r="J650">
        <f t="shared" si="33"/>
        <v>7.8793194902678793E-3</v>
      </c>
      <c r="K650">
        <f t="shared" si="33"/>
        <v>2.8231207222314176E-3</v>
      </c>
      <c r="L650">
        <f t="shared" si="33"/>
        <v>2.766590912823606E-3</v>
      </c>
      <c r="M650">
        <f t="shared" si="33"/>
        <v>5.5218729603649988E-4</v>
      </c>
      <c r="N650">
        <f t="shared" si="33"/>
        <v>9.5303733953387027E-3</v>
      </c>
      <c r="O650">
        <f t="shared" si="32"/>
        <v>-2.5072683938851073E-3</v>
      </c>
    </row>
    <row r="651" spans="1:15" x14ac:dyDescent="0.35">
      <c r="A651" s="2">
        <v>45881</v>
      </c>
      <c r="B651">
        <v>229.4275817871094</v>
      </c>
      <c r="C651">
        <v>989.849609375</v>
      </c>
      <c r="D651">
        <v>170.4388732910156</v>
      </c>
      <c r="E651">
        <v>290.12445068359381</v>
      </c>
      <c r="F651">
        <v>70.828956604003906</v>
      </c>
      <c r="G651">
        <v>154.01300048828119</v>
      </c>
      <c r="H651">
        <v>6445.759765625</v>
      </c>
      <c r="I651">
        <f t="shared" si="33"/>
        <v>1.0813746316393955E-2</v>
      </c>
      <c r="J651">
        <f t="shared" si="33"/>
        <v>2.5353836346691007E-3</v>
      </c>
      <c r="K651">
        <f t="shared" si="33"/>
        <v>-6.0012678886749516E-3</v>
      </c>
      <c r="L651">
        <f t="shared" si="33"/>
        <v>1.1297964288398351E-2</v>
      </c>
      <c r="M651">
        <f t="shared" si="33"/>
        <v>-8.1768958680697272E-3</v>
      </c>
      <c r="N651">
        <f t="shared" si="33"/>
        <v>7.095273041221855E-4</v>
      </c>
      <c r="O651">
        <f t="shared" si="32"/>
        <v>1.1281559075170764E-2</v>
      </c>
    </row>
    <row r="652" spans="1:15" x14ac:dyDescent="0.35">
      <c r="A652" s="2">
        <v>45882</v>
      </c>
      <c r="B652">
        <v>233.1040344238281</v>
      </c>
      <c r="C652">
        <v>977.46710205078125</v>
      </c>
      <c r="D652">
        <v>172.056640625</v>
      </c>
      <c r="E652">
        <v>287.82601928710938</v>
      </c>
      <c r="F652">
        <v>71.262649536132813</v>
      </c>
      <c r="G652">
        <v>154.3307800292969</v>
      </c>
      <c r="H652">
        <v>6466.580078125</v>
      </c>
      <c r="I652">
        <f t="shared" si="33"/>
        <v>1.5897421651124486E-2</v>
      </c>
      <c r="J652">
        <f t="shared" si="33"/>
        <v>-1.2588385764807282E-2</v>
      </c>
      <c r="K652">
        <f t="shared" si="33"/>
        <v>9.4470105437329185E-3</v>
      </c>
      <c r="L652">
        <f t="shared" si="33"/>
        <v>-7.9537733177484481E-3</v>
      </c>
      <c r="M652">
        <f t="shared" si="33"/>
        <v>6.1044320727114765E-3</v>
      </c>
      <c r="N652">
        <f t="shared" si="33"/>
        <v>2.0612035890010196E-3</v>
      </c>
      <c r="O652">
        <f t="shared" si="32"/>
        <v>3.2248733840464015E-3</v>
      </c>
    </row>
    <row r="653" spans="1:15" x14ac:dyDescent="0.35">
      <c r="A653" s="2">
        <v>45883</v>
      </c>
      <c r="B653">
        <v>232.5545654296875</v>
      </c>
      <c r="C653">
        <v>974.01202392578125</v>
      </c>
      <c r="D653">
        <v>172.3525695800781</v>
      </c>
      <c r="E653">
        <v>291.42227172851563</v>
      </c>
      <c r="F653">
        <v>71.203498840332031</v>
      </c>
      <c r="G653">
        <v>152.67237854003909</v>
      </c>
      <c r="H653">
        <v>6468.5400390625</v>
      </c>
      <c r="I653">
        <f t="shared" si="33"/>
        <v>-2.3599660752876305E-3</v>
      </c>
      <c r="J653">
        <f t="shared" si="33"/>
        <v>-3.5409876428187737E-3</v>
      </c>
      <c r="K653">
        <f t="shared" si="33"/>
        <v>1.7184733690994438E-3</v>
      </c>
      <c r="L653">
        <f t="shared" si="33"/>
        <v>1.2417123034800354E-2</v>
      </c>
      <c r="M653">
        <f t="shared" si="33"/>
        <v>-8.3038251365301959E-4</v>
      </c>
      <c r="N653">
        <f t="shared" si="33"/>
        <v>-1.0803912430728667E-2</v>
      </c>
      <c r="O653">
        <f t="shared" si="32"/>
        <v>3.0304487855445177E-4</v>
      </c>
    </row>
    <row r="654" spans="1:15" x14ac:dyDescent="0.35">
      <c r="A654" s="2">
        <v>45884</v>
      </c>
      <c r="B654">
        <v>231.36570739746091</v>
      </c>
      <c r="C654">
        <v>970.666748046875</v>
      </c>
      <c r="D654">
        <v>174.24656677246091</v>
      </c>
      <c r="E654">
        <v>287.78640747070313</v>
      </c>
      <c r="F654">
        <v>74.328033447265625</v>
      </c>
      <c r="G654">
        <v>153.28807067871091</v>
      </c>
      <c r="H654">
        <v>6449.7998046875</v>
      </c>
      <c r="I654">
        <f t="shared" si="33"/>
        <v>-5.1252799427785869E-3</v>
      </c>
      <c r="J654">
        <f t="shared" si="33"/>
        <v>-3.4404439713730819E-3</v>
      </c>
      <c r="K654">
        <f t="shared" si="33"/>
        <v>1.0929144629968942E-2</v>
      </c>
      <c r="L654">
        <f t="shared" si="33"/>
        <v>-1.2554756673781732E-2</v>
      </c>
      <c r="M654">
        <f t="shared" si="33"/>
        <v>4.2946223107962311E-2</v>
      </c>
      <c r="N654">
        <f t="shared" si="33"/>
        <v>4.0246572478150437E-3</v>
      </c>
      <c r="O654">
        <f t="shared" si="32"/>
        <v>-2.9013399163647113E-3</v>
      </c>
    </row>
    <row r="655" spans="1:15" x14ac:dyDescent="0.35">
      <c r="A655" s="2">
        <v>45887</v>
      </c>
      <c r="B655">
        <v>230.66639709472659</v>
      </c>
      <c r="C655">
        <v>977.96636962890625</v>
      </c>
      <c r="D655">
        <v>173.8618469238281</v>
      </c>
      <c r="E655">
        <v>288.81674194335938</v>
      </c>
      <c r="F655">
        <v>74.633575439453125</v>
      </c>
      <c r="G655">
        <v>154.63862609863281</v>
      </c>
      <c r="H655">
        <v>6449.14990234375</v>
      </c>
      <c r="I655">
        <f t="shared" si="33"/>
        <v>-3.0271092850021226E-3</v>
      </c>
      <c r="J655">
        <f t="shared" si="33"/>
        <v>7.4920780731021997E-3</v>
      </c>
      <c r="K655">
        <f t="shared" si="33"/>
        <v>-2.2103459159804476E-3</v>
      </c>
      <c r="L655">
        <f t="shared" si="33"/>
        <v>3.5738117987512657E-3</v>
      </c>
      <c r="M655">
        <f t="shared" si="33"/>
        <v>4.1022975377899805E-3</v>
      </c>
      <c r="N655">
        <f t="shared" si="33"/>
        <v>8.7719843340908297E-3</v>
      </c>
      <c r="O655">
        <f t="shared" si="32"/>
        <v>-1.0076825773579619E-4</v>
      </c>
    </row>
    <row r="656" spans="1:15" x14ac:dyDescent="0.35">
      <c r="A656" s="2">
        <v>45888</v>
      </c>
      <c r="B656">
        <v>230.33671569824219</v>
      </c>
      <c r="C656">
        <v>979.46429443359375</v>
      </c>
      <c r="D656">
        <v>175.39085388183591</v>
      </c>
      <c r="E656">
        <v>287.954833984375</v>
      </c>
      <c r="F656">
        <v>75.412246704101563</v>
      </c>
      <c r="G656">
        <v>157.30000305175781</v>
      </c>
      <c r="H656">
        <v>6411.3701171875</v>
      </c>
      <c r="I656">
        <f t="shared" si="33"/>
        <v>-1.4302786403736167E-3</v>
      </c>
      <c r="J656">
        <f t="shared" si="33"/>
        <v>1.5305013092803655E-3</v>
      </c>
      <c r="K656">
        <f t="shared" si="33"/>
        <v>8.7559335866913418E-3</v>
      </c>
      <c r="L656">
        <f t="shared" si="33"/>
        <v>-2.9887346621862666E-3</v>
      </c>
      <c r="M656">
        <f t="shared" si="33"/>
        <v>1.0379206083820529E-2</v>
      </c>
      <c r="N656">
        <f t="shared" si="33"/>
        <v>1.7063879119290616E-2</v>
      </c>
      <c r="O656">
        <f t="shared" si="32"/>
        <v>-5.8753291122071267E-3</v>
      </c>
    </row>
    <row r="657" spans="1:15" x14ac:dyDescent="0.35">
      <c r="A657" s="2">
        <v>45889</v>
      </c>
      <c r="B657">
        <v>225.7911071777344</v>
      </c>
      <c r="C657">
        <v>993.1649169921875</v>
      </c>
      <c r="D657">
        <v>176.416748046875</v>
      </c>
      <c r="E657">
        <v>289.52011108398438</v>
      </c>
      <c r="F657">
        <v>75.08697509765625</v>
      </c>
      <c r="G657">
        <v>158.40229797363281</v>
      </c>
      <c r="H657">
        <v>6395.77978515625</v>
      </c>
      <c r="I657">
        <f t="shared" si="33"/>
        <v>-1.993195232786818E-2</v>
      </c>
      <c r="J657">
        <f t="shared" si="33"/>
        <v>1.3890945934175227E-2</v>
      </c>
      <c r="K657">
        <f t="shared" si="33"/>
        <v>5.8321484089960832E-3</v>
      </c>
      <c r="L657">
        <f t="shared" si="33"/>
        <v>5.4211215444462321E-3</v>
      </c>
      <c r="M657">
        <f t="shared" si="33"/>
        <v>-4.3225753464602801E-3</v>
      </c>
      <c r="N657">
        <f t="shared" si="33"/>
        <v>6.9831572192841345E-3</v>
      </c>
      <c r="O657">
        <f t="shared" si="32"/>
        <v>-2.4346306322649571E-3</v>
      </c>
    </row>
    <row r="658" spans="1:15" x14ac:dyDescent="0.35">
      <c r="A658" s="2">
        <v>45890</v>
      </c>
      <c r="B658">
        <v>224.68218994140619</v>
      </c>
      <c r="C658">
        <v>968.31005859375</v>
      </c>
      <c r="D658">
        <v>176.50553894042969</v>
      </c>
      <c r="E658">
        <v>288.75729370117188</v>
      </c>
      <c r="F658">
        <v>74.988410949707031</v>
      </c>
      <c r="G658">
        <v>157.6277160644531</v>
      </c>
      <c r="H658">
        <v>6370.169921875</v>
      </c>
      <c r="I658">
        <f t="shared" si="33"/>
        <v>-4.9233527642000017E-3</v>
      </c>
      <c r="J658">
        <f t="shared" si="33"/>
        <v>-2.534438535113161E-2</v>
      </c>
      <c r="K658">
        <f t="shared" si="33"/>
        <v>5.0317533747177765E-4</v>
      </c>
      <c r="L658">
        <f t="shared" si="33"/>
        <v>-2.6382418505536158E-3</v>
      </c>
      <c r="M658">
        <f t="shared" si="33"/>
        <v>-1.3135286833731144E-3</v>
      </c>
      <c r="N658">
        <f t="shared" si="33"/>
        <v>-4.9019613696312343E-3</v>
      </c>
      <c r="O658">
        <f t="shared" si="32"/>
        <v>-4.0122197289511226E-3</v>
      </c>
    </row>
    <row r="659" spans="1:15" x14ac:dyDescent="0.35">
      <c r="A659" s="2">
        <v>45891</v>
      </c>
      <c r="B659">
        <v>227.53941345214841</v>
      </c>
      <c r="C659">
        <v>957.185791015625</v>
      </c>
      <c r="D659">
        <v>176.86065673828119</v>
      </c>
      <c r="E659">
        <v>293.48287963867188</v>
      </c>
      <c r="F659">
        <v>75.224960327148438</v>
      </c>
      <c r="G659">
        <v>157.56813049316409</v>
      </c>
      <c r="H659">
        <v>6466.91015625</v>
      </c>
      <c r="I659">
        <f t="shared" si="33"/>
        <v>1.2636554777214086E-2</v>
      </c>
      <c r="J659">
        <f t="shared" si="33"/>
        <v>-1.1554832850677771E-2</v>
      </c>
      <c r="K659">
        <f t="shared" si="33"/>
        <v>2.009914483860167E-3</v>
      </c>
      <c r="L659">
        <f t="shared" si="33"/>
        <v>1.6232784753507722E-2</v>
      </c>
      <c r="M659">
        <f t="shared" si="33"/>
        <v>3.1495142005945457E-3</v>
      </c>
      <c r="N659">
        <f t="shared" si="33"/>
        <v>-3.7808602270351471E-4</v>
      </c>
      <c r="O659">
        <f t="shared" si="32"/>
        <v>1.5072285158779139E-2</v>
      </c>
    </row>
    <row r="660" spans="1:15" x14ac:dyDescent="0.35">
      <c r="A660" s="2">
        <v>45894</v>
      </c>
      <c r="B660">
        <v>226.94000244140619</v>
      </c>
      <c r="C660">
        <v>940.24981689453125</v>
      </c>
      <c r="D660">
        <v>175.9925842285156</v>
      </c>
      <c r="E660">
        <v>292.15536499023438</v>
      </c>
      <c r="F660">
        <v>74.23931884765625</v>
      </c>
      <c r="G660">
        <v>155.06562805175781</v>
      </c>
      <c r="H660">
        <v>6439.31982421875</v>
      </c>
      <c r="I660">
        <f t="shared" si="33"/>
        <v>-2.6377932083889808E-3</v>
      </c>
      <c r="J660">
        <f t="shared" si="33"/>
        <v>-1.785190899354459E-2</v>
      </c>
      <c r="K660">
        <f t="shared" si="33"/>
        <v>-4.9203133783629208E-3</v>
      </c>
      <c r="L660">
        <f t="shared" si="33"/>
        <v>-4.5335731890605866E-3</v>
      </c>
      <c r="M660">
        <f t="shared" si="33"/>
        <v>-1.3189181695559025E-2</v>
      </c>
      <c r="N660">
        <f t="shared" si="33"/>
        <v>-1.6009505198635698E-2</v>
      </c>
      <c r="O660">
        <f t="shared" si="32"/>
        <v>-4.2755125396463194E-3</v>
      </c>
    </row>
    <row r="661" spans="1:15" x14ac:dyDescent="0.35">
      <c r="A661" s="2">
        <v>45895</v>
      </c>
      <c r="B661">
        <v>229.0879211425781</v>
      </c>
      <c r="C661">
        <v>940.0101318359375</v>
      </c>
      <c r="D661">
        <v>175.37651062011719</v>
      </c>
      <c r="E661">
        <v>295.79122924804688</v>
      </c>
      <c r="F661">
        <v>73.766197204589844</v>
      </c>
      <c r="G661">
        <v>154.88688659667969</v>
      </c>
      <c r="H661">
        <v>6465.93994140625</v>
      </c>
      <c r="I661">
        <f t="shared" si="33"/>
        <v>9.4201888696588687E-3</v>
      </c>
      <c r="J661">
        <f t="shared" si="33"/>
        <v>-2.5494885433674085E-4</v>
      </c>
      <c r="K661">
        <f t="shared" si="33"/>
        <v>-3.5067070425463232E-3</v>
      </c>
      <c r="L661">
        <f t="shared" si="33"/>
        <v>1.2368166231321837E-2</v>
      </c>
      <c r="M661">
        <f t="shared" si="33"/>
        <v>-6.3933192118377866E-3</v>
      </c>
      <c r="N661">
        <f t="shared" si="33"/>
        <v>-1.1533474738509967E-3</v>
      </c>
      <c r="O661">
        <f t="shared" si="32"/>
        <v>4.12547371011636E-3</v>
      </c>
    </row>
    <row r="662" spans="1:15" x14ac:dyDescent="0.35">
      <c r="A662" s="2">
        <v>45896</v>
      </c>
      <c r="B662">
        <v>230.26678466796881</v>
      </c>
      <c r="C662">
        <v>948.1785888671875</v>
      </c>
      <c r="D662">
        <v>175.6745910644531</v>
      </c>
      <c r="E662">
        <v>296.49459838867188</v>
      </c>
      <c r="F662">
        <v>72.829833984375</v>
      </c>
      <c r="G662">
        <v>155.8700256347656</v>
      </c>
      <c r="H662">
        <v>6481.39990234375</v>
      </c>
      <c r="I662">
        <f t="shared" si="33"/>
        <v>5.1327050688324523E-3</v>
      </c>
      <c r="J662">
        <f t="shared" si="33"/>
        <v>8.6522156389866201E-3</v>
      </c>
      <c r="K662">
        <f t="shared" si="33"/>
        <v>1.6982172369934502E-3</v>
      </c>
      <c r="L662">
        <f t="shared" si="33"/>
        <v>2.3751014745021404E-3</v>
      </c>
      <c r="M662">
        <f t="shared" si="33"/>
        <v>-1.2774915487217712E-2</v>
      </c>
      <c r="N662">
        <f t="shared" si="33"/>
        <v>6.327404343847892E-3</v>
      </c>
      <c r="O662">
        <f t="shared" si="32"/>
        <v>2.3881304533030262E-3</v>
      </c>
    </row>
    <row r="663" spans="1:15" x14ac:dyDescent="0.35">
      <c r="A663" s="2">
        <v>45897</v>
      </c>
      <c r="B663">
        <v>232.33477783203119</v>
      </c>
      <c r="C663">
        <v>943.625</v>
      </c>
      <c r="D663">
        <v>174.34306335449219</v>
      </c>
      <c r="E663">
        <v>298.2679443359375</v>
      </c>
      <c r="F663">
        <v>71.605117797851563</v>
      </c>
      <c r="G663">
        <v>154.56910705566409</v>
      </c>
      <c r="H663">
        <v>6501.85986328125</v>
      </c>
      <c r="I663">
        <f t="shared" si="33"/>
        <v>8.9407693683251979E-3</v>
      </c>
      <c r="J663">
        <f t="shared" si="33"/>
        <v>-4.8140279340288727E-3</v>
      </c>
      <c r="K663">
        <f t="shared" si="33"/>
        <v>-7.6083826994265908E-3</v>
      </c>
      <c r="L663">
        <f t="shared" si="33"/>
        <v>5.963224227808068E-3</v>
      </c>
      <c r="M663">
        <f t="shared" si="33"/>
        <v>-1.6959129696347205E-2</v>
      </c>
      <c r="N663">
        <f t="shared" si="33"/>
        <v>-8.3811997734760564E-3</v>
      </c>
      <c r="O663">
        <f t="shared" si="32"/>
        <v>3.151747441466755E-3</v>
      </c>
    </row>
    <row r="664" spans="1:15" x14ac:dyDescent="0.35">
      <c r="A664" s="2">
        <v>45898</v>
      </c>
      <c r="B664">
        <v>231.91517639160159</v>
      </c>
      <c r="C664">
        <v>941.9873046875</v>
      </c>
      <c r="D664">
        <v>176.05220031738281</v>
      </c>
      <c r="E664">
        <v>298.61471557617188</v>
      </c>
      <c r="F664">
        <v>71.565399169921875</v>
      </c>
      <c r="G664">
        <v>155.94944763183591</v>
      </c>
      <c r="H664">
        <v>6460.259765625</v>
      </c>
      <c r="I664">
        <f t="shared" si="33"/>
        <v>-1.8076536179272853E-3</v>
      </c>
      <c r="J664">
        <f t="shared" si="33"/>
        <v>-1.7370439514174021E-3</v>
      </c>
      <c r="K664">
        <f t="shared" si="33"/>
        <v>9.7555571954174771E-3</v>
      </c>
      <c r="L664">
        <f t="shared" si="33"/>
        <v>1.1619412073398132E-3</v>
      </c>
      <c r="M664">
        <f t="shared" si="33"/>
        <v>-5.5484368974627525E-4</v>
      </c>
      <c r="N664">
        <f t="shared" si="33"/>
        <v>8.8906099007896103E-3</v>
      </c>
      <c r="O664">
        <f t="shared" si="32"/>
        <v>-6.4187404027925511E-3</v>
      </c>
    </row>
    <row r="665" spans="1:15" x14ac:dyDescent="0.35">
      <c r="A665" s="2">
        <v>45902</v>
      </c>
      <c r="B665">
        <v>229.4975280761719</v>
      </c>
      <c r="C665">
        <v>937.49371337890625</v>
      </c>
      <c r="D665">
        <v>176.93658447265619</v>
      </c>
      <c r="E665">
        <v>296.91070556640619</v>
      </c>
      <c r="F665">
        <v>72.161361694335938</v>
      </c>
      <c r="G665">
        <v>156.89286804199219</v>
      </c>
      <c r="H665">
        <v>6415.5400390625</v>
      </c>
      <c r="I665">
        <f t="shared" si="33"/>
        <v>-1.0479427277002538E-2</v>
      </c>
      <c r="J665">
        <f t="shared" si="33"/>
        <v>-4.781745415455862E-3</v>
      </c>
      <c r="K665">
        <f t="shared" si="33"/>
        <v>5.0108447851495968E-3</v>
      </c>
      <c r="L665">
        <f t="shared" si="33"/>
        <v>-5.722726855101232E-3</v>
      </c>
      <c r="M665">
        <f t="shared" si="33"/>
        <v>8.2930407171647926E-3</v>
      </c>
      <c r="N665">
        <f t="shared" si="33"/>
        <v>6.0313021784913698E-3</v>
      </c>
      <c r="O665">
        <f t="shared" si="32"/>
        <v>-6.9463500610303626E-3</v>
      </c>
    </row>
    <row r="666" spans="1:15" x14ac:dyDescent="0.35">
      <c r="A666" s="2">
        <v>45903</v>
      </c>
      <c r="B666">
        <v>238.23905944824219</v>
      </c>
      <c r="C666">
        <v>948.438232421875</v>
      </c>
      <c r="D666">
        <v>176.87696838378909</v>
      </c>
      <c r="E666">
        <v>296.72247314453119</v>
      </c>
      <c r="F666">
        <v>71.148216247558594</v>
      </c>
      <c r="G666">
        <v>157.07160949707031</v>
      </c>
      <c r="H666">
        <v>6448.259765625</v>
      </c>
      <c r="I666">
        <f t="shared" si="33"/>
        <v>3.7382362478189754E-2</v>
      </c>
      <c r="J666">
        <f t="shared" si="33"/>
        <v>1.160661383523107E-2</v>
      </c>
      <c r="K666">
        <f t="shared" si="33"/>
        <v>-3.369915536021276E-4</v>
      </c>
      <c r="L666">
        <f t="shared" si="33"/>
        <v>-6.3417084803867225E-4</v>
      </c>
      <c r="M666">
        <f t="shared" si="33"/>
        <v>-1.4139492150026347E-2</v>
      </c>
      <c r="N666">
        <f t="shared" si="33"/>
        <v>1.1386095381849784E-3</v>
      </c>
      <c r="O666">
        <f t="shared" si="32"/>
        <v>5.0871123029413079E-3</v>
      </c>
    </row>
    <row r="667" spans="1:15" x14ac:dyDescent="0.35">
      <c r="A667" s="2">
        <v>45904</v>
      </c>
      <c r="B667">
        <v>239.54777526855469</v>
      </c>
      <c r="C667">
        <v>954.549560546875</v>
      </c>
      <c r="D667">
        <v>177.6321716308594</v>
      </c>
      <c r="E667">
        <v>300.99237060546881</v>
      </c>
      <c r="F667">
        <v>70.393333435058594</v>
      </c>
      <c r="G667">
        <v>158.08453369140619</v>
      </c>
      <c r="H667">
        <v>6502.080078125</v>
      </c>
      <c r="I667">
        <f t="shared" si="33"/>
        <v>5.4782551474289055E-3</v>
      </c>
      <c r="J667">
        <f t="shared" si="33"/>
        <v>6.4228989351435666E-3</v>
      </c>
      <c r="K667">
        <f t="shared" si="33"/>
        <v>4.2605637159871569E-3</v>
      </c>
      <c r="L667">
        <f t="shared" si="33"/>
        <v>1.428764951153152E-2</v>
      </c>
      <c r="M667">
        <f t="shared" si="33"/>
        <v>-1.0666690757857025E-2</v>
      </c>
      <c r="N667">
        <f t="shared" si="33"/>
        <v>6.4281005089184412E-3</v>
      </c>
      <c r="O667">
        <f t="shared" si="32"/>
        <v>8.3118471028735715E-3</v>
      </c>
    </row>
    <row r="668" spans="1:15" x14ac:dyDescent="0.35">
      <c r="A668" s="2">
        <v>45905</v>
      </c>
      <c r="B668">
        <v>239.45787048339841</v>
      </c>
      <c r="C668">
        <v>962.11883544921875</v>
      </c>
      <c r="D668">
        <v>177.30424499511719</v>
      </c>
      <c r="E668">
        <v>291.64022827148438</v>
      </c>
      <c r="F668">
        <v>70.423133850097656</v>
      </c>
      <c r="G668">
        <v>158.90876770019531</v>
      </c>
      <c r="H668">
        <v>6481.5</v>
      </c>
      <c r="I668">
        <f t="shared" si="33"/>
        <v>-3.7538090420987611E-4</v>
      </c>
      <c r="J668">
        <f t="shared" si="33"/>
        <v>7.8984077462592485E-3</v>
      </c>
      <c r="K668">
        <f t="shared" si="33"/>
        <v>-1.8478054867693803E-3</v>
      </c>
      <c r="L668">
        <f t="shared" si="33"/>
        <v>-3.1563969947379249E-2</v>
      </c>
      <c r="M668">
        <f t="shared" si="33"/>
        <v>4.2325185482172109E-4</v>
      </c>
      <c r="N668">
        <f t="shared" si="33"/>
        <v>5.2003361754586102E-3</v>
      </c>
      <c r="O668">
        <f t="shared" si="32"/>
        <v>-3.1701726699367399E-3</v>
      </c>
    </row>
    <row r="669" spans="1:15" x14ac:dyDescent="0.35">
      <c r="A669" s="2">
        <v>45908</v>
      </c>
      <c r="B669">
        <v>237.6496276855469</v>
      </c>
      <c r="C669">
        <v>970.47698974609375</v>
      </c>
      <c r="D669">
        <v>177.00614929199219</v>
      </c>
      <c r="E669">
        <v>290.18389892578119</v>
      </c>
      <c r="F669">
        <v>69.300727844238281</v>
      </c>
      <c r="G669">
        <v>157.90577697753909</v>
      </c>
      <c r="H669">
        <v>6495.14990234375</v>
      </c>
      <c r="I669">
        <f t="shared" si="33"/>
        <v>-7.5800588456236212E-3</v>
      </c>
      <c r="J669">
        <f t="shared" si="33"/>
        <v>8.6497200286822541E-3</v>
      </c>
      <c r="K669">
        <f t="shared" si="33"/>
        <v>-1.682681503380014E-3</v>
      </c>
      <c r="L669">
        <f t="shared" si="33"/>
        <v>-5.0060914253723084E-3</v>
      </c>
      <c r="M669">
        <f t="shared" si="33"/>
        <v>-1.6066406066613571E-2</v>
      </c>
      <c r="N669">
        <f t="shared" si="33"/>
        <v>-6.3317425945811356E-3</v>
      </c>
      <c r="O669">
        <f t="shared" si="32"/>
        <v>2.1037644508885675E-3</v>
      </c>
    </row>
    <row r="670" spans="1:15" x14ac:dyDescent="0.35">
      <c r="A670" s="2">
        <v>45909</v>
      </c>
      <c r="B670">
        <v>234.123046875</v>
      </c>
      <c r="C670">
        <v>977.8665771484375</v>
      </c>
      <c r="D670">
        <v>175.8435363769531</v>
      </c>
      <c r="E670">
        <v>295.07791137695313</v>
      </c>
      <c r="F670">
        <v>69.598709106445313</v>
      </c>
      <c r="G670">
        <v>158.3526611328125</v>
      </c>
      <c r="H670">
        <v>6512.60986328125</v>
      </c>
      <c r="I670">
        <f t="shared" si="33"/>
        <v>-1.4950617910709941E-2</v>
      </c>
      <c r="J670">
        <f t="shared" si="33"/>
        <v>7.5855439063583011E-3</v>
      </c>
      <c r="K670">
        <f t="shared" si="33"/>
        <v>-6.5898719460340486E-3</v>
      </c>
      <c r="L670">
        <f t="shared" si="33"/>
        <v>1.67245716032241E-2</v>
      </c>
      <c r="M670">
        <f t="shared" si="33"/>
        <v>4.2906109036175127E-3</v>
      </c>
      <c r="N670">
        <f t="shared" si="33"/>
        <v>2.8260713318525449E-3</v>
      </c>
      <c r="O670">
        <f t="shared" si="32"/>
        <v>2.6845470300734414E-3</v>
      </c>
    </row>
    <row r="671" spans="1:15" x14ac:dyDescent="0.35">
      <c r="A671" s="2">
        <v>45910</v>
      </c>
      <c r="B671">
        <v>226.57035827636719</v>
      </c>
      <c r="C671">
        <v>954.93896484375</v>
      </c>
      <c r="D671">
        <v>174.680908203125</v>
      </c>
      <c r="E671">
        <v>297.74288940429688</v>
      </c>
      <c r="F671">
        <v>70.562187194824219</v>
      </c>
      <c r="G671">
        <v>156.25730895996091</v>
      </c>
      <c r="H671">
        <v>6532.0400390625</v>
      </c>
      <c r="I671">
        <f t="shared" si="33"/>
        <v>-3.2791289244217724E-2</v>
      </c>
      <c r="J671">
        <f t="shared" si="33"/>
        <v>-2.3725809264642024E-2</v>
      </c>
      <c r="K671">
        <f t="shared" si="33"/>
        <v>-6.6336739438142382E-3</v>
      </c>
      <c r="L671">
        <f t="shared" si="33"/>
        <v>8.990899023943533E-3</v>
      </c>
      <c r="M671">
        <f t="shared" si="33"/>
        <v>1.3748389030009587E-2</v>
      </c>
      <c r="N671">
        <f t="shared" si="33"/>
        <v>-1.3320513362822297E-2</v>
      </c>
      <c r="O671">
        <f t="shared" si="32"/>
        <v>2.9790282293981275E-3</v>
      </c>
    </row>
    <row r="672" spans="1:15" x14ac:dyDescent="0.35">
      <c r="A672" s="2">
        <v>45911</v>
      </c>
      <c r="B672">
        <v>229.8072204589844</v>
      </c>
      <c r="C672">
        <v>962.9576416015625</v>
      </c>
      <c r="D672">
        <v>177.3738098144531</v>
      </c>
      <c r="E672">
        <v>302.71615600585938</v>
      </c>
      <c r="F672">
        <v>70.840301513671875</v>
      </c>
      <c r="G672">
        <v>157.52842712402341</v>
      </c>
      <c r="H672">
        <v>6587.47021484375</v>
      </c>
      <c r="I672">
        <f t="shared" si="33"/>
        <v>1.4185256289725907E-2</v>
      </c>
      <c r="J672">
        <f t="shared" si="33"/>
        <v>8.361997674926713E-3</v>
      </c>
      <c r="K672">
        <f t="shared" si="33"/>
        <v>1.5298497618491056E-2</v>
      </c>
      <c r="L672">
        <f t="shared" si="33"/>
        <v>1.6565260742916432E-2</v>
      </c>
      <c r="M672">
        <f t="shared" si="33"/>
        <v>3.9336602913966796E-3</v>
      </c>
      <c r="N672">
        <f t="shared" si="33"/>
        <v>8.1018667894900472E-3</v>
      </c>
      <c r="O672">
        <f t="shared" si="32"/>
        <v>8.4500876230935648E-3</v>
      </c>
    </row>
    <row r="673" spans="1:15" x14ac:dyDescent="0.35">
      <c r="A673" s="2">
        <v>45912</v>
      </c>
      <c r="B673">
        <v>233.84332275390619</v>
      </c>
      <c r="C673">
        <v>966.53265380859375</v>
      </c>
      <c r="D673">
        <v>176.93658447265619</v>
      </c>
      <c r="E673">
        <v>304.0535888671875</v>
      </c>
      <c r="F673">
        <v>71.158149719238281</v>
      </c>
      <c r="G673">
        <v>156.80348205566409</v>
      </c>
      <c r="H673">
        <v>6584.2900390625</v>
      </c>
      <c r="I673">
        <f t="shared" si="33"/>
        <v>1.7410544677714249E-2</v>
      </c>
      <c r="J673">
        <f t="shared" si="33"/>
        <v>3.7056587498909628E-3</v>
      </c>
      <c r="K673">
        <f t="shared" si="33"/>
        <v>-2.4680369008783986E-3</v>
      </c>
      <c r="L673">
        <f t="shared" si="33"/>
        <v>4.4083774399679733E-3</v>
      </c>
      <c r="M673">
        <f t="shared" si="33"/>
        <v>4.4767915939511503E-3</v>
      </c>
      <c r="N673">
        <f t="shared" si="33"/>
        <v>-4.6126169983352451E-3</v>
      </c>
      <c r="O673">
        <f t="shared" si="32"/>
        <v>-4.8287788142832935E-4</v>
      </c>
    </row>
    <row r="674" spans="1:15" x14ac:dyDescent="0.35">
      <c r="A674" s="2">
        <v>45915</v>
      </c>
      <c r="B674">
        <v>236.47076416015619</v>
      </c>
      <c r="C674">
        <v>958.74359130859375</v>
      </c>
      <c r="D674">
        <v>176.28074645996091</v>
      </c>
      <c r="E674">
        <v>306.02505493164063</v>
      </c>
      <c r="F674">
        <v>71.019096374511719</v>
      </c>
      <c r="G674">
        <v>155.74092102050781</v>
      </c>
      <c r="H674">
        <v>6615.27978515625</v>
      </c>
      <c r="I674">
        <f t="shared" si="33"/>
        <v>1.1173251296468912E-2</v>
      </c>
      <c r="J674">
        <f t="shared" si="33"/>
        <v>-8.0914154695325043E-3</v>
      </c>
      <c r="K674">
        <f t="shared" si="33"/>
        <v>-3.7135140829067693E-3</v>
      </c>
      <c r="L674">
        <f t="shared" si="33"/>
        <v>6.4630124228058161E-3</v>
      </c>
      <c r="M674">
        <f t="shared" si="33"/>
        <v>-1.9560568640012237E-3</v>
      </c>
      <c r="N674">
        <f t="shared" si="33"/>
        <v>-6.7994506920320804E-3</v>
      </c>
      <c r="O674">
        <f t="shared" si="32"/>
        <v>4.695577726559718E-3</v>
      </c>
    </row>
    <row r="675" spans="1:15" x14ac:dyDescent="0.35">
      <c r="A675" s="2">
        <v>45916</v>
      </c>
      <c r="B675">
        <v>237.91935729980469</v>
      </c>
      <c r="C675">
        <v>950.7249755859375</v>
      </c>
      <c r="D675">
        <v>175.34669494628909</v>
      </c>
      <c r="E675">
        <v>306.31234741210938</v>
      </c>
      <c r="F675">
        <v>69.360328674316406</v>
      </c>
      <c r="G675">
        <v>156.95245361328119</v>
      </c>
      <c r="H675">
        <v>6606.759765625</v>
      </c>
      <c r="I675">
        <f t="shared" si="33"/>
        <v>6.1071998617643992E-3</v>
      </c>
      <c r="J675">
        <f t="shared" si="33"/>
        <v>-8.3988424822399078E-3</v>
      </c>
      <c r="K675">
        <f t="shared" si="33"/>
        <v>-5.3127463938741999E-3</v>
      </c>
      <c r="L675">
        <f t="shared" si="33"/>
        <v>9.3834706307053867E-4</v>
      </c>
      <c r="M675">
        <f t="shared" si="33"/>
        <v>-2.36337327650974E-2</v>
      </c>
      <c r="N675">
        <f t="shared" si="33"/>
        <v>7.7490522891715914E-3</v>
      </c>
      <c r="O675">
        <f t="shared" si="32"/>
        <v>-1.2887604333313247E-3</v>
      </c>
    </row>
    <row r="676" spans="1:15" x14ac:dyDescent="0.35">
      <c r="A676" s="2">
        <v>45917</v>
      </c>
      <c r="B676">
        <v>238.75856018066409</v>
      </c>
      <c r="C676">
        <v>961.66949462890625</v>
      </c>
      <c r="D676">
        <v>176.08201599121091</v>
      </c>
      <c r="E676">
        <v>308.84854125976563</v>
      </c>
      <c r="F676">
        <v>69.83709716796875</v>
      </c>
      <c r="G676">
        <v>159.21661376953119</v>
      </c>
      <c r="H676">
        <v>6600.35009765625</v>
      </c>
      <c r="I676">
        <f t="shared" si="33"/>
        <v>3.5210514987462998E-3</v>
      </c>
      <c r="J676">
        <f t="shared" si="33"/>
        <v>1.1446005205410453E-2</v>
      </c>
      <c r="K676">
        <f t="shared" si="33"/>
        <v>4.1847583599576325E-3</v>
      </c>
      <c r="L676">
        <f t="shared" si="33"/>
        <v>8.2456744706568066E-3</v>
      </c>
      <c r="M676">
        <f t="shared" si="33"/>
        <v>6.8502755015769192E-3</v>
      </c>
      <c r="N676">
        <f t="shared" si="33"/>
        <v>1.4322709559666136E-2</v>
      </c>
      <c r="O676">
        <f t="shared" si="32"/>
        <v>-9.7063907824438648E-4</v>
      </c>
    </row>
    <row r="677" spans="1:15" x14ac:dyDescent="0.35">
      <c r="A677" s="2">
        <v>45918</v>
      </c>
      <c r="B677">
        <v>237.6496276855469</v>
      </c>
      <c r="C677">
        <v>951.0145263671875</v>
      </c>
      <c r="D677">
        <v>173.06120300292969</v>
      </c>
      <c r="E677">
        <v>310.31478881835938</v>
      </c>
      <c r="F677">
        <v>70.313873291015625</v>
      </c>
      <c r="G677">
        <v>156.22752380371091</v>
      </c>
      <c r="H677">
        <v>6631.9599609375</v>
      </c>
      <c r="I677">
        <f t="shared" si="33"/>
        <v>-4.6553964694921379E-3</v>
      </c>
      <c r="J677">
        <f t="shared" si="33"/>
        <v>-1.1141493695616267E-2</v>
      </c>
      <c r="K677">
        <f t="shared" si="33"/>
        <v>-1.7304579926242101E-2</v>
      </c>
      <c r="L677">
        <f t="shared" si="33"/>
        <v>4.7362310662004727E-3</v>
      </c>
      <c r="M677">
        <f t="shared" si="33"/>
        <v>6.8037768229892905E-3</v>
      </c>
      <c r="N677">
        <f t="shared" si="33"/>
        <v>-1.8952195201000856E-2</v>
      </c>
      <c r="O677">
        <f t="shared" si="32"/>
        <v>4.7776878367082627E-3</v>
      </c>
    </row>
    <row r="678" spans="1:15" x14ac:dyDescent="0.35">
      <c r="A678" s="2">
        <v>45919</v>
      </c>
      <c r="B678">
        <v>245.2622375488281</v>
      </c>
      <c r="C678">
        <v>949.81622314453125</v>
      </c>
      <c r="D678">
        <v>175.0783996582031</v>
      </c>
      <c r="E678">
        <v>311.850341796875</v>
      </c>
      <c r="F678">
        <v>70.601921081542969</v>
      </c>
      <c r="G678">
        <v>154.9563903808594</v>
      </c>
      <c r="H678">
        <v>6664.35986328125</v>
      </c>
      <c r="I678">
        <f t="shared" si="33"/>
        <v>3.1530559054439522E-2</v>
      </c>
      <c r="J678">
        <f t="shared" si="33"/>
        <v>-1.2608207034804505E-3</v>
      </c>
      <c r="K678">
        <f t="shared" si="33"/>
        <v>1.1588565131510534E-2</v>
      </c>
      <c r="L678">
        <f t="shared" ref="L678:O741" si="34">LN(E678/E677)</f>
        <v>4.9361689392847701E-3</v>
      </c>
      <c r="M678">
        <f t="shared" si="34"/>
        <v>4.0882314577103535E-3</v>
      </c>
      <c r="N678">
        <f t="shared" si="34"/>
        <v>-8.1697056625066825E-3</v>
      </c>
      <c r="O678">
        <f t="shared" si="32"/>
        <v>4.8735239374811772E-3</v>
      </c>
    </row>
    <row r="679" spans="1:15" x14ac:dyDescent="0.35">
      <c r="A679" s="2">
        <v>45922</v>
      </c>
      <c r="B679">
        <v>255.83198547363281</v>
      </c>
      <c r="C679">
        <v>941.92742919921875</v>
      </c>
      <c r="D679">
        <v>173.11088562011719</v>
      </c>
      <c r="E679">
        <v>309.5321044921875</v>
      </c>
      <c r="F679">
        <v>71.863372802734375</v>
      </c>
      <c r="G679">
        <v>152.00703430175781</v>
      </c>
      <c r="H679">
        <v>6693.75</v>
      </c>
      <c r="I679">
        <f t="shared" ref="I679:O742" si="35">LN(B679/B678)</f>
        <v>4.2192926809499605E-2</v>
      </c>
      <c r="J679">
        <f t="shared" si="35"/>
        <v>-8.3402840172520001E-3</v>
      </c>
      <c r="K679">
        <f t="shared" si="35"/>
        <v>-1.1301525135153529E-2</v>
      </c>
      <c r="L679">
        <f t="shared" si="34"/>
        <v>-7.4615820714518137E-3</v>
      </c>
      <c r="M679">
        <f t="shared" si="34"/>
        <v>1.7709361414580998E-2</v>
      </c>
      <c r="N679">
        <f t="shared" si="34"/>
        <v>-1.9216926874180543E-2</v>
      </c>
      <c r="O679">
        <f t="shared" si="32"/>
        <v>4.4003507147622909E-3</v>
      </c>
    </row>
    <row r="680" spans="1:15" x14ac:dyDescent="0.35">
      <c r="A680" s="2">
        <v>45923</v>
      </c>
      <c r="B680">
        <v>254.18359375</v>
      </c>
      <c r="C680">
        <v>942.26690673828125</v>
      </c>
      <c r="D680">
        <v>175.46592712402341</v>
      </c>
      <c r="E680">
        <v>309.82931518554688</v>
      </c>
      <c r="F680">
        <v>71.833580017089844</v>
      </c>
      <c r="G680">
        <v>151.44097900390619</v>
      </c>
      <c r="H680">
        <v>6656.919921875</v>
      </c>
      <c r="I680">
        <f t="shared" si="35"/>
        <v>-6.4641063158507933E-3</v>
      </c>
      <c r="J680">
        <f t="shared" si="35"/>
        <v>3.6034238747131479E-4</v>
      </c>
      <c r="K680">
        <f t="shared" si="35"/>
        <v>1.3512530101332413E-2</v>
      </c>
      <c r="L680">
        <f t="shared" si="34"/>
        <v>9.5973273997955065E-4</v>
      </c>
      <c r="M680">
        <f t="shared" si="34"/>
        <v>-4.1466134788232818E-4</v>
      </c>
      <c r="N680">
        <f t="shared" si="34"/>
        <v>-3.7308265640968561E-3</v>
      </c>
      <c r="O680">
        <f t="shared" si="32"/>
        <v>-5.5173518287397211E-3</v>
      </c>
    </row>
    <row r="681" spans="1:15" x14ac:dyDescent="0.35">
      <c r="A681" s="2">
        <v>45924</v>
      </c>
      <c r="B681">
        <v>252.0656433105469</v>
      </c>
      <c r="C681">
        <v>943.9345703125</v>
      </c>
      <c r="D681">
        <v>175.57524108886719</v>
      </c>
      <c r="E681">
        <v>310.50302124023438</v>
      </c>
      <c r="F681">
        <v>73.333427429199219</v>
      </c>
      <c r="G681">
        <v>151.3615417480469</v>
      </c>
      <c r="H681">
        <v>6637.97021484375</v>
      </c>
      <c r="I681">
        <f t="shared" si="35"/>
        <v>-8.3672730390041989E-3</v>
      </c>
      <c r="J681">
        <f t="shared" si="35"/>
        <v>1.7682777042085237E-3</v>
      </c>
      <c r="K681">
        <f t="shared" si="35"/>
        <v>6.2279856766465967E-4</v>
      </c>
      <c r="L681">
        <f t="shared" si="34"/>
        <v>2.1720818986952391E-3</v>
      </c>
      <c r="M681">
        <f t="shared" si="34"/>
        <v>2.0664485826456771E-2</v>
      </c>
      <c r="N681">
        <f t="shared" si="34"/>
        <v>-5.2468029317834306E-4</v>
      </c>
      <c r="O681">
        <f t="shared" si="32"/>
        <v>-2.8506771652953692E-3</v>
      </c>
    </row>
    <row r="682" spans="1:15" x14ac:dyDescent="0.35">
      <c r="A682" s="2">
        <v>45925</v>
      </c>
      <c r="B682">
        <v>256.6212158203125</v>
      </c>
      <c r="C682">
        <v>941.97735595703125</v>
      </c>
      <c r="D682">
        <v>176.6086730957031</v>
      </c>
      <c r="E682">
        <v>310.53274536132813</v>
      </c>
      <c r="F682">
        <v>74.147911071777344</v>
      </c>
      <c r="G682">
        <v>151.0934143066406</v>
      </c>
      <c r="H682">
        <v>6604.72021484375</v>
      </c>
      <c r="I682">
        <f t="shared" si="35"/>
        <v>1.7911586361791701E-2</v>
      </c>
      <c r="J682">
        <f t="shared" si="35"/>
        <v>-2.0756166084703654E-3</v>
      </c>
      <c r="K682">
        <f t="shared" si="35"/>
        <v>5.8687233080568007E-3</v>
      </c>
      <c r="L682">
        <f t="shared" si="34"/>
        <v>9.5724345407934575E-5</v>
      </c>
      <c r="M682">
        <f t="shared" si="34"/>
        <v>1.1045355723180675E-2</v>
      </c>
      <c r="N682">
        <f t="shared" si="34"/>
        <v>-1.7730078894611062E-3</v>
      </c>
      <c r="O682">
        <f t="shared" si="32"/>
        <v>-5.021648742526333E-3</v>
      </c>
    </row>
    <row r="683" spans="1:15" x14ac:dyDescent="0.35">
      <c r="A683" s="2">
        <v>45926</v>
      </c>
      <c r="B683">
        <v>255.21260070800781</v>
      </c>
      <c r="C683">
        <v>914.656005859375</v>
      </c>
      <c r="D683">
        <v>178.57618713378909</v>
      </c>
      <c r="E683">
        <v>313.118408203125</v>
      </c>
      <c r="F683">
        <v>75.339836120605469</v>
      </c>
      <c r="G683">
        <v>151.44097900390619</v>
      </c>
      <c r="H683">
        <v>6643.7001953125</v>
      </c>
      <c r="I683">
        <f t="shared" si="35"/>
        <v>-5.5042032125608214E-3</v>
      </c>
      <c r="J683">
        <f t="shared" si="35"/>
        <v>-2.9433191317081057E-2</v>
      </c>
      <c r="K683">
        <f t="shared" si="35"/>
        <v>1.1078930344076402E-2</v>
      </c>
      <c r="L683">
        <f t="shared" si="34"/>
        <v>8.2920640569299174E-3</v>
      </c>
      <c r="M683">
        <f t="shared" si="34"/>
        <v>1.5947130531778538E-2</v>
      </c>
      <c r="N683">
        <f t="shared" si="34"/>
        <v>2.2976881826395727E-3</v>
      </c>
      <c r="O683">
        <f t="shared" si="32"/>
        <v>5.8844891304135121E-3</v>
      </c>
    </row>
    <row r="684" spans="1:15" x14ac:dyDescent="0.35">
      <c r="A684" s="2">
        <v>45929</v>
      </c>
      <c r="B684">
        <v>254.18359375</v>
      </c>
      <c r="C684">
        <v>915.57470703125</v>
      </c>
      <c r="D684">
        <v>180.47412109375</v>
      </c>
      <c r="E684">
        <v>312.75189208984381</v>
      </c>
      <c r="F684">
        <v>75.697410583496094</v>
      </c>
      <c r="G684">
        <v>152.4638366699219</v>
      </c>
      <c r="H684">
        <v>6661.2099609375</v>
      </c>
      <c r="I684">
        <f t="shared" si="35"/>
        <v>-4.0401101102266737E-3</v>
      </c>
      <c r="J684">
        <f t="shared" si="35"/>
        <v>1.0039185142769755E-3</v>
      </c>
      <c r="K684">
        <f t="shared" si="35"/>
        <v>1.0572065216950876E-2</v>
      </c>
      <c r="L684">
        <f t="shared" si="34"/>
        <v>-1.1712207944913325E-3</v>
      </c>
      <c r="M684">
        <f t="shared" si="34"/>
        <v>4.7349264998872553E-3</v>
      </c>
      <c r="N684">
        <f t="shared" si="34"/>
        <v>6.7314598230529014E-3</v>
      </c>
      <c r="O684">
        <f t="shared" si="32"/>
        <v>2.6320772599126188E-3</v>
      </c>
    </row>
    <row r="685" spans="1:15" x14ac:dyDescent="0.35">
      <c r="A685" s="2">
        <v>45930</v>
      </c>
      <c r="B685">
        <v>254.38340759277341</v>
      </c>
      <c r="C685">
        <v>924.32232666015625</v>
      </c>
      <c r="D685">
        <v>184.2501525878906</v>
      </c>
      <c r="E685">
        <v>312.49429321289063</v>
      </c>
      <c r="F685">
        <v>74.982254028320313</v>
      </c>
      <c r="G685">
        <v>152.58299255371091</v>
      </c>
      <c r="H685">
        <v>6688.4599609375</v>
      </c>
      <c r="I685">
        <f t="shared" si="35"/>
        <v>7.8579165587785006E-4</v>
      </c>
      <c r="J685">
        <f t="shared" si="35"/>
        <v>9.5088859660558203E-3</v>
      </c>
      <c r="K685">
        <f t="shared" si="35"/>
        <v>2.0706965173751216E-2</v>
      </c>
      <c r="L685">
        <f t="shared" si="34"/>
        <v>-8.2399188538339187E-4</v>
      </c>
      <c r="M685">
        <f t="shared" si="34"/>
        <v>-9.4924809803995681E-3</v>
      </c>
      <c r="N685">
        <f t="shared" si="34"/>
        <v>7.8123014851550529E-4</v>
      </c>
      <c r="O685">
        <f t="shared" si="32"/>
        <v>4.0825036135079193E-3</v>
      </c>
    </row>
    <row r="686" spans="1:15" x14ac:dyDescent="0.35">
      <c r="A686" s="2">
        <v>45931</v>
      </c>
      <c r="B686">
        <v>255.2026062011719</v>
      </c>
      <c r="C686">
        <v>916.0440673828125</v>
      </c>
      <c r="D686">
        <v>184.8761901855469</v>
      </c>
      <c r="E686">
        <v>307.8182373046875</v>
      </c>
      <c r="F686">
        <v>78.140869140625</v>
      </c>
      <c r="G686">
        <v>152.11625671386719</v>
      </c>
      <c r="H686">
        <v>6711.2001953125</v>
      </c>
      <c r="I686">
        <f t="shared" si="35"/>
        <v>3.2151561931077449E-3</v>
      </c>
      <c r="J686">
        <f t="shared" si="35"/>
        <v>-8.9963771750423728E-3</v>
      </c>
      <c r="K686">
        <f t="shared" si="35"/>
        <v>3.3919995695809537E-3</v>
      </c>
      <c r="L686">
        <f t="shared" si="34"/>
        <v>-1.5076737138863313E-2</v>
      </c>
      <c r="M686">
        <f t="shared" si="34"/>
        <v>4.1261739846156539E-2</v>
      </c>
      <c r="N686">
        <f t="shared" si="34"/>
        <v>-3.0635861822022993E-3</v>
      </c>
      <c r="O686">
        <f t="shared" si="32"/>
        <v>3.3941541712235066E-3</v>
      </c>
    </row>
    <row r="687" spans="1:15" x14ac:dyDescent="0.35">
      <c r="A687" s="2">
        <v>45932</v>
      </c>
      <c r="B687">
        <v>256.8809814453125</v>
      </c>
      <c r="C687">
        <v>915.474853515625</v>
      </c>
      <c r="D687">
        <v>184.80662536621091</v>
      </c>
      <c r="E687">
        <v>304.6876220703125</v>
      </c>
      <c r="F687">
        <v>77.654167175292969</v>
      </c>
      <c r="G687">
        <v>150.9941101074219</v>
      </c>
      <c r="H687">
        <v>6715.35009765625</v>
      </c>
      <c r="I687">
        <f t="shared" si="35"/>
        <v>6.5551066057451691E-3</v>
      </c>
      <c r="J687">
        <f t="shared" si="35"/>
        <v>-6.2157576317573102E-4</v>
      </c>
      <c r="K687">
        <f t="shared" si="35"/>
        <v>-3.7634868179225691E-4</v>
      </c>
      <c r="L687">
        <f t="shared" si="34"/>
        <v>-1.0222408318983953E-2</v>
      </c>
      <c r="M687">
        <f t="shared" si="34"/>
        <v>-6.2479981409116038E-3</v>
      </c>
      <c r="N687">
        <f t="shared" si="34"/>
        <v>-7.4042451587155644E-3</v>
      </c>
      <c r="O687">
        <f t="shared" si="32"/>
        <v>6.1816362138424476E-4</v>
      </c>
    </row>
    <row r="688" spans="1:15" x14ac:dyDescent="0.35">
      <c r="A688" s="2">
        <v>45933</v>
      </c>
      <c r="B688">
        <v>257.77011108398438</v>
      </c>
      <c r="C688">
        <v>914.0867919921875</v>
      </c>
      <c r="D688">
        <v>187.44984436035159</v>
      </c>
      <c r="E688">
        <v>307.14456176757813</v>
      </c>
      <c r="F688">
        <v>79.521514892578125</v>
      </c>
      <c r="G688">
        <v>151.21258544921881</v>
      </c>
      <c r="H688">
        <v>6715.7900390625</v>
      </c>
      <c r="I688">
        <f t="shared" si="35"/>
        <v>3.455274986035184E-3</v>
      </c>
      <c r="J688">
        <f t="shared" si="35"/>
        <v>-1.5173708884530616E-3</v>
      </c>
      <c r="K688">
        <f t="shared" si="35"/>
        <v>1.4201302768345558E-2</v>
      </c>
      <c r="L688">
        <f t="shared" si="34"/>
        <v>8.0314601588345903E-3</v>
      </c>
      <c r="M688">
        <f t="shared" si="34"/>
        <v>2.3762398338282878E-2</v>
      </c>
      <c r="N688">
        <f t="shared" si="34"/>
        <v>1.4458672363647531E-3</v>
      </c>
      <c r="O688">
        <f t="shared" si="32"/>
        <v>6.5510656865871701E-5</v>
      </c>
    </row>
    <row r="689" spans="1:15" x14ac:dyDescent="0.35">
      <c r="A689" s="2">
        <v>45936</v>
      </c>
      <c r="B689">
        <v>256.44140625</v>
      </c>
      <c r="C689">
        <v>909.653076171875</v>
      </c>
      <c r="D689">
        <v>186.9728698730469</v>
      </c>
      <c r="E689">
        <v>307.7916259765625</v>
      </c>
      <c r="F689">
        <v>81.557731628417969</v>
      </c>
      <c r="G689">
        <v>149.3655090332031</v>
      </c>
      <c r="H689">
        <v>6740.27978515625</v>
      </c>
      <c r="I689">
        <f t="shared" si="35"/>
        <v>-5.1679425543989634E-3</v>
      </c>
      <c r="J689">
        <f t="shared" si="35"/>
        <v>-4.8622335154392092E-3</v>
      </c>
      <c r="K689">
        <f t="shared" si="35"/>
        <v>-2.5477874454996581E-3</v>
      </c>
      <c r="L689">
        <f t="shared" si="34"/>
        <v>2.1044929886881755E-3</v>
      </c>
      <c r="M689">
        <f t="shared" si="34"/>
        <v>2.5283520387806648E-2</v>
      </c>
      <c r="N689">
        <f t="shared" si="34"/>
        <v>-1.2290314565299009E-2</v>
      </c>
      <c r="O689">
        <f t="shared" si="32"/>
        <v>3.6399592827626292E-3</v>
      </c>
    </row>
    <row r="690" spans="1:15" x14ac:dyDescent="0.35">
      <c r="A690" s="2">
        <v>45937</v>
      </c>
      <c r="B690">
        <v>256.23162841796881</v>
      </c>
      <c r="C690">
        <v>913.50762939453125</v>
      </c>
      <c r="D690">
        <v>187.69825744628909</v>
      </c>
      <c r="E690">
        <v>306.30831909179688</v>
      </c>
      <c r="F690">
        <v>82.65032958984375</v>
      </c>
      <c r="G690">
        <v>151.48069763183591</v>
      </c>
      <c r="H690">
        <v>6714.58984375</v>
      </c>
      <c r="I690">
        <f t="shared" si="35"/>
        <v>-8.1836893908375995E-4</v>
      </c>
      <c r="J690">
        <f t="shared" si="35"/>
        <v>4.2284357643995844E-3</v>
      </c>
      <c r="K690">
        <f t="shared" si="35"/>
        <v>3.8721343956706874E-3</v>
      </c>
      <c r="L690">
        <f t="shared" si="34"/>
        <v>-4.8308415636290989E-3</v>
      </c>
      <c r="M690">
        <f t="shared" si="34"/>
        <v>1.3307679022331906E-2</v>
      </c>
      <c r="N690">
        <f t="shared" si="34"/>
        <v>1.406182564744122E-2</v>
      </c>
      <c r="O690">
        <f t="shared" si="32"/>
        <v>-3.818687706853079E-3</v>
      </c>
    </row>
    <row r="691" spans="1:15" x14ac:dyDescent="0.35">
      <c r="A691" s="2">
        <v>45938</v>
      </c>
      <c r="B691">
        <v>257.81008911132813</v>
      </c>
      <c r="C691">
        <v>913.50762939453125</v>
      </c>
      <c r="D691">
        <v>188.49322509765619</v>
      </c>
      <c r="E691">
        <v>302.66476440429688</v>
      </c>
      <c r="F691">
        <v>83.474754333496094</v>
      </c>
      <c r="G691">
        <v>149.6435546875</v>
      </c>
      <c r="H691">
        <v>6753.72021484375</v>
      </c>
      <c r="I691">
        <f t="shared" si="35"/>
        <v>6.1413912556951061E-3</v>
      </c>
      <c r="J691">
        <f t="shared" si="35"/>
        <v>0</v>
      </c>
      <c r="K691">
        <f t="shared" si="35"/>
        <v>4.2264052834661212E-3</v>
      </c>
      <c r="L691">
        <f t="shared" si="34"/>
        <v>-1.1966368511402248E-2</v>
      </c>
      <c r="M691">
        <f t="shared" si="34"/>
        <v>9.9254307934464239E-3</v>
      </c>
      <c r="N691">
        <f t="shared" si="34"/>
        <v>-1.2202044335271195E-2</v>
      </c>
      <c r="O691">
        <f t="shared" si="32"/>
        <v>5.8107484941873231E-3</v>
      </c>
    </row>
    <row r="692" spans="1:15" x14ac:dyDescent="0.35">
      <c r="A692" s="2">
        <v>45939</v>
      </c>
      <c r="B692">
        <v>253.79396057128909</v>
      </c>
      <c r="C692">
        <v>941.55792236328125</v>
      </c>
      <c r="D692">
        <v>189.87445068359381</v>
      </c>
      <c r="E692">
        <v>304.15802001953119</v>
      </c>
      <c r="F692">
        <v>83.146965026855469</v>
      </c>
      <c r="G692">
        <v>149.53431701660159</v>
      </c>
      <c r="H692">
        <v>6735.10986328125</v>
      </c>
      <c r="I692">
        <f t="shared" si="35"/>
        <v>-1.570046617777043E-2</v>
      </c>
      <c r="J692">
        <f t="shared" si="35"/>
        <v>3.0244139957057881E-2</v>
      </c>
      <c r="K692">
        <f t="shared" si="35"/>
        <v>7.3010027537795284E-3</v>
      </c>
      <c r="L692">
        <f t="shared" si="34"/>
        <v>4.9215641458213149E-3</v>
      </c>
      <c r="M692">
        <f t="shared" si="34"/>
        <v>-3.9345378353211405E-3</v>
      </c>
      <c r="N692">
        <f t="shared" si="34"/>
        <v>-7.302523754889736E-4</v>
      </c>
      <c r="O692">
        <f t="shared" si="32"/>
        <v>-2.7593739802789824E-3</v>
      </c>
    </row>
    <row r="693" spans="1:15" x14ac:dyDescent="0.35">
      <c r="A693" s="2">
        <v>45940</v>
      </c>
      <c r="B693">
        <v>245.032470703125</v>
      </c>
      <c r="C693">
        <v>928.6961669921875</v>
      </c>
      <c r="D693">
        <v>189.5167236328125</v>
      </c>
      <c r="E693">
        <v>299.53887939453119</v>
      </c>
      <c r="F693">
        <v>82.789390563964844</v>
      </c>
      <c r="G693">
        <v>148.65049743652341</v>
      </c>
      <c r="H693">
        <v>6552.509765625</v>
      </c>
      <c r="I693">
        <f t="shared" si="35"/>
        <v>-3.5132023736664408E-2</v>
      </c>
      <c r="J693">
        <f t="shared" si="35"/>
        <v>-1.3754236077515365E-2</v>
      </c>
      <c r="K693">
        <f t="shared" si="35"/>
        <v>-1.8857958804078627E-3</v>
      </c>
      <c r="L693">
        <f t="shared" si="34"/>
        <v>-1.5303145582070327E-2</v>
      </c>
      <c r="M693">
        <f t="shared" si="34"/>
        <v>-4.3097850991165015E-3</v>
      </c>
      <c r="N693">
        <f t="shared" si="34"/>
        <v>-5.9280159515639405E-3</v>
      </c>
      <c r="O693">
        <f t="shared" si="32"/>
        <v>-2.7485975439899807E-2</v>
      </c>
    </row>
    <row r="694" spans="1:15" x14ac:dyDescent="0.35">
      <c r="A694" s="2">
        <v>45943</v>
      </c>
      <c r="B694">
        <v>247.42015075683591</v>
      </c>
      <c r="C694">
        <v>934.23828125</v>
      </c>
      <c r="D694">
        <v>189.69557189941409</v>
      </c>
      <c r="E694">
        <v>306.58706665039063</v>
      </c>
      <c r="F694">
        <v>83.733001708984375</v>
      </c>
      <c r="G694">
        <v>146.46577453613281</v>
      </c>
      <c r="H694">
        <v>6654.72021484375</v>
      </c>
      <c r="I694">
        <f t="shared" si="35"/>
        <v>9.697171504895576E-3</v>
      </c>
      <c r="J694">
        <f t="shared" si="35"/>
        <v>5.9498933124968829E-3</v>
      </c>
      <c r="K694">
        <f t="shared" si="35"/>
        <v>9.4326203010548814E-4</v>
      </c>
      <c r="L694">
        <f t="shared" si="34"/>
        <v>2.3257558942261468E-2</v>
      </c>
      <c r="M694">
        <f t="shared" si="34"/>
        <v>1.1333265540222117E-2</v>
      </c>
      <c r="N694">
        <f t="shared" si="34"/>
        <v>-1.4806115549507544E-2</v>
      </c>
      <c r="O694">
        <f t="shared" si="32"/>
        <v>1.5478263036934031E-2</v>
      </c>
    </row>
    <row r="695" spans="1:15" x14ac:dyDescent="0.35">
      <c r="A695" s="2">
        <v>45944</v>
      </c>
      <c r="B695">
        <v>247.53004455566409</v>
      </c>
      <c r="C695">
        <v>945.1728515625</v>
      </c>
      <c r="D695">
        <v>189.6459045410156</v>
      </c>
      <c r="E695">
        <v>300.7235107421875</v>
      </c>
      <c r="F695">
        <v>84.070716857910156</v>
      </c>
      <c r="G695">
        <v>148.1241760253906</v>
      </c>
      <c r="H695">
        <v>6644.31005859375</v>
      </c>
      <c r="I695">
        <f t="shared" si="35"/>
        <v>4.4406003543302855E-4</v>
      </c>
      <c r="J695">
        <f t="shared" si="35"/>
        <v>1.1636297670940311E-2</v>
      </c>
      <c r="K695">
        <f t="shared" si="35"/>
        <v>-2.6186094464732465E-4</v>
      </c>
      <c r="L695">
        <f t="shared" si="34"/>
        <v>-1.9310508768573289E-2</v>
      </c>
      <c r="M695">
        <f t="shared" si="34"/>
        <v>4.0251265916106203E-3</v>
      </c>
      <c r="N695">
        <f t="shared" si="34"/>
        <v>1.1259168926402713E-2</v>
      </c>
      <c r="O695">
        <f t="shared" si="32"/>
        <v>-1.5655514969425701E-3</v>
      </c>
    </row>
    <row r="696" spans="1:15" x14ac:dyDescent="0.35">
      <c r="A696" s="2">
        <v>45945</v>
      </c>
      <c r="B696">
        <v>249.09852600097659</v>
      </c>
      <c r="C696">
        <v>953.64080810546875</v>
      </c>
      <c r="D696">
        <v>189.96388244628909</v>
      </c>
      <c r="E696">
        <v>304.31729125976563</v>
      </c>
      <c r="F696">
        <v>85.212982177734375</v>
      </c>
      <c r="G696">
        <v>146.39625549316409</v>
      </c>
      <c r="H696">
        <v>6671.06005859375</v>
      </c>
      <c r="I696">
        <f t="shared" si="35"/>
        <v>6.3165381668474005E-3</v>
      </c>
      <c r="J696">
        <f t="shared" si="35"/>
        <v>8.9192666564357828E-3</v>
      </c>
      <c r="K696">
        <f t="shared" si="35"/>
        <v>1.6752886281809647E-3</v>
      </c>
      <c r="L696">
        <f t="shared" si="34"/>
        <v>1.1879604714082873E-2</v>
      </c>
      <c r="M696">
        <f t="shared" si="34"/>
        <v>1.3495483177962474E-2</v>
      </c>
      <c r="N696">
        <f t="shared" si="34"/>
        <v>-1.1733925208516249E-2</v>
      </c>
      <c r="O696">
        <f t="shared" si="32"/>
        <v>4.0179185034279787E-3</v>
      </c>
    </row>
    <row r="697" spans="1:15" x14ac:dyDescent="0.35">
      <c r="A697" s="2">
        <v>45946</v>
      </c>
      <c r="B697">
        <v>247.2103576660156</v>
      </c>
      <c r="C697">
        <v>924.31231689453125</v>
      </c>
      <c r="D697">
        <v>190.90788269042969</v>
      </c>
      <c r="E697">
        <v>297.19940185546881</v>
      </c>
      <c r="F697">
        <v>84.477958679199219</v>
      </c>
      <c r="G697">
        <v>148.5611267089844</v>
      </c>
      <c r="H697">
        <v>6629.06982421875</v>
      </c>
      <c r="I697">
        <f t="shared" si="35"/>
        <v>-7.6088803030732819E-3</v>
      </c>
      <c r="J697">
        <f t="shared" si="35"/>
        <v>-3.1237069302346977E-2</v>
      </c>
      <c r="K697">
        <f t="shared" si="35"/>
        <v>4.957060426015179E-3</v>
      </c>
      <c r="L697">
        <f t="shared" si="34"/>
        <v>-2.36675781149111E-2</v>
      </c>
      <c r="M697">
        <f t="shared" si="34"/>
        <v>-8.6631389015290015E-3</v>
      </c>
      <c r="N697">
        <f t="shared" si="34"/>
        <v>1.4679477249632266E-2</v>
      </c>
      <c r="O697">
        <f t="shared" si="32"/>
        <v>-6.3142802751419754E-3</v>
      </c>
    </row>
    <row r="698" spans="1:15" x14ac:dyDescent="0.35">
      <c r="A698" s="2">
        <v>45947</v>
      </c>
      <c r="B698">
        <v>252.045654296875</v>
      </c>
      <c r="C698">
        <v>935.0072021484375</v>
      </c>
      <c r="D698">
        <v>192.0009460449219</v>
      </c>
      <c r="E698">
        <v>296.22381591796881</v>
      </c>
      <c r="F698">
        <v>83.961456298828125</v>
      </c>
      <c r="G698">
        <v>150.34861755371091</v>
      </c>
      <c r="H698">
        <v>6664.009765625</v>
      </c>
      <c r="I698">
        <f t="shared" si="35"/>
        <v>1.9370614298066767E-2</v>
      </c>
      <c r="J698">
        <f t="shared" si="35"/>
        <v>1.1504212263699546E-2</v>
      </c>
      <c r="K698">
        <f t="shared" si="35"/>
        <v>5.7092772042427655E-3</v>
      </c>
      <c r="L698">
        <f t="shared" si="34"/>
        <v>-3.2879967860902693E-3</v>
      </c>
      <c r="M698">
        <f t="shared" si="34"/>
        <v>-6.1328163518476484E-3</v>
      </c>
      <c r="N698">
        <f t="shared" si="34"/>
        <v>1.1960213321075479E-2</v>
      </c>
      <c r="O698">
        <f t="shared" si="34"/>
        <v>5.2568739445262996E-3</v>
      </c>
    </row>
    <row r="699" spans="1:15" x14ac:dyDescent="0.35">
      <c r="A699" s="2">
        <v>45950</v>
      </c>
      <c r="B699">
        <v>261.98602294921881</v>
      </c>
      <c r="C699">
        <v>934.7874755859375</v>
      </c>
      <c r="D699">
        <v>192.49778747558591</v>
      </c>
      <c r="E699">
        <v>301.00222778320313</v>
      </c>
      <c r="F699">
        <v>84.199836730957031</v>
      </c>
      <c r="G699">
        <v>150.90473937988281</v>
      </c>
      <c r="H699">
        <v>6735.1298828125</v>
      </c>
      <c r="I699">
        <f t="shared" si="35"/>
        <v>3.8680915868748368E-2</v>
      </c>
      <c r="J699">
        <f t="shared" si="35"/>
        <v>-2.3502747775246767E-4</v>
      </c>
      <c r="K699">
        <f t="shared" si="35"/>
        <v>2.58436069552275E-3</v>
      </c>
      <c r="L699">
        <f t="shared" si="34"/>
        <v>1.6002362538462697E-2</v>
      </c>
      <c r="M699">
        <f t="shared" si="34"/>
        <v>2.8351422317197681E-3</v>
      </c>
      <c r="N699">
        <f t="shared" si="34"/>
        <v>3.6920581636273276E-3</v>
      </c>
      <c r="O699">
        <f t="shared" si="34"/>
        <v>1.0615724136144117E-2</v>
      </c>
    </row>
    <row r="700" spans="1:15" x14ac:dyDescent="0.35">
      <c r="A700" s="2">
        <v>45951</v>
      </c>
      <c r="B700">
        <v>262.5155029296875</v>
      </c>
      <c r="C700">
        <v>936.175537109375</v>
      </c>
      <c r="D700">
        <v>190.6694030761719</v>
      </c>
      <c r="E700">
        <v>295.75592041015619</v>
      </c>
      <c r="F700">
        <v>83.425086975097656</v>
      </c>
      <c r="G700">
        <v>150.56709289550781</v>
      </c>
      <c r="H700">
        <v>6735.35009765625</v>
      </c>
      <c r="I700">
        <f t="shared" si="35"/>
        <v>2.01898425153774E-3</v>
      </c>
      <c r="J700">
        <f t="shared" si="35"/>
        <v>1.4837939271777495E-3</v>
      </c>
      <c r="K700">
        <f t="shared" si="35"/>
        <v>-9.5436056216601298E-3</v>
      </c>
      <c r="L700">
        <f t="shared" si="34"/>
        <v>-1.7583145043448857E-2</v>
      </c>
      <c r="M700">
        <f t="shared" si="34"/>
        <v>-9.2439149928767381E-3</v>
      </c>
      <c r="N700">
        <f t="shared" si="34"/>
        <v>-2.2399878821599585E-3</v>
      </c>
      <c r="O700">
        <f t="shared" si="34"/>
        <v>3.2695916416987967E-5</v>
      </c>
    </row>
    <row r="701" spans="1:15" x14ac:dyDescent="0.35">
      <c r="A701" s="2">
        <v>45952</v>
      </c>
      <c r="B701">
        <v>258.19970703125</v>
      </c>
      <c r="C701">
        <v>943.34539794921875</v>
      </c>
      <c r="D701">
        <v>191.72271728515619</v>
      </c>
      <c r="E701">
        <v>292.78927612304688</v>
      </c>
      <c r="F701">
        <v>82.282814025878906</v>
      </c>
      <c r="G701">
        <v>151.14306640625</v>
      </c>
      <c r="H701">
        <v>6699.39990234375</v>
      </c>
      <c r="I701">
        <f t="shared" si="35"/>
        <v>-1.6576795313851589E-2</v>
      </c>
      <c r="J701">
        <f t="shared" si="35"/>
        <v>7.6294926918532083E-3</v>
      </c>
      <c r="K701">
        <f t="shared" si="35"/>
        <v>5.509092980284771E-3</v>
      </c>
      <c r="L701">
        <f t="shared" si="34"/>
        <v>-1.0081364797520575E-2</v>
      </c>
      <c r="M701">
        <f t="shared" si="34"/>
        <v>-1.3786802385117933E-2</v>
      </c>
      <c r="N701">
        <f t="shared" si="34"/>
        <v>3.8180630825816009E-3</v>
      </c>
      <c r="O701">
        <f t="shared" si="34"/>
        <v>-5.351834774743029E-3</v>
      </c>
    </row>
    <row r="702" spans="1:15" x14ac:dyDescent="0.35">
      <c r="A702" s="2">
        <v>45953</v>
      </c>
      <c r="B702">
        <v>259.32858276367188</v>
      </c>
      <c r="C702">
        <v>940.7191162109375</v>
      </c>
      <c r="D702">
        <v>191.25567626953119</v>
      </c>
      <c r="E702">
        <v>293.21737670898438</v>
      </c>
      <c r="F702">
        <v>82.6900634765625</v>
      </c>
      <c r="G702">
        <v>151.15299987792969</v>
      </c>
      <c r="H702">
        <v>6738.43994140625</v>
      </c>
      <c r="I702">
        <f t="shared" si="35"/>
        <v>4.3625731967996571E-3</v>
      </c>
      <c r="J702">
        <f t="shared" si="35"/>
        <v>-2.7878911996606737E-3</v>
      </c>
      <c r="K702">
        <f t="shared" si="35"/>
        <v>-2.4389952801977307E-3</v>
      </c>
      <c r="L702">
        <f t="shared" si="34"/>
        <v>1.4610778223279168E-3</v>
      </c>
      <c r="M702">
        <f t="shared" si="34"/>
        <v>4.9371785726115072E-3</v>
      </c>
      <c r="N702">
        <f t="shared" si="34"/>
        <v>6.5720151805947127E-5</v>
      </c>
      <c r="O702">
        <f t="shared" si="34"/>
        <v>5.8104798620133855E-3</v>
      </c>
    </row>
    <row r="703" spans="1:15" x14ac:dyDescent="0.35">
      <c r="A703" s="2">
        <v>45954</v>
      </c>
      <c r="B703">
        <v>262.56549072265619</v>
      </c>
      <c r="C703">
        <v>930.8231201171875</v>
      </c>
      <c r="D703">
        <v>189.19873046875</v>
      </c>
      <c r="E703">
        <v>299.09088134765619</v>
      </c>
      <c r="F703">
        <v>83.842262268066406</v>
      </c>
      <c r="G703">
        <v>152.49000549316409</v>
      </c>
      <c r="H703">
        <v>6791.68994140625</v>
      </c>
      <c r="I703">
        <f t="shared" si="35"/>
        <v>1.2404622431380557E-2</v>
      </c>
      <c r="J703">
        <f t="shared" si="35"/>
        <v>-1.0575329939334839E-2</v>
      </c>
      <c r="K703">
        <f t="shared" si="35"/>
        <v>-1.0813205507663589E-2</v>
      </c>
      <c r="L703">
        <f t="shared" si="34"/>
        <v>1.9833244226501335E-2</v>
      </c>
      <c r="M703">
        <f t="shared" si="34"/>
        <v>1.3837759989132295E-2</v>
      </c>
      <c r="N703">
        <f t="shared" si="34"/>
        <v>8.8064880958451507E-3</v>
      </c>
      <c r="O703">
        <f t="shared" si="34"/>
        <v>7.8713619752448557E-3</v>
      </c>
    </row>
    <row r="704" spans="1:15" x14ac:dyDescent="0.35">
      <c r="A704" s="2">
        <v>45957</v>
      </c>
      <c r="B704">
        <v>268.54965209960938</v>
      </c>
      <c r="C704">
        <v>928.53631591796875</v>
      </c>
      <c r="D704">
        <v>189.099365234375</v>
      </c>
      <c r="E704">
        <v>302.78421020507813</v>
      </c>
      <c r="F704">
        <v>85.451362609863281</v>
      </c>
      <c r="G704">
        <v>151.74000549316409</v>
      </c>
      <c r="H704">
        <v>6875.16015625</v>
      </c>
      <c r="I704">
        <f t="shared" si="35"/>
        <v>2.2535281491603942E-2</v>
      </c>
      <c r="J704">
        <f t="shared" si="35"/>
        <v>-2.4597776071976223E-3</v>
      </c>
      <c r="K704">
        <f t="shared" si="35"/>
        <v>-5.2532771266246422E-4</v>
      </c>
      <c r="L704">
        <f t="shared" si="34"/>
        <v>1.2272896047032496E-2</v>
      </c>
      <c r="M704">
        <f t="shared" si="34"/>
        <v>1.9010152349353961E-2</v>
      </c>
      <c r="N704">
        <f t="shared" si="34"/>
        <v>-4.930490038941855E-3</v>
      </c>
      <c r="O704">
        <f t="shared" si="34"/>
        <v>1.2215141327379352E-2</v>
      </c>
    </row>
    <row r="705" spans="1:15" x14ac:dyDescent="0.35">
      <c r="A705" s="2">
        <v>45958</v>
      </c>
      <c r="B705">
        <v>268.73947143554688</v>
      </c>
      <c r="C705">
        <v>922.8543701171875</v>
      </c>
      <c r="D705">
        <v>185.75062561035159</v>
      </c>
      <c r="E705">
        <v>303.98876953125</v>
      </c>
      <c r="F705">
        <v>83.007911682128906</v>
      </c>
      <c r="G705">
        <v>151.3699951171875</v>
      </c>
      <c r="H705">
        <v>6890.89013671875</v>
      </c>
      <c r="I705">
        <f t="shared" si="35"/>
        <v>7.0658174722014065E-4</v>
      </c>
      <c r="J705">
        <f t="shared" si="35"/>
        <v>-6.1380492868178659E-3</v>
      </c>
      <c r="K705">
        <f t="shared" si="35"/>
        <v>-1.7867567270943487E-2</v>
      </c>
      <c r="L705">
        <f t="shared" si="34"/>
        <v>3.9703841429435741E-3</v>
      </c>
      <c r="M705">
        <f t="shared" si="34"/>
        <v>-2.9011430992008341E-2</v>
      </c>
      <c r="N705">
        <f t="shared" si="34"/>
        <v>-2.4414275940804306E-3</v>
      </c>
      <c r="O705">
        <f t="shared" si="34"/>
        <v>2.2853305022299255E-3</v>
      </c>
    </row>
    <row r="706" spans="1:15" x14ac:dyDescent="0.35">
      <c r="A706" s="2">
        <v>45959</v>
      </c>
      <c r="B706">
        <v>269.43881225585938</v>
      </c>
      <c r="C706">
        <v>911.1309814453125</v>
      </c>
      <c r="D706">
        <v>185.42271423339841</v>
      </c>
      <c r="E706">
        <v>304.13812255859381</v>
      </c>
      <c r="F706">
        <v>81.210090637207031</v>
      </c>
      <c r="G706">
        <v>148.77000427246091</v>
      </c>
      <c r="H706">
        <v>6890.58984375</v>
      </c>
      <c r="I706">
        <f t="shared" si="35"/>
        <v>2.5989202282576647E-3</v>
      </c>
      <c r="J706">
        <f t="shared" si="35"/>
        <v>-1.2784778618134955E-2</v>
      </c>
      <c r="K706">
        <f t="shared" si="35"/>
        <v>-1.7668912449380987E-3</v>
      </c>
      <c r="L706">
        <f t="shared" si="34"/>
        <v>4.9119034954489863E-4</v>
      </c>
      <c r="M706">
        <f t="shared" si="34"/>
        <v>-2.1896416347218402E-2</v>
      </c>
      <c r="N706">
        <f t="shared" si="34"/>
        <v>-1.7325620629291365E-2</v>
      </c>
      <c r="O706">
        <f t="shared" si="34"/>
        <v>-4.3579204733175357E-5</v>
      </c>
    </row>
    <row r="707" spans="1:15" x14ac:dyDescent="0.35">
      <c r="A707" s="2">
        <v>45960</v>
      </c>
      <c r="B707">
        <v>271.13714599609381</v>
      </c>
      <c r="C707">
        <v>918.8800048828125</v>
      </c>
      <c r="D707">
        <v>187.85725402832031</v>
      </c>
      <c r="E707">
        <v>308.05047607421881</v>
      </c>
      <c r="F707">
        <v>81.090888977050781</v>
      </c>
      <c r="G707">
        <v>149.58000183105469</v>
      </c>
      <c r="H707">
        <v>6822.33984375</v>
      </c>
      <c r="I707">
        <f t="shared" si="35"/>
        <v>6.2834438049241262E-3</v>
      </c>
      <c r="J707">
        <f t="shared" si="35"/>
        <v>8.4688778481542479E-3</v>
      </c>
      <c r="K707">
        <f t="shared" si="35"/>
        <v>1.3044226971426157E-2</v>
      </c>
      <c r="L707">
        <f t="shared" si="34"/>
        <v>1.2781704162049792E-2</v>
      </c>
      <c r="M707">
        <f t="shared" si="34"/>
        <v>-1.4688966372549178E-3</v>
      </c>
      <c r="N707">
        <f t="shared" si="34"/>
        <v>5.429861117111699E-3</v>
      </c>
      <c r="O707">
        <f t="shared" si="34"/>
        <v>-9.9541914245345111E-3</v>
      </c>
    </row>
    <row r="708" spans="1:15" x14ac:dyDescent="0.35">
      <c r="A708" s="2">
        <v>45961</v>
      </c>
      <c r="B708">
        <v>270.108154296875</v>
      </c>
      <c r="C708">
        <v>911.45001220703125</v>
      </c>
      <c r="D708">
        <v>187.67839050292969</v>
      </c>
      <c r="E708">
        <v>309.722900390625</v>
      </c>
      <c r="F708">
        <v>80.852508544921875</v>
      </c>
      <c r="G708">
        <v>150.3699951171875</v>
      </c>
      <c r="H708">
        <v>6840.2001953125</v>
      </c>
      <c r="I708">
        <f t="shared" si="35"/>
        <v>-3.8023163929242227E-3</v>
      </c>
      <c r="J708">
        <f t="shared" si="35"/>
        <v>-8.1187910579503114E-3</v>
      </c>
      <c r="K708">
        <f t="shared" si="35"/>
        <v>-9.5257822537203152E-4</v>
      </c>
      <c r="L708">
        <f t="shared" si="34"/>
        <v>5.4143751277583637E-3</v>
      </c>
      <c r="M708">
        <f t="shared" si="34"/>
        <v>-2.9439990508955283E-3</v>
      </c>
      <c r="N708">
        <f t="shared" si="34"/>
        <v>5.2675120574141397E-3</v>
      </c>
      <c r="O708">
        <f t="shared" si="34"/>
        <v>2.6145009178832708E-3</v>
      </c>
    </row>
    <row r="709" spans="1:15" x14ac:dyDescent="0.35">
      <c r="A709" s="2">
        <v>45964</v>
      </c>
      <c r="B709">
        <v>268.7894287109375</v>
      </c>
      <c r="C709">
        <v>928.03997802734375</v>
      </c>
      <c r="D709">
        <v>185.08485412597659</v>
      </c>
      <c r="E709">
        <v>307.96087646484381</v>
      </c>
      <c r="F709">
        <v>81.229949951171875</v>
      </c>
      <c r="G709">
        <v>148.02000427246091</v>
      </c>
      <c r="H709">
        <v>6851.97021484375</v>
      </c>
      <c r="I709">
        <f t="shared" si="35"/>
        <v>-4.8941700975957455E-3</v>
      </c>
      <c r="J709">
        <f t="shared" si="35"/>
        <v>1.8038060257228528E-2</v>
      </c>
      <c r="K709">
        <f t="shared" si="35"/>
        <v>-1.3915418244557257E-2</v>
      </c>
      <c r="L709">
        <f t="shared" si="34"/>
        <v>-5.7052775912844857E-3</v>
      </c>
      <c r="M709">
        <f t="shared" si="34"/>
        <v>4.6574082355721469E-3</v>
      </c>
      <c r="N709">
        <f t="shared" si="34"/>
        <v>-1.5751462428844013E-2</v>
      </c>
      <c r="O709">
        <f t="shared" si="34"/>
        <v>1.7192339969181521E-3</v>
      </c>
    </row>
    <row r="710" spans="1:15" x14ac:dyDescent="0.35">
      <c r="A710" s="2">
        <v>45965</v>
      </c>
      <c r="B710">
        <v>269.77847290039063</v>
      </c>
      <c r="C710">
        <v>940.739990234375</v>
      </c>
      <c r="D710">
        <v>185.68107604980469</v>
      </c>
      <c r="E710">
        <v>307.861328125</v>
      </c>
      <c r="F710">
        <v>81.140556335449219</v>
      </c>
      <c r="G710">
        <v>147.16999816894531</v>
      </c>
      <c r="H710">
        <v>6771.5498046875</v>
      </c>
      <c r="I710">
        <f t="shared" si="35"/>
        <v>3.6728713253906245E-3</v>
      </c>
      <c r="J710">
        <f t="shared" si="35"/>
        <v>1.3591977590484959E-2</v>
      </c>
      <c r="K710">
        <f t="shared" si="35"/>
        <v>3.216166261419877E-3</v>
      </c>
      <c r="L710">
        <f t="shared" si="34"/>
        <v>-3.2330221277812989E-4</v>
      </c>
      <c r="M710">
        <f t="shared" si="34"/>
        <v>-1.1011066824766693E-3</v>
      </c>
      <c r="N710">
        <f t="shared" si="34"/>
        <v>-5.7590598991429116E-3</v>
      </c>
      <c r="O710">
        <f t="shared" si="34"/>
        <v>-1.1806250392326715E-2</v>
      </c>
    </row>
    <row r="711" spans="1:15" x14ac:dyDescent="0.35">
      <c r="A711" s="2">
        <v>45966</v>
      </c>
      <c r="B711">
        <v>269.87838745117188</v>
      </c>
      <c r="C711">
        <v>935.030029296875</v>
      </c>
      <c r="D711">
        <v>184.82649230957031</v>
      </c>
      <c r="E711">
        <v>310.2803955078125</v>
      </c>
      <c r="F711">
        <v>81.587532043457031</v>
      </c>
      <c r="G711">
        <v>145.78999328613281</v>
      </c>
      <c r="H711">
        <v>6796.2900390625</v>
      </c>
      <c r="I711">
        <f t="shared" si="35"/>
        <v>3.7028919398077734E-4</v>
      </c>
      <c r="J711">
        <f t="shared" si="35"/>
        <v>-6.0881435516193351E-3</v>
      </c>
      <c r="K711">
        <f t="shared" si="35"/>
        <v>-4.6130515470829917E-3</v>
      </c>
      <c r="L711">
        <f t="shared" si="34"/>
        <v>7.8269420744744994E-3</v>
      </c>
      <c r="M711">
        <f t="shared" si="34"/>
        <v>5.4935424678923973E-3</v>
      </c>
      <c r="N711">
        <f t="shared" si="34"/>
        <v>-9.4211846691563891E-3</v>
      </c>
      <c r="O711">
        <f t="shared" si="34"/>
        <v>3.6468976756877185E-3</v>
      </c>
    </row>
    <row r="712" spans="1:15" x14ac:dyDescent="0.35">
      <c r="A712" s="2">
        <v>45967</v>
      </c>
      <c r="B712">
        <v>269.50872802734381</v>
      </c>
      <c r="C712">
        <v>923.58001708984375</v>
      </c>
      <c r="D712">
        <v>185.7903747558594</v>
      </c>
      <c r="E712">
        <v>312.01260375976563</v>
      </c>
      <c r="F712">
        <v>81.448471069335938</v>
      </c>
      <c r="G712">
        <v>146.1300048828125</v>
      </c>
      <c r="H712">
        <v>6720.31982421875</v>
      </c>
      <c r="I712">
        <f t="shared" si="35"/>
        <v>-1.3706648568128294E-3</v>
      </c>
      <c r="J712">
        <f t="shared" si="35"/>
        <v>-1.2321204314053332E-2</v>
      </c>
      <c r="K712">
        <f t="shared" si="35"/>
        <v>5.2015151233375957E-3</v>
      </c>
      <c r="L712">
        <f t="shared" si="34"/>
        <v>5.5671933572871051E-3</v>
      </c>
      <c r="M712">
        <f t="shared" si="34"/>
        <v>-1.7058932406237343E-3</v>
      </c>
      <c r="N712">
        <f t="shared" si="34"/>
        <v>2.3294858356302569E-3</v>
      </c>
      <c r="O712">
        <f t="shared" si="34"/>
        <v>-1.1241134514722728E-2</v>
      </c>
    </row>
    <row r="713" spans="1:15" x14ac:dyDescent="0.35">
      <c r="A713" s="2">
        <v>45968</v>
      </c>
      <c r="B713">
        <v>268.20999145507813</v>
      </c>
      <c r="C713">
        <v>922.739990234375</v>
      </c>
      <c r="D713">
        <v>185.3929138183594</v>
      </c>
      <c r="E713">
        <v>312.79904174804688</v>
      </c>
      <c r="F713">
        <v>83.365486145019531</v>
      </c>
      <c r="G713">
        <v>146.97999572753909</v>
      </c>
      <c r="H713">
        <v>6728.7998046875</v>
      </c>
      <c r="I713">
        <f t="shared" si="35"/>
        <v>-4.8305519247429946E-3</v>
      </c>
      <c r="J713">
        <f t="shared" si="35"/>
        <v>-9.0994725735364917E-4</v>
      </c>
      <c r="K713">
        <f t="shared" si="35"/>
        <v>-2.1415893529929449E-3</v>
      </c>
      <c r="L713">
        <f t="shared" si="34"/>
        <v>2.5173615416658325E-3</v>
      </c>
      <c r="M713">
        <f t="shared" si="34"/>
        <v>2.3263825049450935E-2</v>
      </c>
      <c r="N713">
        <f t="shared" si="34"/>
        <v>5.7998241316807178E-3</v>
      </c>
      <c r="O713">
        <f t="shared" si="34"/>
        <v>1.2610463474931072E-3</v>
      </c>
    </row>
    <row r="714" spans="1:15" x14ac:dyDescent="0.35">
      <c r="A714" s="2">
        <v>45971</v>
      </c>
      <c r="B714">
        <v>269.42999267578119</v>
      </c>
      <c r="C714">
        <v>915.55999755859375</v>
      </c>
      <c r="D714">
        <v>187.22129821777341</v>
      </c>
      <c r="E714">
        <v>315.46701049804688</v>
      </c>
      <c r="F714">
        <v>84.199836730957031</v>
      </c>
      <c r="G714">
        <v>145.5</v>
      </c>
      <c r="H714">
        <v>6832.43017578125</v>
      </c>
      <c r="I714">
        <f t="shared" si="35"/>
        <v>4.538365265673327E-3</v>
      </c>
      <c r="J714">
        <f t="shared" si="35"/>
        <v>-7.8115968387209925E-3</v>
      </c>
      <c r="K714">
        <f t="shared" si="35"/>
        <v>9.8138987458645868E-3</v>
      </c>
      <c r="L714">
        <f t="shared" si="34"/>
        <v>8.4931687078374889E-3</v>
      </c>
      <c r="M714">
        <f t="shared" si="34"/>
        <v>9.9585936644588698E-3</v>
      </c>
      <c r="N714">
        <f t="shared" si="34"/>
        <v>-1.0120407420862693E-2</v>
      </c>
      <c r="O714">
        <f t="shared" si="34"/>
        <v>1.5283626703501816E-2</v>
      </c>
    </row>
    <row r="715" spans="1:15" x14ac:dyDescent="0.35">
      <c r="A715" s="2">
        <v>45972</v>
      </c>
      <c r="B715">
        <v>275.25</v>
      </c>
      <c r="C715">
        <v>913.8599853515625</v>
      </c>
      <c r="D715">
        <v>192.60710144042969</v>
      </c>
      <c r="E715">
        <v>314.20269775390619</v>
      </c>
      <c r="F715">
        <v>85.183181762695313</v>
      </c>
      <c r="G715">
        <v>148.53999328613281</v>
      </c>
      <c r="H715">
        <v>6846.60986328125</v>
      </c>
      <c r="I715">
        <f t="shared" si="35"/>
        <v>2.137118643594664E-2</v>
      </c>
      <c r="J715">
        <f t="shared" si="35"/>
        <v>-1.8585264316006668E-3</v>
      </c>
      <c r="K715">
        <f t="shared" si="35"/>
        <v>2.836104002719804E-2</v>
      </c>
      <c r="L715">
        <f t="shared" si="34"/>
        <v>-4.0158020202239004E-3</v>
      </c>
      <c r="M715">
        <f t="shared" si="34"/>
        <v>1.1611035014291471E-2</v>
      </c>
      <c r="N715">
        <f t="shared" si="34"/>
        <v>2.0678150430550199E-2</v>
      </c>
      <c r="O715">
        <f t="shared" si="34"/>
        <v>2.0731999523923177E-3</v>
      </c>
    </row>
    <row r="716" spans="1:15" x14ac:dyDescent="0.35">
      <c r="A716" s="2">
        <v>45973</v>
      </c>
      <c r="B716">
        <v>273.47000122070313</v>
      </c>
      <c r="C716">
        <v>914</v>
      </c>
      <c r="D716">
        <v>193.16355895996091</v>
      </c>
      <c r="E716">
        <v>318.97119140625</v>
      </c>
      <c r="F716">
        <v>85.312309265136719</v>
      </c>
      <c r="G716">
        <v>148.00999450683591</v>
      </c>
      <c r="H716">
        <v>6850.919921875</v>
      </c>
      <c r="I716">
        <f t="shared" si="35"/>
        <v>-6.4878445071940788E-3</v>
      </c>
      <c r="J716">
        <f t="shared" si="35"/>
        <v>1.5320062787454187E-4</v>
      </c>
      <c r="K716">
        <f t="shared" si="35"/>
        <v>2.8849156381728506E-3</v>
      </c>
      <c r="L716">
        <f t="shared" si="34"/>
        <v>1.5062477746664374E-2</v>
      </c>
      <c r="M716">
        <f t="shared" si="34"/>
        <v>1.5147324583458831E-3</v>
      </c>
      <c r="N716">
        <f t="shared" si="34"/>
        <v>-3.574435106466569E-3</v>
      </c>
      <c r="O716">
        <f t="shared" si="34"/>
        <v>6.2931912594459724E-4</v>
      </c>
    </row>
    <row r="717" spans="1:15" x14ac:dyDescent="0.35">
      <c r="A717" s="2">
        <v>45974</v>
      </c>
      <c r="B717">
        <v>272.95001220703119</v>
      </c>
      <c r="C717">
        <v>925.08001708984375</v>
      </c>
      <c r="D717">
        <v>194.01814270019531</v>
      </c>
      <c r="E717">
        <v>308.09030151367188</v>
      </c>
      <c r="F717">
        <v>83.425086975097656</v>
      </c>
      <c r="G717">
        <v>147.96000671386719</v>
      </c>
      <c r="H717">
        <v>6737.490234375</v>
      </c>
      <c r="I717">
        <f t="shared" si="35"/>
        <v>-1.9032581452387482E-3</v>
      </c>
      <c r="J717">
        <f t="shared" si="35"/>
        <v>1.204966727892999E-2</v>
      </c>
      <c r="K717">
        <f t="shared" si="35"/>
        <v>4.4143879957639492E-3</v>
      </c>
      <c r="L717">
        <f t="shared" si="34"/>
        <v>-3.4707862899974191E-2</v>
      </c>
      <c r="M717">
        <f t="shared" si="34"/>
        <v>-2.2369682465514153E-2</v>
      </c>
      <c r="N717">
        <f t="shared" si="34"/>
        <v>-3.3778959514715179E-4</v>
      </c>
      <c r="O717">
        <f t="shared" si="34"/>
        <v>-1.6695451630927779E-2</v>
      </c>
    </row>
    <row r="718" spans="1:15" x14ac:dyDescent="0.35">
      <c r="A718" s="2">
        <v>45975</v>
      </c>
      <c r="B718">
        <v>272.41000366210938</v>
      </c>
      <c r="C718">
        <v>922.97998046875</v>
      </c>
      <c r="D718">
        <v>194.69384765625</v>
      </c>
      <c r="E718">
        <v>302.24661254882813</v>
      </c>
      <c r="F718">
        <v>83.315826416015625</v>
      </c>
      <c r="G718">
        <v>147.66999816894531</v>
      </c>
      <c r="H718">
        <v>6734.10986328125</v>
      </c>
      <c r="I718">
        <f t="shared" si="35"/>
        <v>-1.9803751859176601E-3</v>
      </c>
      <c r="J718">
        <f t="shared" si="35"/>
        <v>-2.2726940984415535E-3</v>
      </c>
      <c r="K718">
        <f t="shared" si="35"/>
        <v>3.4766390202670499E-3</v>
      </c>
      <c r="L718">
        <f t="shared" si="34"/>
        <v>-1.9149644751391817E-2</v>
      </c>
      <c r="M718">
        <f t="shared" si="34"/>
        <v>-1.3105430754583142E-3</v>
      </c>
      <c r="N718">
        <f t="shared" si="34"/>
        <v>-1.9619702544400332E-3</v>
      </c>
      <c r="O718">
        <f t="shared" si="34"/>
        <v>-5.0185147127177333E-4</v>
      </c>
    </row>
    <row r="719" spans="1:15" x14ac:dyDescent="0.35">
      <c r="A719" s="2">
        <v>45978</v>
      </c>
      <c r="B719">
        <v>267.45999145507813</v>
      </c>
      <c r="C719">
        <v>912.59002685546875</v>
      </c>
      <c r="D719">
        <v>198.32081604003909</v>
      </c>
      <c r="E719">
        <v>299.02117919921881</v>
      </c>
      <c r="F719">
        <v>85.173248291015625</v>
      </c>
      <c r="G719">
        <v>145.82000732421881</v>
      </c>
      <c r="H719">
        <v>6672.41015625</v>
      </c>
      <c r="I719">
        <f t="shared" si="35"/>
        <v>-1.833830726819936E-2</v>
      </c>
      <c r="J719">
        <f t="shared" si="35"/>
        <v>-1.1320804476889906E-2</v>
      </c>
      <c r="K719">
        <f t="shared" si="35"/>
        <v>1.8457689698553298E-2</v>
      </c>
      <c r="L719">
        <f t="shared" si="34"/>
        <v>-1.0728877659732206E-2</v>
      </c>
      <c r="M719">
        <f t="shared" si="34"/>
        <v>2.2048873220519762E-2</v>
      </c>
      <c r="N719">
        <f t="shared" si="34"/>
        <v>-1.2607007479953603E-2</v>
      </c>
      <c r="O719">
        <f t="shared" si="34"/>
        <v>-9.2044978943051584E-3</v>
      </c>
    </row>
    <row r="720" spans="1:15" x14ac:dyDescent="0.35">
      <c r="A720" s="2">
        <v>45979</v>
      </c>
      <c r="B720">
        <v>267.44000244140619</v>
      </c>
      <c r="C720">
        <v>895.08001708984375</v>
      </c>
      <c r="D720">
        <v>198.73817443847659</v>
      </c>
      <c r="E720">
        <v>298.06549072265619</v>
      </c>
      <c r="F720">
        <v>84.070716857910156</v>
      </c>
      <c r="G720">
        <v>146.99000549316409</v>
      </c>
      <c r="H720">
        <v>6617.31982421875</v>
      </c>
      <c r="I720">
        <f t="shared" si="35"/>
        <v>-7.4739255596657382E-5</v>
      </c>
      <c r="J720">
        <f t="shared" si="35"/>
        <v>-1.9373621309585684E-2</v>
      </c>
      <c r="K720">
        <f t="shared" si="35"/>
        <v>2.1022496009598457E-3</v>
      </c>
      <c r="L720">
        <f t="shared" si="34"/>
        <v>-3.2011744385688182E-3</v>
      </c>
      <c r="M720">
        <f t="shared" si="34"/>
        <v>-1.3029085308490281E-2</v>
      </c>
      <c r="N720">
        <f t="shared" si="34"/>
        <v>7.9915600188111367E-3</v>
      </c>
      <c r="O720">
        <f t="shared" si="34"/>
        <v>-8.2907098441693181E-3</v>
      </c>
    </row>
    <row r="721" spans="1:15" x14ac:dyDescent="0.35">
      <c r="A721" s="2">
        <v>45980</v>
      </c>
      <c r="B721">
        <v>268.55999755859381</v>
      </c>
      <c r="C721">
        <v>890.5999755859375</v>
      </c>
      <c r="D721">
        <v>201.2323303222656</v>
      </c>
      <c r="E721">
        <v>301.90814208984381</v>
      </c>
      <c r="F721">
        <v>83.703201293945313</v>
      </c>
      <c r="G721">
        <v>146.99000549316409</v>
      </c>
      <c r="H721">
        <v>6642.16015625</v>
      </c>
      <c r="I721">
        <f t="shared" si="35"/>
        <v>4.1790923404076254E-3</v>
      </c>
      <c r="J721">
        <f t="shared" si="35"/>
        <v>-5.0177533736113951E-3</v>
      </c>
      <c r="K721">
        <f t="shared" si="35"/>
        <v>1.2471860719498323E-2</v>
      </c>
      <c r="L721">
        <f t="shared" si="34"/>
        <v>1.2809575956063992E-2</v>
      </c>
      <c r="M721">
        <f t="shared" si="34"/>
        <v>-4.3810880243147447E-3</v>
      </c>
      <c r="N721">
        <f t="shared" si="34"/>
        <v>0</v>
      </c>
      <c r="O721">
        <f t="shared" si="34"/>
        <v>3.74680773726533E-3</v>
      </c>
    </row>
    <row r="722" spans="1:15" x14ac:dyDescent="0.35">
      <c r="A722" s="2">
        <v>45981</v>
      </c>
      <c r="B722">
        <v>266.25</v>
      </c>
      <c r="C722">
        <v>893.28997802734375</v>
      </c>
      <c r="D722">
        <v>201.78880310058591</v>
      </c>
      <c r="E722">
        <v>297.04013061523438</v>
      </c>
      <c r="F722">
        <v>83.733001708984375</v>
      </c>
      <c r="G722">
        <v>148.19000244140619</v>
      </c>
      <c r="H722">
        <v>6538.759765625</v>
      </c>
      <c r="I722">
        <f t="shared" si="35"/>
        <v>-8.6386265574155754E-3</v>
      </c>
      <c r="J722">
        <f t="shared" si="35"/>
        <v>3.0158861255792564E-3</v>
      </c>
      <c r="K722">
        <f t="shared" si="35"/>
        <v>2.7615084461170354E-3</v>
      </c>
      <c r="L722">
        <f t="shared" si="34"/>
        <v>-1.6255556250375204E-2</v>
      </c>
      <c r="M722">
        <f t="shared" si="34"/>
        <v>3.5596143270402318E-4</v>
      </c>
      <c r="N722">
        <f t="shared" si="34"/>
        <v>8.1306560520235643E-3</v>
      </c>
      <c r="O722">
        <f t="shared" si="34"/>
        <v>-1.5689726116315229E-2</v>
      </c>
    </row>
    <row r="723" spans="1:15" x14ac:dyDescent="0.35">
      <c r="A723" s="2">
        <v>45982</v>
      </c>
      <c r="B723">
        <v>271.489990234375</v>
      </c>
      <c r="C723">
        <v>899.010009765625</v>
      </c>
      <c r="D723">
        <v>202.6135559082031</v>
      </c>
      <c r="E723">
        <v>296.68173217773438</v>
      </c>
      <c r="F723">
        <v>83.480003356933594</v>
      </c>
      <c r="G723">
        <v>150.91999816894531</v>
      </c>
      <c r="H723">
        <v>6602.990234375</v>
      </c>
      <c r="I723">
        <f t="shared" si="35"/>
        <v>1.9489553289023798E-2</v>
      </c>
      <c r="J723">
        <f t="shared" si="35"/>
        <v>6.3829171427904879E-3</v>
      </c>
      <c r="K723">
        <f t="shared" si="35"/>
        <v>4.0788780416926443E-3</v>
      </c>
      <c r="L723">
        <f t="shared" si="34"/>
        <v>-1.2072942011812215E-3</v>
      </c>
      <c r="M723">
        <f t="shared" si="34"/>
        <v>-3.0260630147882668E-3</v>
      </c>
      <c r="N723">
        <f t="shared" si="34"/>
        <v>1.8254632286567065E-2</v>
      </c>
      <c r="O723">
        <f t="shared" si="34"/>
        <v>9.7751030415920686E-3</v>
      </c>
    </row>
    <row r="724" spans="1:15" x14ac:dyDescent="0.35">
      <c r="A724" s="2">
        <v>45985</v>
      </c>
      <c r="B724">
        <v>275.92001342773438</v>
      </c>
      <c r="C724">
        <v>886.1199951171875</v>
      </c>
      <c r="D724">
        <v>204.75</v>
      </c>
      <c r="E724">
        <v>296.66183471679688</v>
      </c>
      <c r="F724">
        <v>84.230003356933594</v>
      </c>
      <c r="G724">
        <v>146.97999572753909</v>
      </c>
      <c r="H724">
        <v>6705.1201171875</v>
      </c>
      <c r="I724">
        <f t="shared" si="35"/>
        <v>1.6185746981243001E-2</v>
      </c>
      <c r="J724">
        <f t="shared" si="35"/>
        <v>-1.444179263877505E-2</v>
      </c>
      <c r="K724">
        <f t="shared" si="35"/>
        <v>1.0489223442226794E-2</v>
      </c>
      <c r="L724">
        <f t="shared" si="34"/>
        <v>-6.7068936296385505E-5</v>
      </c>
      <c r="M724">
        <f t="shared" si="34"/>
        <v>8.9440697602132056E-3</v>
      </c>
      <c r="N724">
        <f t="shared" si="34"/>
        <v>-2.6453388931081873E-2</v>
      </c>
      <c r="O724">
        <f t="shared" si="34"/>
        <v>1.5348818899081837E-2</v>
      </c>
    </row>
    <row r="725" spans="1:15" x14ac:dyDescent="0.35">
      <c r="A725" s="2">
        <v>45986</v>
      </c>
      <c r="B725">
        <v>276.97000122070313</v>
      </c>
      <c r="C725">
        <v>894.33001708984375</v>
      </c>
      <c r="D725">
        <v>206.66999816894531</v>
      </c>
      <c r="E725">
        <v>301.63937377929688</v>
      </c>
      <c r="F725">
        <v>84.830001831054688</v>
      </c>
      <c r="G725">
        <v>148.49000549316409</v>
      </c>
      <c r="H725">
        <v>6765.8798828125</v>
      </c>
      <c r="I725">
        <f t="shared" si="35"/>
        <v>3.7981841864668069E-3</v>
      </c>
      <c r="J725">
        <f t="shared" si="35"/>
        <v>9.2224775844479204E-3</v>
      </c>
      <c r="K725">
        <f t="shared" si="35"/>
        <v>9.3335866802362888E-3</v>
      </c>
      <c r="L725">
        <f t="shared" si="34"/>
        <v>1.6639290825076328E-2</v>
      </c>
      <c r="M725">
        <f t="shared" si="34"/>
        <v>7.0980832229912399E-3</v>
      </c>
      <c r="N725">
        <f t="shared" si="34"/>
        <v>1.0221158869054591E-2</v>
      </c>
      <c r="O725">
        <f t="shared" si="34"/>
        <v>9.0208860008329436E-3</v>
      </c>
    </row>
    <row r="726" spans="1:15" x14ac:dyDescent="0.35">
      <c r="A726" s="2">
        <v>45987</v>
      </c>
      <c r="B726">
        <v>277.54998779296881</v>
      </c>
      <c r="C726">
        <v>908.260009765625</v>
      </c>
      <c r="D726">
        <v>207.55999755859381</v>
      </c>
      <c r="E726">
        <v>306.258544921875</v>
      </c>
      <c r="F726">
        <v>85.540000915527344</v>
      </c>
      <c r="G726">
        <v>148.25</v>
      </c>
      <c r="H726">
        <v>6812.60986328125</v>
      </c>
      <c r="I726">
        <f t="shared" si="35"/>
        <v>2.0918516744238965E-3</v>
      </c>
      <c r="J726">
        <f t="shared" si="35"/>
        <v>1.5455838288541145E-2</v>
      </c>
      <c r="K726">
        <f t="shared" si="35"/>
        <v>4.2971333237119191E-3</v>
      </c>
      <c r="L726">
        <f t="shared" si="34"/>
        <v>1.5197485976364816E-2</v>
      </c>
      <c r="M726">
        <f t="shared" si="34"/>
        <v>8.3348380970444981E-3</v>
      </c>
      <c r="N726">
        <f t="shared" si="34"/>
        <v>-1.6176150236297568E-3</v>
      </c>
      <c r="O726">
        <f t="shared" si="34"/>
        <v>6.882969436149685E-3</v>
      </c>
    </row>
    <row r="727" spans="1:15" x14ac:dyDescent="0.35">
      <c r="A727" s="2">
        <v>45989</v>
      </c>
      <c r="B727">
        <v>278.85000610351563</v>
      </c>
      <c r="C727">
        <v>913.59002685546875</v>
      </c>
      <c r="D727">
        <v>206.91999816894531</v>
      </c>
      <c r="E727">
        <v>311.67410278320313</v>
      </c>
      <c r="F727">
        <v>86.290000915527344</v>
      </c>
      <c r="G727">
        <v>148.1600036621094</v>
      </c>
      <c r="H727">
        <v>6849.08984375</v>
      </c>
      <c r="I727">
        <f t="shared" si="35"/>
        <v>4.6729715689381376E-3</v>
      </c>
      <c r="J727">
        <f t="shared" si="35"/>
        <v>5.8512305509607994E-3</v>
      </c>
      <c r="K727">
        <f t="shared" si="35"/>
        <v>-3.0882064509074286E-3</v>
      </c>
      <c r="L727">
        <f t="shared" si="34"/>
        <v>1.7528436277991024E-2</v>
      </c>
      <c r="M727">
        <f t="shared" si="34"/>
        <v>8.7296136284279631E-3</v>
      </c>
      <c r="N727">
        <f t="shared" si="34"/>
        <v>-6.0724226270480563E-4</v>
      </c>
      <c r="O727">
        <f t="shared" si="34"/>
        <v>5.3404873411373724E-3</v>
      </c>
    </row>
    <row r="728" spans="1:15" x14ac:dyDescent="0.35">
      <c r="A728" s="2">
        <v>45992</v>
      </c>
      <c r="B728">
        <v>283.10000610351563</v>
      </c>
      <c r="C728">
        <v>911.96002197265625</v>
      </c>
      <c r="D728">
        <v>205.3399963378906</v>
      </c>
      <c r="E728">
        <v>307.53280639648438</v>
      </c>
      <c r="F728">
        <v>84.650001525878906</v>
      </c>
      <c r="G728">
        <v>147.44000244140619</v>
      </c>
      <c r="H728">
        <v>6812.6298828125</v>
      </c>
      <c r="I728">
        <f t="shared" si="35"/>
        <v>1.5126188953698135E-2</v>
      </c>
      <c r="J728">
        <f t="shared" si="35"/>
        <v>-1.7857689708684747E-3</v>
      </c>
      <c r="K728">
        <f t="shared" si="35"/>
        <v>-7.6651122497703988E-3</v>
      </c>
      <c r="L728">
        <f t="shared" si="34"/>
        <v>-1.3376330509283146E-2</v>
      </c>
      <c r="M728">
        <f t="shared" si="34"/>
        <v>-1.9188600525221044E-2</v>
      </c>
      <c r="N728">
        <f t="shared" si="34"/>
        <v>-4.8714656949202673E-3</v>
      </c>
      <c r="O728">
        <f t="shared" si="34"/>
        <v>-5.3375487460559663E-3</v>
      </c>
    </row>
    <row r="729" spans="1:15" x14ac:dyDescent="0.35">
      <c r="A729" s="2">
        <v>45993</v>
      </c>
      <c r="B729">
        <v>286.19000244140619</v>
      </c>
      <c r="C729">
        <v>922.030029296875</v>
      </c>
      <c r="D729">
        <v>205.41999816894531</v>
      </c>
      <c r="E729">
        <v>306.49746704101563</v>
      </c>
      <c r="F729">
        <v>84.580001831054688</v>
      </c>
      <c r="G729">
        <v>145.86000061035159</v>
      </c>
      <c r="H729">
        <v>6829.3701171875</v>
      </c>
      <c r="I729">
        <f t="shared" si="35"/>
        <v>1.0855720764224697E-2</v>
      </c>
      <c r="J729">
        <f t="shared" si="35"/>
        <v>1.0981639205291119E-2</v>
      </c>
      <c r="K729">
        <f t="shared" si="35"/>
        <v>3.895307874971683E-4</v>
      </c>
      <c r="L729">
        <f t="shared" si="34"/>
        <v>-3.3722778222359706E-3</v>
      </c>
      <c r="M729">
        <f t="shared" si="34"/>
        <v>-8.2727291175169616E-4</v>
      </c>
      <c r="N729">
        <f t="shared" si="34"/>
        <v>-1.07740681796199E-2</v>
      </c>
      <c r="O729">
        <f t="shared" si="34"/>
        <v>2.4542211959366171E-3</v>
      </c>
    </row>
    <row r="730" spans="1:15" x14ac:dyDescent="0.35">
      <c r="A730" s="2">
        <v>45994</v>
      </c>
      <c r="B730">
        <v>284.14999389648438</v>
      </c>
      <c r="C730">
        <v>922.260009765625</v>
      </c>
      <c r="D730">
        <v>205.33000183105469</v>
      </c>
      <c r="E730">
        <v>310.7283935546875</v>
      </c>
      <c r="F730">
        <v>84.949996948242188</v>
      </c>
      <c r="G730">
        <v>146.71000671386719</v>
      </c>
      <c r="H730">
        <v>6849.72021484375</v>
      </c>
      <c r="I730">
        <f t="shared" si="35"/>
        <v>-7.1536881784300911E-3</v>
      </c>
      <c r="J730">
        <f t="shared" si="35"/>
        <v>2.493972911755103E-4</v>
      </c>
      <c r="K730">
        <f t="shared" si="35"/>
        <v>-4.3820493892020307E-4</v>
      </c>
      <c r="L730">
        <f t="shared" si="34"/>
        <v>1.3709706778662668E-2</v>
      </c>
      <c r="M730">
        <f t="shared" si="34"/>
        <v>4.3649585006427724E-3</v>
      </c>
      <c r="N730">
        <f t="shared" si="34"/>
        <v>5.8106331738080157E-3</v>
      </c>
      <c r="O730">
        <f t="shared" si="34"/>
        <v>2.9753605210852863E-3</v>
      </c>
    </row>
    <row r="731" spans="1:15" x14ac:dyDescent="0.35">
      <c r="A731" s="2">
        <v>45995</v>
      </c>
      <c r="B731">
        <v>280.70001220703119</v>
      </c>
      <c r="C731">
        <v>895.8599853515625</v>
      </c>
      <c r="D731">
        <v>202.47999572753909</v>
      </c>
      <c r="E731">
        <v>314.68057250976563</v>
      </c>
      <c r="F731">
        <v>83.389999389648438</v>
      </c>
      <c r="G731">
        <v>145.36000061035159</v>
      </c>
      <c r="H731">
        <v>6857.1201171875</v>
      </c>
      <c r="I731">
        <f t="shared" si="35"/>
        <v>-1.22157194075668E-2</v>
      </c>
      <c r="J731">
        <f t="shared" si="35"/>
        <v>-2.9043055638323999E-2</v>
      </c>
      <c r="K731">
        <f t="shared" si="35"/>
        <v>-1.3977354748814124E-2</v>
      </c>
      <c r="L731">
        <f t="shared" si="34"/>
        <v>1.263887081838627E-2</v>
      </c>
      <c r="M731">
        <f t="shared" si="34"/>
        <v>-1.8534421414123127E-2</v>
      </c>
      <c r="N731">
        <f t="shared" si="34"/>
        <v>-9.244466627585721E-3</v>
      </c>
      <c r="O731">
        <f t="shared" si="34"/>
        <v>1.0797387119744039E-3</v>
      </c>
    </row>
    <row r="732" spans="1:15" x14ac:dyDescent="0.35">
      <c r="A732" s="2">
        <v>45996</v>
      </c>
      <c r="B732">
        <v>278.77999877929688</v>
      </c>
      <c r="C732">
        <v>894.67999267578125</v>
      </c>
      <c r="D732">
        <v>201.92999267578119</v>
      </c>
      <c r="E732">
        <v>313.62533569335938</v>
      </c>
      <c r="F732">
        <v>83.129997253417969</v>
      </c>
      <c r="G732">
        <v>143.44999694824219</v>
      </c>
      <c r="H732">
        <v>6870.39990234375</v>
      </c>
      <c r="I732">
        <f t="shared" si="35"/>
        <v>-6.8635909326487101E-3</v>
      </c>
      <c r="J732">
        <f t="shared" si="35"/>
        <v>-1.3180301597122057E-3</v>
      </c>
      <c r="K732">
        <f t="shared" si="35"/>
        <v>-2.720028716559306E-3</v>
      </c>
      <c r="L732">
        <f t="shared" si="34"/>
        <v>-3.3589937474761897E-3</v>
      </c>
      <c r="M732">
        <f t="shared" si="34"/>
        <v>-3.1227762762571125E-3</v>
      </c>
      <c r="N732">
        <f t="shared" si="34"/>
        <v>-1.3226907133456164E-2</v>
      </c>
      <c r="O732">
        <f t="shared" si="34"/>
        <v>1.9347688846794776E-3</v>
      </c>
    </row>
    <row r="733" spans="1:15" x14ac:dyDescent="0.35">
      <c r="A733" s="2">
        <v>45999</v>
      </c>
      <c r="B733">
        <v>277.8900146484375</v>
      </c>
      <c r="C733">
        <v>887.52001953125</v>
      </c>
      <c r="D733">
        <v>201.6199951171875</v>
      </c>
      <c r="E733">
        <v>313.7945556640625</v>
      </c>
      <c r="F733">
        <v>80.550003051757813</v>
      </c>
      <c r="G733">
        <v>138.3399963378906</v>
      </c>
      <c r="H733">
        <v>6846.509765625</v>
      </c>
      <c r="I733">
        <f t="shared" si="35"/>
        <v>-3.1975312758841801E-3</v>
      </c>
      <c r="J733">
        <f t="shared" si="35"/>
        <v>-8.0350259421872253E-3</v>
      </c>
      <c r="K733">
        <f t="shared" si="35"/>
        <v>-1.5363530117549424E-3</v>
      </c>
      <c r="L733">
        <f t="shared" si="34"/>
        <v>5.3941539672955731E-4</v>
      </c>
      <c r="M733">
        <f t="shared" si="34"/>
        <v>-3.1527466993909618E-2</v>
      </c>
      <c r="N733">
        <f t="shared" si="34"/>
        <v>-3.6272124452721967E-2</v>
      </c>
      <c r="O733">
        <f t="shared" si="34"/>
        <v>-3.4833153316476935E-3</v>
      </c>
    </row>
    <row r="734" spans="1:15" x14ac:dyDescent="0.35">
      <c r="A734" s="2">
        <v>46000</v>
      </c>
      <c r="B734">
        <v>277.17999267578119</v>
      </c>
      <c r="C734">
        <v>888.44000244140625</v>
      </c>
      <c r="D734">
        <v>199.96000671386719</v>
      </c>
      <c r="E734">
        <v>299.16058349609381</v>
      </c>
      <c r="F734">
        <v>79.639999389648438</v>
      </c>
      <c r="G734">
        <v>139.6300048828125</v>
      </c>
      <c r="H734">
        <v>6840.509765625</v>
      </c>
      <c r="I734">
        <f t="shared" si="35"/>
        <v>-2.5583164305195334E-3</v>
      </c>
      <c r="J734">
        <f t="shared" si="35"/>
        <v>1.0360402048073616E-3</v>
      </c>
      <c r="K734">
        <f t="shared" si="35"/>
        <v>-8.267333286477439E-3</v>
      </c>
      <c r="L734">
        <f t="shared" si="34"/>
        <v>-4.7757992678378332E-2</v>
      </c>
      <c r="M734">
        <f t="shared" si="34"/>
        <v>-1.1361675977372108E-2</v>
      </c>
      <c r="N734">
        <f t="shared" si="34"/>
        <v>9.2817052231206898E-3</v>
      </c>
      <c r="O734">
        <f t="shared" si="34"/>
        <v>-8.7674316101323858E-4</v>
      </c>
    </row>
    <row r="735" spans="1:15" x14ac:dyDescent="0.35">
      <c r="A735" s="2">
        <v>46001</v>
      </c>
      <c r="B735">
        <v>278.77999877929688</v>
      </c>
      <c r="C735">
        <v>874.40997314453125</v>
      </c>
      <c r="D735">
        <v>206.53999328613281</v>
      </c>
      <c r="E735">
        <v>308.71743774414063</v>
      </c>
      <c r="F735">
        <v>81.269996643066406</v>
      </c>
      <c r="G735">
        <v>139.82000732421881</v>
      </c>
      <c r="H735">
        <v>6886.68017578125</v>
      </c>
      <c r="I735">
        <f t="shared" si="35"/>
        <v>5.7558477064036688E-3</v>
      </c>
      <c r="J735">
        <f t="shared" si="35"/>
        <v>-1.5917776020477548E-2</v>
      </c>
      <c r="K735">
        <f t="shared" si="35"/>
        <v>3.237668561545988E-2</v>
      </c>
      <c r="L735">
        <f t="shared" si="34"/>
        <v>3.1445919814279591E-2</v>
      </c>
      <c r="M735">
        <f t="shared" si="34"/>
        <v>2.0260431927060889E-2</v>
      </c>
      <c r="N735">
        <f t="shared" si="34"/>
        <v>1.3598315432814751E-3</v>
      </c>
      <c r="O735">
        <f t="shared" si="34"/>
        <v>6.7268806591399763E-3</v>
      </c>
    </row>
    <row r="736" spans="1:15" x14ac:dyDescent="0.35">
      <c r="A736" s="2">
        <v>46002</v>
      </c>
      <c r="B736">
        <v>278.02999877929688</v>
      </c>
      <c r="C736">
        <v>884.47998046875</v>
      </c>
      <c r="D736">
        <v>210.00999450683591</v>
      </c>
      <c r="E736">
        <v>315.95480346679688</v>
      </c>
      <c r="F736">
        <v>81.209999084472656</v>
      </c>
      <c r="G736">
        <v>140.75999450683591</v>
      </c>
      <c r="H736">
        <v>6901</v>
      </c>
      <c r="I736">
        <f t="shared" si="35"/>
        <v>-2.6939187761114772E-3</v>
      </c>
      <c r="J736">
        <f t="shared" si="35"/>
        <v>1.1450537119211115E-2</v>
      </c>
      <c r="K736">
        <f t="shared" si="35"/>
        <v>1.6661056737777784E-2</v>
      </c>
      <c r="L736">
        <f t="shared" si="34"/>
        <v>2.3172758769688873E-2</v>
      </c>
      <c r="M736">
        <f t="shared" si="34"/>
        <v>-7.3852243843392483E-4</v>
      </c>
      <c r="N736">
        <f t="shared" si="34"/>
        <v>6.7003399613114042E-3</v>
      </c>
      <c r="O736">
        <f t="shared" si="34"/>
        <v>2.0771919837170301E-3</v>
      </c>
    </row>
    <row r="737" spans="1:15" x14ac:dyDescent="0.35">
      <c r="A737" s="2">
        <v>46003</v>
      </c>
      <c r="B737">
        <v>278.27999877929688</v>
      </c>
      <c r="C737">
        <v>884.469970703125</v>
      </c>
      <c r="D737">
        <v>211.58000183105469</v>
      </c>
      <c r="E737">
        <v>317.08969116210938</v>
      </c>
      <c r="F737">
        <v>81.650001525878906</v>
      </c>
      <c r="G737">
        <v>142.8399963378906</v>
      </c>
      <c r="H737">
        <v>6827.41015625</v>
      </c>
      <c r="I737">
        <f t="shared" si="35"/>
        <v>8.9877952194417749E-4</v>
      </c>
      <c r="J737">
        <f t="shared" si="35"/>
        <v>-1.1317183528508968E-5</v>
      </c>
      <c r="K737">
        <f t="shared" si="35"/>
        <v>7.4480637381660296E-3</v>
      </c>
      <c r="L737">
        <f t="shared" si="34"/>
        <v>3.5854949241731376E-3</v>
      </c>
      <c r="M737">
        <f t="shared" si="34"/>
        <v>5.4034570837787838E-3</v>
      </c>
      <c r="N737">
        <f t="shared" si="34"/>
        <v>1.4668823660057541E-2</v>
      </c>
      <c r="O737">
        <f t="shared" si="34"/>
        <v>-1.0720913458554537E-2</v>
      </c>
    </row>
    <row r="738" spans="1:15" x14ac:dyDescent="0.35">
      <c r="A738" s="2">
        <v>46006</v>
      </c>
      <c r="B738">
        <v>274.1099853515625</v>
      </c>
      <c r="C738">
        <v>860.55999755859375</v>
      </c>
      <c r="D738">
        <v>214.16999816894531</v>
      </c>
      <c r="E738">
        <v>318.58294677734381</v>
      </c>
      <c r="F738">
        <v>81.650001525878906</v>
      </c>
      <c r="G738">
        <v>145.1300048828125</v>
      </c>
      <c r="H738">
        <v>6816.509765625</v>
      </c>
      <c r="I738">
        <f t="shared" si="35"/>
        <v>-1.5098364430199547E-2</v>
      </c>
      <c r="J738">
        <f t="shared" si="35"/>
        <v>-2.7405225146730147E-2</v>
      </c>
      <c r="K738">
        <f t="shared" si="35"/>
        <v>1.2166897420116153E-2</v>
      </c>
      <c r="L738">
        <f t="shared" si="34"/>
        <v>4.6981992706265638E-3</v>
      </c>
      <c r="M738">
        <f t="shared" si="34"/>
        <v>0</v>
      </c>
      <c r="N738">
        <f t="shared" si="34"/>
        <v>1.5904829038270851E-2</v>
      </c>
      <c r="O738">
        <f t="shared" si="34"/>
        <v>-1.5978388918367072E-3</v>
      </c>
    </row>
    <row r="739" spans="1:15" x14ac:dyDescent="0.35">
      <c r="A739" s="2">
        <v>46007</v>
      </c>
      <c r="B739">
        <v>274.6099853515625</v>
      </c>
      <c r="C739">
        <v>860.3900146484375</v>
      </c>
      <c r="D739">
        <v>209.30000305175781</v>
      </c>
      <c r="E739">
        <v>314.13302612304688</v>
      </c>
      <c r="F739">
        <v>81.319999694824219</v>
      </c>
      <c r="G739">
        <v>145.21000671386719</v>
      </c>
      <c r="H739">
        <v>6800.259765625</v>
      </c>
      <c r="I739">
        <f t="shared" si="35"/>
        <v>1.8224236954371396E-3</v>
      </c>
      <c r="J739">
        <f t="shared" si="35"/>
        <v>-1.9754543653605655E-4</v>
      </c>
      <c r="K739">
        <f t="shared" si="35"/>
        <v>-2.3001439600203594E-2</v>
      </c>
      <c r="L739">
        <f t="shared" si="34"/>
        <v>-1.4066324281271065E-2</v>
      </c>
      <c r="M739">
        <f t="shared" si="34"/>
        <v>-4.0498530971498983E-3</v>
      </c>
      <c r="N739">
        <f t="shared" si="34"/>
        <v>5.5109065153962158E-4</v>
      </c>
      <c r="O739">
        <f t="shared" si="34"/>
        <v>-2.38676400843967E-3</v>
      </c>
    </row>
    <row r="740" spans="1:15" x14ac:dyDescent="0.35">
      <c r="A740" s="2">
        <v>46008</v>
      </c>
      <c r="B740">
        <v>271.83999633789063</v>
      </c>
      <c r="C740">
        <v>862.6500244140625</v>
      </c>
      <c r="D740">
        <v>210.33000183105469</v>
      </c>
      <c r="E740">
        <v>313.56558227539063</v>
      </c>
      <c r="F740">
        <v>80.290000915527344</v>
      </c>
      <c r="G740">
        <v>147.80999755859381</v>
      </c>
      <c r="H740">
        <v>6721.43017578125</v>
      </c>
      <c r="I740">
        <f t="shared" si="35"/>
        <v>-1.0138211482018081E-2</v>
      </c>
      <c r="J740">
        <f t="shared" si="35"/>
        <v>2.623283278893036E-3</v>
      </c>
      <c r="K740">
        <f t="shared" si="35"/>
        <v>4.9090905598771469E-3</v>
      </c>
      <c r="L740">
        <f t="shared" si="34"/>
        <v>-1.8080142114102399E-3</v>
      </c>
      <c r="M740">
        <f t="shared" si="34"/>
        <v>-1.2746893408020064E-2</v>
      </c>
      <c r="N740">
        <f t="shared" si="34"/>
        <v>1.7746631928573571E-2</v>
      </c>
      <c r="O740">
        <f t="shared" si="34"/>
        <v>-1.165985661137129E-2</v>
      </c>
    </row>
    <row r="741" spans="1:15" x14ac:dyDescent="0.35">
      <c r="A741" s="2">
        <v>46009</v>
      </c>
      <c r="B741">
        <v>272.19000244140619</v>
      </c>
      <c r="C741">
        <v>857.59002685546875</v>
      </c>
      <c r="D741">
        <v>208.30999755859381</v>
      </c>
      <c r="E741">
        <v>311.594482421875</v>
      </c>
      <c r="F741">
        <v>80.849998474121094</v>
      </c>
      <c r="G741">
        <v>145.52000427246091</v>
      </c>
      <c r="H741">
        <v>6774.759765625</v>
      </c>
      <c r="I741">
        <f t="shared" si="35"/>
        <v>1.2867163670798581E-3</v>
      </c>
      <c r="J741">
        <f t="shared" si="35"/>
        <v>-5.8829140132734261E-3</v>
      </c>
      <c r="K741">
        <f t="shared" si="35"/>
        <v>-9.6503915168527268E-3</v>
      </c>
      <c r="L741">
        <f t="shared" si="34"/>
        <v>-6.3059254629388578E-3</v>
      </c>
      <c r="M741">
        <f t="shared" si="34"/>
        <v>6.9504755508052948E-3</v>
      </c>
      <c r="N741">
        <f t="shared" si="34"/>
        <v>-1.5614085136965824E-2</v>
      </c>
      <c r="O741">
        <f t="shared" si="34"/>
        <v>7.9029515204791564E-3</v>
      </c>
    </row>
    <row r="742" spans="1:15" x14ac:dyDescent="0.35">
      <c r="A742" s="2">
        <v>46010</v>
      </c>
      <c r="B742">
        <v>273.67001342773438</v>
      </c>
      <c r="C742">
        <v>855.6199951171875</v>
      </c>
      <c r="D742">
        <v>206.3699951171875</v>
      </c>
      <c r="E742">
        <v>315.78555297851563</v>
      </c>
      <c r="F742">
        <v>79.540000915527344</v>
      </c>
      <c r="G742">
        <v>144.46000671386719</v>
      </c>
      <c r="H742">
        <v>6834.5</v>
      </c>
      <c r="I742">
        <f t="shared" si="35"/>
        <v>5.4226892243878742E-3</v>
      </c>
      <c r="J742">
        <f t="shared" si="35"/>
        <v>-2.2998144784705035E-3</v>
      </c>
      <c r="K742">
        <f t="shared" si="35"/>
        <v>-9.3566925302051625E-3</v>
      </c>
      <c r="L742">
        <f t="shared" si="35"/>
        <v>1.336074680569683E-2</v>
      </c>
      <c r="M742">
        <f t="shared" si="35"/>
        <v>-1.633551586033416E-2</v>
      </c>
      <c r="N742">
        <f t="shared" si="35"/>
        <v>-7.3108644715095599E-3</v>
      </c>
      <c r="O742">
        <f t="shared" si="35"/>
        <v>8.7794074218288717E-3</v>
      </c>
    </row>
    <row r="743" spans="1:15" x14ac:dyDescent="0.35">
      <c r="A743" s="2">
        <v>46013</v>
      </c>
      <c r="B743">
        <v>270.97000122070313</v>
      </c>
      <c r="C743">
        <v>850</v>
      </c>
      <c r="D743">
        <v>207.32000732421881</v>
      </c>
      <c r="E743">
        <v>321.63916015625</v>
      </c>
      <c r="F743">
        <v>80.040000915527344</v>
      </c>
      <c r="G743">
        <v>142.69000244140619</v>
      </c>
      <c r="H743">
        <v>6878.490234375</v>
      </c>
      <c r="I743">
        <f t="shared" ref="I743:O755" si="36">LN(B743/B742)</f>
        <v>-9.9149318937192376E-3</v>
      </c>
      <c r="J743">
        <f t="shared" si="36"/>
        <v>-6.589997153003911E-3</v>
      </c>
      <c r="K743">
        <f t="shared" si="36"/>
        <v>4.5928781040353618E-3</v>
      </c>
      <c r="L743">
        <f t="shared" si="36"/>
        <v>1.8366943148216172E-2</v>
      </c>
      <c r="M743">
        <f t="shared" si="36"/>
        <v>6.2664698640848646E-3</v>
      </c>
      <c r="N743">
        <f t="shared" si="36"/>
        <v>-1.2328237045968011E-2</v>
      </c>
      <c r="O743">
        <f t="shared" si="36"/>
        <v>6.4158705755619364E-3</v>
      </c>
    </row>
    <row r="744" spans="1:15" x14ac:dyDescent="0.35">
      <c r="A744" s="2">
        <v>46014</v>
      </c>
      <c r="B744">
        <v>272.3599853515625</v>
      </c>
      <c r="C744">
        <v>854.78997802734375</v>
      </c>
      <c r="D744">
        <v>205.7799987792969</v>
      </c>
      <c r="E744">
        <v>324.46640014648438</v>
      </c>
      <c r="F744">
        <v>79.790000915527344</v>
      </c>
      <c r="G744">
        <v>143.17999267578119</v>
      </c>
      <c r="H744">
        <v>6909.7900390625</v>
      </c>
      <c r="I744">
        <f t="shared" si="36"/>
        <v>5.1165486815904363E-3</v>
      </c>
      <c r="J744">
        <f t="shared" si="36"/>
        <v>5.6194495439162188E-3</v>
      </c>
      <c r="K744">
        <f t="shared" si="36"/>
        <v>-7.4558976340054943E-3</v>
      </c>
      <c r="L744">
        <f t="shared" si="36"/>
        <v>8.7516907739925154E-3</v>
      </c>
      <c r="M744">
        <f t="shared" si="36"/>
        <v>-3.1283263595040757E-3</v>
      </c>
      <c r="N744">
        <f t="shared" si="36"/>
        <v>3.4280667617682908E-3</v>
      </c>
      <c r="O744">
        <f t="shared" si="36"/>
        <v>4.5400670467882079E-3</v>
      </c>
    </row>
    <row r="745" spans="1:15" x14ac:dyDescent="0.35">
      <c r="A745" s="2">
        <v>46015</v>
      </c>
      <c r="B745">
        <v>273.80999755859381</v>
      </c>
      <c r="C745">
        <v>871.8599853515625</v>
      </c>
      <c r="D745">
        <v>207.7799987792969</v>
      </c>
      <c r="E745">
        <v>327.69186401367188</v>
      </c>
      <c r="F745">
        <v>80.449996948242188</v>
      </c>
      <c r="G745">
        <v>144.49000549316409</v>
      </c>
      <c r="H745">
        <v>6932.0498046875</v>
      </c>
      <c r="I745">
        <f t="shared" si="36"/>
        <v>5.3097594490723017E-3</v>
      </c>
      <c r="J745">
        <f t="shared" si="36"/>
        <v>1.9773044731016678E-2</v>
      </c>
      <c r="K745">
        <f t="shared" si="36"/>
        <v>9.6721907518210661E-3</v>
      </c>
      <c r="L745">
        <f t="shared" si="36"/>
        <v>9.8917405312216322E-3</v>
      </c>
      <c r="M745">
        <f t="shared" si="36"/>
        <v>8.2376407103941021E-3</v>
      </c>
      <c r="N745">
        <f t="shared" si="36"/>
        <v>9.1078102090126224E-3</v>
      </c>
      <c r="O745">
        <f t="shared" si="36"/>
        <v>3.2163043447007082E-3</v>
      </c>
    </row>
    <row r="746" spans="1:15" x14ac:dyDescent="0.35">
      <c r="A746" s="2">
        <v>46017</v>
      </c>
      <c r="B746">
        <v>273.39999389648438</v>
      </c>
      <c r="C746">
        <v>873.3499755859375</v>
      </c>
      <c r="D746">
        <v>207.6300048828125</v>
      </c>
      <c r="E746">
        <v>326.43753051757813</v>
      </c>
      <c r="F746">
        <v>80.410003662109375</v>
      </c>
      <c r="G746">
        <v>144.74000549316409</v>
      </c>
      <c r="H746">
        <v>6929.93994140625</v>
      </c>
      <c r="I746">
        <f t="shared" si="36"/>
        <v>-1.4985243151123258E-3</v>
      </c>
      <c r="J746">
        <f t="shared" si="36"/>
        <v>1.7075201606066182E-3</v>
      </c>
      <c r="K746">
        <f t="shared" si="36"/>
        <v>-7.2214872863231576E-4</v>
      </c>
      <c r="L746">
        <f t="shared" si="36"/>
        <v>-3.8351281688196954E-3</v>
      </c>
      <c r="M746">
        <f t="shared" si="36"/>
        <v>-4.9724340177911917E-4</v>
      </c>
      <c r="N746">
        <f t="shared" si="36"/>
        <v>1.7287283667963712E-3</v>
      </c>
      <c r="O746">
        <f t="shared" si="36"/>
        <v>-3.0440987710828846E-4</v>
      </c>
    </row>
    <row r="747" spans="1:15" x14ac:dyDescent="0.35">
      <c r="A747" s="2">
        <v>46020</v>
      </c>
      <c r="B747">
        <v>273.760009765625</v>
      </c>
      <c r="C747">
        <v>867.84002685546875</v>
      </c>
      <c r="D747">
        <v>207.55999755859381</v>
      </c>
      <c r="E747">
        <v>322.29620361328119</v>
      </c>
      <c r="F747">
        <v>80.269996643066406</v>
      </c>
      <c r="G747">
        <v>144.57000732421881</v>
      </c>
      <c r="H747">
        <v>6905.740234375</v>
      </c>
      <c r="I747">
        <f t="shared" si="36"/>
        <v>1.3159438507369832E-3</v>
      </c>
      <c r="J747">
        <f t="shared" si="36"/>
        <v>-6.3289671027963491E-3</v>
      </c>
      <c r="K747">
        <f t="shared" si="36"/>
        <v>-3.3723030164739743E-4</v>
      </c>
      <c r="L747">
        <f t="shared" si="36"/>
        <v>-1.2767589977834627E-2</v>
      </c>
      <c r="M747">
        <f t="shared" si="36"/>
        <v>-1.7426817800571552E-3</v>
      </c>
      <c r="N747">
        <f t="shared" si="36"/>
        <v>-1.1751974074800703E-3</v>
      </c>
      <c r="O747">
        <f t="shared" si="36"/>
        <v>-3.498162923937312E-3</v>
      </c>
    </row>
    <row r="748" spans="1:15" x14ac:dyDescent="0.35">
      <c r="A748" s="2">
        <v>46021</v>
      </c>
      <c r="B748">
        <v>273.07998657226563</v>
      </c>
      <c r="C748">
        <v>865.6500244140625</v>
      </c>
      <c r="D748">
        <v>206.9100036621094</v>
      </c>
      <c r="E748">
        <v>321.96771240234381</v>
      </c>
      <c r="F748">
        <v>80.529998779296875</v>
      </c>
      <c r="G748">
        <v>144.05000305175781</v>
      </c>
      <c r="H748">
        <v>6896.240234375</v>
      </c>
      <c r="I748">
        <f t="shared" si="36"/>
        <v>-2.4871024374482713E-3</v>
      </c>
      <c r="J748">
        <f t="shared" si="36"/>
        <v>-2.5266987888639342E-3</v>
      </c>
      <c r="K748">
        <f t="shared" si="36"/>
        <v>-3.1365089267725924E-3</v>
      </c>
      <c r="L748">
        <f t="shared" si="36"/>
        <v>-1.0197412309993321E-3</v>
      </c>
      <c r="M748">
        <f t="shared" si="36"/>
        <v>3.2338603261295638E-3</v>
      </c>
      <c r="N748">
        <f t="shared" si="36"/>
        <v>-3.6033872664990741E-3</v>
      </c>
      <c r="O748">
        <f t="shared" si="36"/>
        <v>-1.3766142506534472E-3</v>
      </c>
    </row>
    <row r="749" spans="1:15" x14ac:dyDescent="0.35">
      <c r="A749" s="2">
        <v>46022</v>
      </c>
      <c r="B749">
        <v>271.8599853515625</v>
      </c>
      <c r="C749">
        <v>862.34002685546875</v>
      </c>
      <c r="D749">
        <v>206.94999694824219</v>
      </c>
      <c r="E749">
        <v>320.7730712890625</v>
      </c>
      <c r="F749">
        <v>80.279998779296875</v>
      </c>
      <c r="G749">
        <v>143.30999755859381</v>
      </c>
      <c r="H749">
        <v>6845.5</v>
      </c>
      <c r="I749">
        <f t="shared" si="36"/>
        <v>-4.477569353830084E-3</v>
      </c>
      <c r="J749">
        <f t="shared" si="36"/>
        <v>-3.8310424351487263E-3</v>
      </c>
      <c r="K749">
        <f t="shared" si="36"/>
        <v>1.9326963803357759E-4</v>
      </c>
      <c r="L749">
        <f t="shared" si="36"/>
        <v>-3.7173383711838382E-3</v>
      </c>
      <c r="M749">
        <f t="shared" si="36"/>
        <v>-3.1092619265207905E-3</v>
      </c>
      <c r="N749">
        <f t="shared" si="36"/>
        <v>-5.150383681803478E-3</v>
      </c>
      <c r="O749">
        <f t="shared" si="36"/>
        <v>-7.3848674342488147E-3</v>
      </c>
    </row>
    <row r="750" spans="1:15" x14ac:dyDescent="0.35">
      <c r="A750" s="2">
        <v>46024</v>
      </c>
      <c r="B750">
        <v>271.010009765625</v>
      </c>
      <c r="C750">
        <v>854.5</v>
      </c>
      <c r="D750">
        <v>207.3500061035156</v>
      </c>
      <c r="E750">
        <v>324.0184326171875</v>
      </c>
      <c r="F750">
        <v>80.930000305175781</v>
      </c>
      <c r="G750">
        <v>141.78999328613281</v>
      </c>
      <c r="H750">
        <v>6858.47021484375</v>
      </c>
      <c r="I750">
        <f t="shared" si="36"/>
        <v>-3.1314174227282093E-3</v>
      </c>
      <c r="J750">
        <f t="shared" si="36"/>
        <v>-9.1331530374469568E-3</v>
      </c>
      <c r="K750">
        <f t="shared" si="36"/>
        <v>1.9310126798137276E-3</v>
      </c>
      <c r="L750">
        <f t="shared" si="36"/>
        <v>1.0066474864661555E-2</v>
      </c>
      <c r="M750">
        <f t="shared" si="36"/>
        <v>8.0640785559038183E-3</v>
      </c>
      <c r="N750">
        <f t="shared" si="36"/>
        <v>-1.066305663545552E-2</v>
      </c>
      <c r="O750">
        <f t="shared" si="36"/>
        <v>1.8929140261155547E-3</v>
      </c>
    </row>
    <row r="751" spans="1:15" x14ac:dyDescent="0.35">
      <c r="A751" s="2">
        <v>46027</v>
      </c>
      <c r="B751">
        <v>267.260009765625</v>
      </c>
      <c r="C751">
        <v>875.739990234375</v>
      </c>
      <c r="D751">
        <v>204.30999755859381</v>
      </c>
      <c r="E751">
        <v>332.54000854492188</v>
      </c>
      <c r="F751">
        <v>81.319999694824219</v>
      </c>
      <c r="G751">
        <v>140.3699951171875</v>
      </c>
      <c r="H751">
        <v>6902.0498046875</v>
      </c>
      <c r="I751">
        <f t="shared" si="36"/>
        <v>-1.3933752709382118E-2</v>
      </c>
      <c r="J751">
        <f t="shared" si="36"/>
        <v>2.455272952157269E-2</v>
      </c>
      <c r="K751">
        <f t="shared" si="36"/>
        <v>-1.4769779826000091E-2</v>
      </c>
      <c r="L751">
        <f t="shared" si="36"/>
        <v>2.5959774340256911E-2</v>
      </c>
      <c r="M751">
        <f t="shared" si="36"/>
        <v>4.8073977288979408E-3</v>
      </c>
      <c r="N751">
        <f t="shared" si="36"/>
        <v>-1.0065283637750411E-2</v>
      </c>
      <c r="O751">
        <f t="shared" si="36"/>
        <v>6.3340245110515819E-3</v>
      </c>
    </row>
    <row r="752" spans="1:15" x14ac:dyDescent="0.35">
      <c r="A752" s="2">
        <v>46028</v>
      </c>
      <c r="B752">
        <v>262.3599853515625</v>
      </c>
      <c r="C752">
        <v>889.0999755859375</v>
      </c>
      <c r="D752">
        <v>204.78999328613281</v>
      </c>
      <c r="E752">
        <v>334.6099853515625</v>
      </c>
      <c r="F752">
        <v>81.050003051757813</v>
      </c>
      <c r="G752">
        <v>139.9100036621094</v>
      </c>
      <c r="H752">
        <v>6944.81982421875</v>
      </c>
      <c r="I752">
        <f t="shared" si="36"/>
        <v>-1.8504453300522909E-2</v>
      </c>
      <c r="J752">
        <f t="shared" si="36"/>
        <v>1.5140455590575847E-2</v>
      </c>
      <c r="K752">
        <f t="shared" si="36"/>
        <v>2.3465947618633875E-3</v>
      </c>
      <c r="L752">
        <f t="shared" si="36"/>
        <v>6.2054514518930454E-3</v>
      </c>
      <c r="M752">
        <f t="shared" si="36"/>
        <v>-3.3256991729050472E-3</v>
      </c>
      <c r="N752">
        <f t="shared" si="36"/>
        <v>-3.2823738409893739E-3</v>
      </c>
      <c r="O752">
        <f t="shared" si="36"/>
        <v>6.1775920038938375E-3</v>
      </c>
    </row>
    <row r="753" spans="1:15" x14ac:dyDescent="0.35">
      <c r="A753" s="2">
        <v>46029</v>
      </c>
      <c r="B753">
        <v>260.32998657226563</v>
      </c>
      <c r="C753">
        <v>882.58001708984375</v>
      </c>
      <c r="D753">
        <v>207.49000549316409</v>
      </c>
      <c r="E753">
        <v>326.989990234375</v>
      </c>
      <c r="F753">
        <v>78.370002746582031</v>
      </c>
      <c r="G753">
        <v>138.03999328613281</v>
      </c>
      <c r="H753">
        <v>6920.93017578125</v>
      </c>
      <c r="I753">
        <f t="shared" si="36"/>
        <v>-7.7675451795589856E-3</v>
      </c>
      <c r="J753">
        <f t="shared" si="36"/>
        <v>-7.3602320473664194E-3</v>
      </c>
      <c r="K753">
        <f t="shared" si="36"/>
        <v>1.309814114865014E-2</v>
      </c>
      <c r="L753">
        <f t="shared" si="36"/>
        <v>-2.3036071235369937E-2</v>
      </c>
      <c r="M753">
        <f t="shared" si="36"/>
        <v>-3.3625049723347025E-2</v>
      </c>
      <c r="N753">
        <f t="shared" si="36"/>
        <v>-1.3455935327257449E-2</v>
      </c>
      <c r="O753">
        <f t="shared" si="36"/>
        <v>-3.4458535710101927E-3</v>
      </c>
    </row>
    <row r="754" spans="1:15" x14ac:dyDescent="0.35">
      <c r="A754" s="2">
        <v>46030</v>
      </c>
      <c r="B754">
        <v>259.04000854492188</v>
      </c>
      <c r="C754">
        <v>915.30999755859375</v>
      </c>
      <c r="D754">
        <v>205.75</v>
      </c>
      <c r="E754">
        <v>329.79000854492188</v>
      </c>
      <c r="F754">
        <v>79.489997863769531</v>
      </c>
      <c r="G754">
        <v>141.5299987792969</v>
      </c>
      <c r="H754">
        <v>6921.4599609375</v>
      </c>
      <c r="I754">
        <f t="shared" si="36"/>
        <v>-4.9674824964186315E-3</v>
      </c>
      <c r="J754">
        <f t="shared" si="36"/>
        <v>3.6413347422981301E-2</v>
      </c>
      <c r="K754">
        <f t="shared" si="36"/>
        <v>-8.4213326555360665E-3</v>
      </c>
      <c r="L754">
        <f t="shared" si="36"/>
        <v>8.5265546443945971E-3</v>
      </c>
      <c r="M754">
        <f t="shared" si="36"/>
        <v>1.4189964599699741E-2</v>
      </c>
      <c r="N754">
        <f t="shared" si="36"/>
        <v>2.4968250528011535E-2</v>
      </c>
      <c r="O754">
        <f t="shared" si="36"/>
        <v>7.6545329422946027E-5</v>
      </c>
    </row>
    <row r="755" spans="1:15" x14ac:dyDescent="0.35">
      <c r="A755" s="2">
        <v>46031</v>
      </c>
      <c r="B755">
        <v>259.3699951171875</v>
      </c>
      <c r="C755">
        <v>924.8800048828125</v>
      </c>
      <c r="D755">
        <v>204.38999938964841</v>
      </c>
      <c r="E755">
        <v>329.19000244140619</v>
      </c>
      <c r="F755">
        <v>79.889999389648438</v>
      </c>
      <c r="G755">
        <v>141.8699951171875</v>
      </c>
      <c r="H755">
        <v>6966.27978515625</v>
      </c>
      <c r="I755">
        <f t="shared" si="36"/>
        <v>1.2730719488525312E-3</v>
      </c>
      <c r="J755">
        <f t="shared" si="36"/>
        <v>1.0401201603058104E-2</v>
      </c>
      <c r="K755">
        <f t="shared" si="36"/>
        <v>-6.63190908970331E-3</v>
      </c>
      <c r="L755">
        <f t="shared" si="36"/>
        <v>-1.8210150818508334E-3</v>
      </c>
      <c r="M755">
        <f t="shared" si="36"/>
        <v>5.0194801432340876E-3</v>
      </c>
      <c r="N755">
        <f t="shared" si="36"/>
        <v>2.3994107856818627E-3</v>
      </c>
      <c r="O755">
        <f t="shared" si="36"/>
        <v>6.4546111383210376E-3</v>
      </c>
    </row>
  </sheetData>
  <mergeCells count="15">
    <mergeCell ref="AV20:AZ21"/>
    <mergeCell ref="AP17:AT18"/>
    <mergeCell ref="Z45:Z59"/>
    <mergeCell ref="AB64:AH64"/>
    <mergeCell ref="AU25:AU26"/>
    <mergeCell ref="AU28:AU29"/>
    <mergeCell ref="Z23:Z37"/>
    <mergeCell ref="AM21:AP22"/>
    <mergeCell ref="AL33:AS33"/>
    <mergeCell ref="AL35:AP36"/>
    <mergeCell ref="B1:H1"/>
    <mergeCell ref="I1:O1"/>
    <mergeCell ref="AB1:AI1"/>
    <mergeCell ref="AL1:AS1"/>
    <mergeCell ref="AB11:AI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</vt:lpstr>
      <vt:lpstr>Part A</vt:lpstr>
      <vt:lpstr>Part B</vt:lpstr>
      <vt:lpstr>Part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nithika gamaathige</cp:lastModifiedBy>
  <dcterms:created xsi:type="dcterms:W3CDTF">2026-01-11T11:17:16Z</dcterms:created>
  <dcterms:modified xsi:type="dcterms:W3CDTF">2026-04-09T17:18:39Z</dcterms:modified>
</cp:coreProperties>
</file>